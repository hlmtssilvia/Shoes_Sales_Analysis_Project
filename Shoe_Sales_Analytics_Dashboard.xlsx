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drawings/drawing3.xml" ContentType="application/vnd.openxmlformats-officedocument.drawing+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tables/table3.xml" ContentType="application/vnd.openxmlformats-officedocument.spreadsheetml.table+xml"/>
  <Override PartName="/xl/drawings/drawing4.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240" yWindow="30" windowWidth="20115" windowHeight="7755" tabRatio="837" activeTab="7"/>
  </bookViews>
  <sheets>
    <sheet name="Data Cleaning" sheetId="24" r:id="rId1"/>
    <sheet name="Clean_Dataset" sheetId="3" r:id="rId2"/>
    <sheet name="KPI" sheetId="16" state="hidden" r:id="rId3"/>
    <sheet name="Pivot_Chart_Tables" sheetId="13" state="hidden" r:id="rId4"/>
    <sheet name="Pivot_Scatter" sheetId="20" r:id="rId5"/>
    <sheet name="Pivot_Heatmap" sheetId="15" r:id="rId6"/>
    <sheet name="Data Analysis" sheetId="30" state="hidden" r:id="rId7"/>
    <sheet name="DASHBOARD" sheetId="5" r:id="rId8"/>
  </sheets>
  <definedNames>
    <definedName name="_xlnm._FilterDatabase" localSheetId="6" hidden="1">'Data Analysis'!$AF$17:$AH$17</definedName>
    <definedName name="_xlnm.Print_Area" localSheetId="7">DASHBOARD!$A$1:$Q$66</definedName>
    <definedName name="Slicer_Brand">#N/A</definedName>
    <definedName name="Slicer_Country">#N/A</definedName>
    <definedName name="Slicer_Date">#N/A</definedName>
    <definedName name="Slicer_Sales_Channel">#N/A</definedName>
  </definedNames>
  <calcPr calcId="144525"/>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Lst>
</workbook>
</file>

<file path=xl/calcChain.xml><?xml version="1.0" encoding="utf-8"?>
<calcChain xmlns="http://schemas.openxmlformats.org/spreadsheetml/2006/main">
  <c r="B51" i="15" l="1"/>
  <c r="C51" i="15"/>
  <c r="D51" i="15"/>
  <c r="E51" i="15"/>
  <c r="F51" i="15"/>
  <c r="G51" i="15"/>
  <c r="B52" i="15"/>
  <c r="C52" i="15"/>
  <c r="D52" i="15"/>
  <c r="E52" i="15"/>
  <c r="F52" i="15"/>
  <c r="G52" i="15"/>
  <c r="B53" i="15"/>
  <c r="C53" i="15"/>
  <c r="D53" i="15"/>
  <c r="E53" i="15"/>
  <c r="F53" i="15"/>
  <c r="G53" i="15"/>
  <c r="B54" i="15"/>
  <c r="C54" i="15"/>
  <c r="D54" i="15"/>
  <c r="E54" i="15"/>
  <c r="F54" i="15"/>
  <c r="G54" i="15"/>
  <c r="B55" i="15"/>
  <c r="C55" i="15"/>
  <c r="D55" i="15"/>
  <c r="E55" i="15"/>
  <c r="F55" i="15"/>
  <c r="G55" i="15"/>
  <c r="G50" i="15"/>
  <c r="F50" i="15"/>
  <c r="E50" i="15"/>
  <c r="D50" i="15"/>
  <c r="C50" i="15"/>
  <c r="B50" i="15"/>
  <c r="B29" i="15"/>
  <c r="K3" i="30" l="1"/>
  <c r="K4" i="30"/>
  <c r="K5" i="30"/>
  <c r="K6" i="30"/>
  <c r="K7" i="30"/>
  <c r="K8" i="30"/>
  <c r="K9" i="30"/>
  <c r="K10" i="30"/>
  <c r="K11" i="30"/>
  <c r="K12" i="30"/>
  <c r="K13" i="30"/>
  <c r="K14" i="30"/>
  <c r="K15" i="30"/>
  <c r="K16" i="30"/>
  <c r="K17" i="30"/>
  <c r="K18" i="30"/>
  <c r="K19" i="30"/>
  <c r="K20" i="30"/>
  <c r="K21" i="30"/>
  <c r="K22" i="30"/>
  <c r="K23" i="30"/>
  <c r="K24" i="30"/>
  <c r="K25" i="30"/>
  <c r="K26" i="30"/>
  <c r="K27" i="30"/>
  <c r="K28" i="30"/>
  <c r="K29" i="30"/>
  <c r="K30" i="30"/>
  <c r="K31" i="30"/>
  <c r="K32" i="30"/>
  <c r="K33" i="30"/>
  <c r="K34" i="30"/>
  <c r="K35" i="30"/>
  <c r="K36" i="30"/>
  <c r="K37" i="30"/>
  <c r="K38" i="30"/>
  <c r="K39" i="30"/>
  <c r="K40" i="30"/>
  <c r="K41" i="30"/>
  <c r="K42" i="30"/>
  <c r="K43" i="30"/>
  <c r="K44" i="30"/>
  <c r="K45" i="30"/>
  <c r="K46" i="30"/>
  <c r="K47" i="30"/>
  <c r="K48" i="30"/>
  <c r="K49" i="30"/>
  <c r="K50" i="30"/>
  <c r="K51" i="30"/>
  <c r="K52" i="30"/>
  <c r="K53" i="30"/>
  <c r="K54" i="30"/>
  <c r="K55" i="30"/>
  <c r="K56" i="30"/>
  <c r="K57" i="30"/>
  <c r="K58" i="30"/>
  <c r="K59" i="30"/>
  <c r="K60" i="30"/>
  <c r="K61" i="30"/>
  <c r="K62" i="30"/>
  <c r="K63" i="30"/>
  <c r="K64" i="30"/>
  <c r="K65" i="30"/>
  <c r="K66" i="30"/>
  <c r="K67" i="30"/>
  <c r="K68" i="30"/>
  <c r="K69" i="30"/>
  <c r="K70" i="30"/>
  <c r="K71" i="30"/>
  <c r="K72" i="30"/>
  <c r="K73" i="30"/>
  <c r="K74" i="30"/>
  <c r="K75" i="30"/>
  <c r="K76" i="30"/>
  <c r="K77" i="30"/>
  <c r="K78" i="30"/>
  <c r="K79" i="30"/>
  <c r="K80" i="30"/>
  <c r="K81" i="30"/>
  <c r="K82" i="30"/>
  <c r="K83" i="30"/>
  <c r="K84" i="30"/>
  <c r="K85" i="30"/>
  <c r="K86" i="30"/>
  <c r="K87" i="30"/>
  <c r="K88" i="30"/>
  <c r="K89" i="30"/>
  <c r="K90" i="30"/>
  <c r="K91" i="30"/>
  <c r="K92" i="30"/>
  <c r="K93" i="30"/>
  <c r="K94" i="30"/>
  <c r="K95" i="30"/>
  <c r="K96" i="30"/>
  <c r="K97" i="30"/>
  <c r="K98" i="30"/>
  <c r="K99" i="30"/>
  <c r="K100" i="30"/>
  <c r="K101" i="30"/>
  <c r="K102" i="30"/>
  <c r="K103" i="30"/>
  <c r="K104" i="30"/>
  <c r="K105" i="30"/>
  <c r="K106" i="30"/>
  <c r="K107" i="30"/>
  <c r="K108" i="30"/>
  <c r="K109" i="30"/>
  <c r="K110" i="30"/>
  <c r="K111" i="30"/>
  <c r="K112" i="30"/>
  <c r="K113" i="30"/>
  <c r="K114" i="30"/>
  <c r="K115" i="30"/>
  <c r="K116" i="30"/>
  <c r="K117" i="30"/>
  <c r="K118" i="30"/>
  <c r="K119" i="30"/>
  <c r="K120" i="30"/>
  <c r="K121" i="30"/>
  <c r="K122" i="30"/>
  <c r="K123" i="30"/>
  <c r="K124" i="30"/>
  <c r="K125" i="30"/>
  <c r="K126" i="30"/>
  <c r="K127" i="30"/>
  <c r="K128" i="30"/>
  <c r="K129" i="30"/>
  <c r="K130" i="30"/>
  <c r="K131" i="30"/>
  <c r="K132" i="30"/>
  <c r="K133" i="30"/>
  <c r="K134" i="30"/>
  <c r="K135" i="30"/>
  <c r="K136" i="30"/>
  <c r="K137" i="30"/>
  <c r="K138" i="30"/>
  <c r="K139" i="30"/>
  <c r="K140" i="30"/>
  <c r="K141" i="30"/>
  <c r="K142" i="30"/>
  <c r="K143" i="30"/>
  <c r="K144" i="30"/>
  <c r="K145" i="30"/>
  <c r="K146" i="30"/>
  <c r="K147" i="30"/>
  <c r="K148" i="30"/>
  <c r="K149" i="30"/>
  <c r="K150" i="30"/>
  <c r="K151" i="30"/>
  <c r="K152" i="30"/>
  <c r="K153" i="30"/>
  <c r="K154" i="30"/>
  <c r="K155" i="30"/>
  <c r="K156" i="30"/>
  <c r="K157" i="30"/>
  <c r="K158" i="30"/>
  <c r="K159" i="30"/>
  <c r="K160" i="30"/>
  <c r="K161" i="30"/>
  <c r="K162" i="30"/>
  <c r="K163" i="30"/>
  <c r="K164" i="30"/>
  <c r="K165" i="30"/>
  <c r="K166" i="30"/>
  <c r="K167" i="30"/>
  <c r="K168" i="30"/>
  <c r="K169" i="30"/>
  <c r="K170" i="30"/>
  <c r="K171" i="30"/>
  <c r="K172" i="30"/>
  <c r="K173" i="30"/>
  <c r="K174" i="30"/>
  <c r="K175" i="30"/>
  <c r="K176" i="30"/>
  <c r="K177" i="30"/>
  <c r="K178" i="30"/>
  <c r="K179" i="30"/>
  <c r="K180" i="30"/>
  <c r="K181" i="30"/>
  <c r="K182" i="30"/>
  <c r="K183" i="30"/>
  <c r="K184" i="30"/>
  <c r="K185" i="30"/>
  <c r="K186" i="30"/>
  <c r="K187" i="30"/>
  <c r="K188" i="30"/>
  <c r="K189" i="30"/>
  <c r="K190" i="30"/>
  <c r="K191" i="30"/>
  <c r="K192" i="30"/>
  <c r="K193" i="30"/>
  <c r="K194" i="30"/>
  <c r="K195" i="30"/>
  <c r="K196" i="30"/>
  <c r="K197" i="30"/>
  <c r="K198" i="30"/>
  <c r="K199" i="30"/>
  <c r="K200" i="30"/>
  <c r="K201" i="30"/>
  <c r="K202" i="30"/>
  <c r="K203" i="30"/>
  <c r="K204" i="30"/>
  <c r="K205" i="30"/>
  <c r="K206" i="30"/>
  <c r="K207" i="30"/>
  <c r="K208" i="30"/>
  <c r="K209" i="30"/>
  <c r="K210" i="30"/>
  <c r="K211" i="30"/>
  <c r="K212" i="30"/>
  <c r="K213" i="30"/>
  <c r="K214" i="30"/>
  <c r="K215" i="30"/>
  <c r="K216" i="30"/>
  <c r="K217" i="30"/>
  <c r="K218" i="30"/>
  <c r="K219" i="30"/>
  <c r="K220" i="30"/>
  <c r="K221" i="30"/>
  <c r="K222" i="30"/>
  <c r="K223" i="30"/>
  <c r="K224" i="30"/>
  <c r="K225" i="30"/>
  <c r="K226" i="30"/>
  <c r="K227" i="30"/>
  <c r="K228" i="30"/>
  <c r="K229" i="30"/>
  <c r="K230" i="30"/>
  <c r="K231" i="30"/>
  <c r="K232" i="30"/>
  <c r="K233" i="30"/>
  <c r="K234" i="30"/>
  <c r="K235" i="30"/>
  <c r="K236" i="30"/>
  <c r="K237" i="30"/>
  <c r="K238" i="30"/>
  <c r="K239" i="30"/>
  <c r="K240" i="30"/>
  <c r="K241" i="30"/>
  <c r="K242" i="30"/>
  <c r="K243" i="30"/>
  <c r="K244" i="30"/>
  <c r="K245" i="30"/>
  <c r="K246" i="30"/>
  <c r="K247" i="30"/>
  <c r="K248" i="30"/>
  <c r="K249" i="30"/>
  <c r="K250" i="30"/>
  <c r="K251" i="30"/>
  <c r="K252" i="30"/>
  <c r="K253" i="30"/>
  <c r="K254" i="30"/>
  <c r="K255" i="30"/>
  <c r="K256" i="30"/>
  <c r="K257" i="30"/>
  <c r="K258" i="30"/>
  <c r="K259" i="30"/>
  <c r="K260" i="30"/>
  <c r="K261" i="30"/>
  <c r="K262" i="30"/>
  <c r="K263" i="30"/>
  <c r="K264" i="30"/>
  <c r="K265" i="30"/>
  <c r="K266" i="30"/>
  <c r="K267" i="30"/>
  <c r="K268" i="30"/>
  <c r="K269" i="30"/>
  <c r="K270" i="30"/>
  <c r="K271" i="30"/>
  <c r="K272" i="30"/>
  <c r="K273" i="30"/>
  <c r="K274" i="30"/>
  <c r="K275" i="30"/>
  <c r="K276" i="30"/>
  <c r="K277" i="30"/>
  <c r="K278" i="30"/>
  <c r="K279" i="30"/>
  <c r="K280" i="30"/>
  <c r="K281" i="30"/>
  <c r="K282" i="30"/>
  <c r="K283" i="30"/>
  <c r="K284" i="30"/>
  <c r="K285" i="30"/>
  <c r="K286" i="30"/>
  <c r="K287" i="30"/>
  <c r="K288" i="30"/>
  <c r="K289" i="30"/>
  <c r="K290" i="30"/>
  <c r="K291" i="30"/>
  <c r="K292" i="30"/>
  <c r="K293" i="30"/>
  <c r="K294" i="30"/>
  <c r="K295" i="30"/>
  <c r="K296" i="30"/>
  <c r="K297" i="30"/>
  <c r="K298" i="30"/>
  <c r="K299" i="30"/>
  <c r="K300" i="30"/>
  <c r="K301" i="30"/>
  <c r="K302" i="30"/>
  <c r="K303" i="30"/>
  <c r="K304" i="30"/>
  <c r="K305" i="30"/>
  <c r="K306" i="30"/>
  <c r="K307" i="30"/>
  <c r="K308" i="30"/>
  <c r="K309" i="30"/>
  <c r="K310" i="30"/>
  <c r="K311" i="30"/>
  <c r="K312" i="30"/>
  <c r="K313" i="30"/>
  <c r="K314" i="30"/>
  <c r="K315" i="30"/>
  <c r="K316" i="30"/>
  <c r="K317" i="30"/>
  <c r="K318" i="30"/>
  <c r="K319" i="30"/>
  <c r="K320" i="30"/>
  <c r="K321" i="30"/>
  <c r="K322" i="30"/>
  <c r="K323" i="30"/>
  <c r="K324" i="30"/>
  <c r="K325" i="30"/>
  <c r="K326" i="30"/>
  <c r="K327" i="30"/>
  <c r="K328" i="30"/>
  <c r="K329" i="30"/>
  <c r="K330" i="30"/>
  <c r="K331" i="30"/>
  <c r="K332" i="30"/>
  <c r="K333" i="30"/>
  <c r="K334" i="30"/>
  <c r="K335" i="30"/>
  <c r="K336" i="30"/>
  <c r="K337" i="30"/>
  <c r="K338" i="30"/>
  <c r="K339" i="30"/>
  <c r="K340" i="30"/>
  <c r="K341" i="30"/>
  <c r="K342" i="30"/>
  <c r="K343" i="30"/>
  <c r="K344" i="30"/>
  <c r="K345" i="30"/>
  <c r="K346" i="30"/>
  <c r="K347" i="30"/>
  <c r="K348" i="30"/>
  <c r="K349" i="30"/>
  <c r="K350" i="30"/>
  <c r="K351" i="30"/>
  <c r="K352" i="30"/>
  <c r="K353" i="30"/>
  <c r="K354" i="30"/>
  <c r="K355" i="30"/>
  <c r="K356" i="30"/>
  <c r="K357" i="30"/>
  <c r="K358" i="30"/>
  <c r="K359" i="30"/>
  <c r="K360" i="30"/>
  <c r="K361" i="30"/>
  <c r="K362" i="30"/>
  <c r="K363" i="30"/>
  <c r="K364" i="30"/>
  <c r="K365" i="30"/>
  <c r="K366" i="30"/>
  <c r="K367" i="30"/>
  <c r="K368" i="30"/>
  <c r="K369" i="30"/>
  <c r="K370" i="30"/>
  <c r="K371" i="30"/>
  <c r="K372" i="30"/>
  <c r="K373" i="30"/>
  <c r="K374" i="30"/>
  <c r="K375" i="30"/>
  <c r="K376" i="30"/>
  <c r="K377" i="30"/>
  <c r="K378" i="30"/>
  <c r="K379" i="30"/>
  <c r="K380" i="30"/>
  <c r="K381" i="30"/>
  <c r="K382" i="30"/>
  <c r="K383" i="30"/>
  <c r="K384" i="30"/>
  <c r="K385" i="30"/>
  <c r="K386" i="30"/>
  <c r="K387" i="30"/>
  <c r="K388" i="30"/>
  <c r="K389" i="30"/>
  <c r="K390" i="30"/>
  <c r="K391" i="30"/>
  <c r="K392" i="30"/>
  <c r="K393" i="30"/>
  <c r="K394" i="30"/>
  <c r="K395" i="30"/>
  <c r="K396" i="30"/>
  <c r="K397" i="30"/>
  <c r="K398" i="30"/>
  <c r="K399" i="30"/>
  <c r="K400" i="30"/>
  <c r="K401" i="30"/>
  <c r="K402" i="30"/>
  <c r="K403" i="30"/>
  <c r="K404" i="30"/>
  <c r="K405" i="30"/>
  <c r="K406" i="30"/>
  <c r="K407" i="30"/>
  <c r="K408" i="30"/>
  <c r="K409" i="30"/>
  <c r="K410" i="30"/>
  <c r="K411" i="30"/>
  <c r="K412" i="30"/>
  <c r="K413" i="30"/>
  <c r="K414" i="30"/>
  <c r="K415" i="30"/>
  <c r="K416" i="30"/>
  <c r="K417" i="30"/>
  <c r="K418" i="30"/>
  <c r="K419" i="30"/>
  <c r="K420" i="30"/>
  <c r="K421" i="30"/>
  <c r="K422" i="30"/>
  <c r="K423" i="30"/>
  <c r="K424" i="30"/>
  <c r="K425" i="30"/>
  <c r="K426" i="30"/>
  <c r="K427" i="30"/>
  <c r="K428" i="30"/>
  <c r="K429" i="30"/>
  <c r="K430" i="30"/>
  <c r="K431" i="30"/>
  <c r="K432" i="30"/>
  <c r="K433" i="30"/>
  <c r="K434" i="30"/>
  <c r="K435" i="30"/>
  <c r="K436" i="30"/>
  <c r="K437" i="30"/>
  <c r="K438" i="30"/>
  <c r="K439" i="30"/>
  <c r="K440" i="30"/>
  <c r="K441" i="30"/>
  <c r="K442" i="30"/>
  <c r="K443" i="30"/>
  <c r="K444" i="30"/>
  <c r="K445" i="30"/>
  <c r="K446" i="30"/>
  <c r="K447" i="30"/>
  <c r="K448" i="30"/>
  <c r="K449" i="30"/>
  <c r="K450" i="30"/>
  <c r="K451" i="30"/>
  <c r="K452" i="30"/>
  <c r="K453" i="30"/>
  <c r="K454" i="30"/>
  <c r="K455" i="30"/>
  <c r="K456" i="30"/>
  <c r="K457" i="30"/>
  <c r="K458" i="30"/>
  <c r="K459" i="30"/>
  <c r="K460" i="30"/>
  <c r="K461" i="30"/>
  <c r="K462" i="30"/>
  <c r="K463" i="30"/>
  <c r="K464" i="30"/>
  <c r="K465" i="30"/>
  <c r="K466" i="30"/>
  <c r="K467" i="30"/>
  <c r="K468" i="30"/>
  <c r="K469" i="30"/>
  <c r="K470" i="30"/>
  <c r="K471" i="30"/>
  <c r="K472" i="30"/>
  <c r="K473" i="30"/>
  <c r="K474" i="30"/>
  <c r="K475" i="30"/>
  <c r="K476" i="30"/>
  <c r="K477" i="30"/>
  <c r="K478" i="30"/>
  <c r="K479" i="30"/>
  <c r="K480" i="30"/>
  <c r="K481" i="30"/>
  <c r="K482" i="30"/>
  <c r="K483" i="30"/>
  <c r="K484" i="30"/>
  <c r="K485" i="30"/>
  <c r="K486" i="30"/>
  <c r="K487" i="30"/>
  <c r="K488" i="30"/>
  <c r="K489" i="30"/>
  <c r="K490" i="30"/>
  <c r="K491" i="30"/>
  <c r="K492" i="30"/>
  <c r="K493" i="30"/>
  <c r="K494" i="30"/>
  <c r="K495" i="30"/>
  <c r="K496" i="30"/>
  <c r="K497" i="30"/>
  <c r="K498" i="30"/>
  <c r="K499" i="30"/>
  <c r="K500" i="30"/>
  <c r="K501" i="30"/>
  <c r="K502" i="30"/>
  <c r="K503" i="30"/>
  <c r="K504" i="30"/>
  <c r="K505" i="30"/>
  <c r="K506" i="30"/>
  <c r="K507" i="30"/>
  <c r="K508" i="30"/>
  <c r="K509" i="30"/>
  <c r="K510" i="30"/>
  <c r="K511" i="30"/>
  <c r="K512" i="30"/>
  <c r="K513" i="30"/>
  <c r="K514" i="30"/>
  <c r="K515" i="30"/>
  <c r="K516" i="30"/>
  <c r="K517" i="30"/>
  <c r="K518" i="30"/>
  <c r="K519" i="30"/>
  <c r="K520" i="30"/>
  <c r="K521" i="30"/>
  <c r="K522" i="30"/>
  <c r="K523" i="30"/>
  <c r="K524" i="30"/>
  <c r="K525" i="30"/>
  <c r="K526" i="30"/>
  <c r="K527" i="30"/>
  <c r="K528" i="30"/>
  <c r="K529" i="30"/>
  <c r="K530" i="30"/>
  <c r="K531" i="30"/>
  <c r="K532" i="30"/>
  <c r="K533" i="30"/>
  <c r="K534" i="30"/>
  <c r="K535" i="30"/>
  <c r="K536" i="30"/>
  <c r="K537" i="30"/>
  <c r="K538" i="30"/>
  <c r="K539" i="30"/>
  <c r="K540" i="30"/>
  <c r="K541" i="30"/>
  <c r="K542" i="30"/>
  <c r="K543" i="30"/>
  <c r="K544" i="30"/>
  <c r="K545" i="30"/>
  <c r="K546" i="30"/>
  <c r="K547" i="30"/>
  <c r="K548" i="30"/>
  <c r="K549" i="30"/>
  <c r="K550" i="30"/>
  <c r="K551" i="30"/>
  <c r="K552" i="30"/>
  <c r="K553" i="30"/>
  <c r="K554" i="30"/>
  <c r="K555" i="30"/>
  <c r="K556" i="30"/>
  <c r="K557" i="30"/>
  <c r="K558" i="30"/>
  <c r="K559" i="30"/>
  <c r="K560" i="30"/>
  <c r="K561" i="30"/>
  <c r="K562" i="30"/>
  <c r="K563" i="30"/>
  <c r="K564" i="30"/>
  <c r="K565" i="30"/>
  <c r="K566" i="30"/>
  <c r="K567" i="30"/>
  <c r="K568" i="30"/>
  <c r="K569" i="30"/>
  <c r="K570" i="30"/>
  <c r="K571" i="30"/>
  <c r="K572" i="30"/>
  <c r="K573" i="30"/>
  <c r="K574" i="30"/>
  <c r="K575" i="30"/>
  <c r="K576" i="30"/>
  <c r="K577" i="30"/>
  <c r="K578" i="30"/>
  <c r="K579" i="30"/>
  <c r="K580" i="30"/>
  <c r="K581" i="30"/>
  <c r="K582" i="30"/>
  <c r="K583" i="30"/>
  <c r="K584" i="30"/>
  <c r="K585" i="30"/>
  <c r="K586" i="30"/>
  <c r="K587" i="30"/>
  <c r="K588" i="30"/>
  <c r="K589" i="30"/>
  <c r="K590" i="30"/>
  <c r="K591" i="30"/>
  <c r="K592" i="30"/>
  <c r="K593" i="30"/>
  <c r="K594" i="30"/>
  <c r="K595" i="30"/>
  <c r="K596" i="30"/>
  <c r="K597" i="30"/>
  <c r="K598" i="30"/>
  <c r="K599" i="30"/>
  <c r="K600" i="30"/>
  <c r="K601" i="30"/>
  <c r="K602" i="30"/>
  <c r="K603" i="30"/>
  <c r="K604" i="30"/>
  <c r="K605" i="30"/>
  <c r="K606" i="30"/>
  <c r="K607" i="30"/>
  <c r="K608" i="30"/>
  <c r="K609" i="30"/>
  <c r="K610" i="30"/>
  <c r="K611" i="30"/>
  <c r="K612" i="30"/>
  <c r="K613" i="30"/>
  <c r="K614" i="30"/>
  <c r="K615" i="30"/>
  <c r="K616" i="30"/>
  <c r="K617" i="30"/>
  <c r="K618" i="30"/>
  <c r="K619" i="30"/>
  <c r="K620" i="30"/>
  <c r="K621" i="30"/>
  <c r="K622" i="30"/>
  <c r="K623" i="30"/>
  <c r="K624" i="30"/>
  <c r="K625" i="30"/>
  <c r="K626" i="30"/>
  <c r="K627" i="30"/>
  <c r="K628" i="30"/>
  <c r="K629" i="30"/>
  <c r="K630" i="30"/>
  <c r="K631" i="30"/>
  <c r="K632" i="30"/>
  <c r="K633" i="30"/>
  <c r="K634" i="30"/>
  <c r="K635" i="30"/>
  <c r="K636" i="30"/>
  <c r="K637" i="30"/>
  <c r="K638" i="30"/>
  <c r="K639" i="30"/>
  <c r="K640" i="30"/>
  <c r="K641" i="30"/>
  <c r="K642" i="30"/>
  <c r="K643" i="30"/>
  <c r="K644" i="30"/>
  <c r="K645" i="30"/>
  <c r="K646" i="30"/>
  <c r="K647" i="30"/>
  <c r="K648" i="30"/>
  <c r="K649" i="30"/>
  <c r="K650" i="30"/>
  <c r="K651" i="30"/>
  <c r="K652" i="30"/>
  <c r="K653" i="30"/>
  <c r="K654" i="30"/>
  <c r="K655" i="30"/>
  <c r="K656" i="30"/>
  <c r="K657" i="30"/>
  <c r="K658" i="30"/>
  <c r="K659" i="30"/>
  <c r="K660" i="30"/>
  <c r="K661" i="30"/>
  <c r="K662" i="30"/>
  <c r="K663" i="30"/>
  <c r="K664" i="30"/>
  <c r="K665" i="30"/>
  <c r="K666" i="30"/>
  <c r="K667" i="30"/>
  <c r="K668" i="30"/>
  <c r="K669" i="30"/>
  <c r="K670" i="30"/>
  <c r="K671" i="30"/>
  <c r="K672" i="30"/>
  <c r="K673" i="30"/>
  <c r="K674" i="30"/>
  <c r="K675" i="30"/>
  <c r="K676" i="30"/>
  <c r="K677" i="30"/>
  <c r="K678" i="30"/>
  <c r="K679" i="30"/>
  <c r="K680" i="30"/>
  <c r="K681" i="30"/>
  <c r="K682" i="30"/>
  <c r="K683" i="30"/>
  <c r="K684" i="30"/>
  <c r="K685" i="30"/>
  <c r="K686" i="30"/>
  <c r="K687" i="30"/>
  <c r="K688" i="30"/>
  <c r="K689" i="30"/>
  <c r="K690" i="30"/>
  <c r="K691" i="30"/>
  <c r="K692" i="30"/>
  <c r="K693" i="30"/>
  <c r="K694" i="30"/>
  <c r="K695" i="30"/>
  <c r="K696" i="30"/>
  <c r="K697" i="30"/>
  <c r="K698" i="30"/>
  <c r="K699" i="30"/>
  <c r="K700" i="30"/>
  <c r="K701" i="30"/>
  <c r="K702" i="30"/>
  <c r="K703" i="30"/>
  <c r="K704" i="30"/>
  <c r="K705" i="30"/>
  <c r="K706" i="30"/>
  <c r="K707" i="30"/>
  <c r="K708" i="30"/>
  <c r="K709" i="30"/>
  <c r="K710" i="30"/>
  <c r="K711" i="30"/>
  <c r="K712" i="30"/>
  <c r="K713" i="30"/>
  <c r="K714" i="30"/>
  <c r="K715" i="30"/>
  <c r="K716" i="30"/>
  <c r="K717" i="30"/>
  <c r="K718" i="30"/>
  <c r="K719" i="30"/>
  <c r="K720" i="30"/>
  <c r="K721" i="30"/>
  <c r="K722" i="30"/>
  <c r="K723" i="30"/>
  <c r="K724" i="30"/>
  <c r="K725" i="30"/>
  <c r="K726" i="30"/>
  <c r="K727" i="30"/>
  <c r="K728" i="30"/>
  <c r="K729" i="30"/>
  <c r="K730" i="30"/>
  <c r="K731" i="30"/>
  <c r="K732" i="30"/>
  <c r="K733" i="30"/>
  <c r="K734" i="30"/>
  <c r="K735" i="30"/>
  <c r="K736" i="30"/>
  <c r="K737" i="30"/>
  <c r="K738" i="30"/>
  <c r="K739" i="30"/>
  <c r="K740" i="30"/>
  <c r="K741" i="30"/>
  <c r="K742" i="30"/>
  <c r="K743" i="30"/>
  <c r="K744" i="30"/>
  <c r="K745" i="30"/>
  <c r="K746" i="30"/>
  <c r="K747" i="30"/>
  <c r="K748" i="30"/>
  <c r="K749" i="30"/>
  <c r="K750" i="30"/>
  <c r="K751" i="30"/>
  <c r="K752" i="30"/>
  <c r="K753" i="30"/>
  <c r="K754" i="30"/>
  <c r="K755" i="30"/>
  <c r="K756" i="30"/>
  <c r="K757" i="30"/>
  <c r="K758" i="30"/>
  <c r="K759" i="30"/>
  <c r="K760" i="30"/>
  <c r="K761" i="30"/>
  <c r="K762" i="30"/>
  <c r="K763" i="30"/>
  <c r="K764" i="30"/>
  <c r="K765" i="30"/>
  <c r="K766" i="30"/>
  <c r="K767" i="30"/>
  <c r="K768" i="30"/>
  <c r="K769" i="30"/>
  <c r="K770" i="30"/>
  <c r="K771" i="30"/>
  <c r="K772" i="30"/>
  <c r="K773" i="30"/>
  <c r="K774" i="30"/>
  <c r="K775" i="30"/>
  <c r="K776" i="30"/>
  <c r="K777" i="30"/>
  <c r="K778" i="30"/>
  <c r="K779" i="30"/>
  <c r="K780" i="30"/>
  <c r="K781" i="30"/>
  <c r="K782" i="30"/>
  <c r="K783" i="30"/>
  <c r="K784" i="30"/>
  <c r="K785" i="30"/>
  <c r="K786" i="30"/>
  <c r="K787" i="30"/>
  <c r="K788" i="30"/>
  <c r="K789" i="30"/>
  <c r="K790" i="30"/>
  <c r="K791" i="30"/>
  <c r="K792" i="30"/>
  <c r="K793" i="30"/>
  <c r="K794" i="30"/>
  <c r="K795" i="30"/>
  <c r="K796" i="30"/>
  <c r="K797" i="30"/>
  <c r="K798" i="30"/>
  <c r="K799" i="30"/>
  <c r="K800" i="30"/>
  <c r="K801" i="30"/>
  <c r="K802" i="30"/>
  <c r="K803" i="30"/>
  <c r="K804" i="30"/>
  <c r="K805" i="30"/>
  <c r="K806" i="30"/>
  <c r="K807" i="30"/>
  <c r="K808" i="30"/>
  <c r="K809" i="30"/>
  <c r="K810" i="30"/>
  <c r="K811" i="30"/>
  <c r="K812" i="30"/>
  <c r="K813" i="30"/>
  <c r="K814" i="30"/>
  <c r="K815" i="30"/>
  <c r="K816" i="30"/>
  <c r="K817" i="30"/>
  <c r="K818" i="30"/>
  <c r="K819" i="30"/>
  <c r="K820" i="30"/>
  <c r="K821" i="30"/>
  <c r="K822" i="30"/>
  <c r="K823" i="30"/>
  <c r="K824" i="30"/>
  <c r="K825" i="30"/>
  <c r="K826" i="30"/>
  <c r="K827" i="30"/>
  <c r="K828" i="30"/>
  <c r="K829" i="30"/>
  <c r="K830" i="30"/>
  <c r="K831" i="30"/>
  <c r="K832" i="30"/>
  <c r="K833" i="30"/>
  <c r="K834" i="30"/>
  <c r="K835" i="30"/>
  <c r="K836" i="30"/>
  <c r="K837" i="30"/>
  <c r="K838" i="30"/>
  <c r="K839" i="30"/>
  <c r="K840" i="30"/>
  <c r="K841" i="30"/>
  <c r="K842" i="30"/>
  <c r="K843" i="30"/>
  <c r="K844" i="30"/>
  <c r="K845" i="30"/>
  <c r="K846" i="30"/>
  <c r="K847" i="30"/>
  <c r="K848" i="30"/>
  <c r="K849" i="30"/>
  <c r="K850" i="30"/>
  <c r="K851" i="30"/>
  <c r="K852" i="30"/>
  <c r="K853" i="30"/>
  <c r="K854" i="30"/>
  <c r="K855" i="30"/>
  <c r="K856" i="30"/>
  <c r="K857" i="30"/>
  <c r="K858" i="30"/>
  <c r="K859" i="30"/>
  <c r="K860" i="30"/>
  <c r="K861" i="30"/>
  <c r="K862" i="30"/>
  <c r="K863" i="30"/>
  <c r="K864" i="30"/>
  <c r="K865" i="30"/>
  <c r="K866" i="30"/>
  <c r="K867" i="30"/>
  <c r="K868" i="30"/>
  <c r="K869" i="30"/>
  <c r="K870" i="30"/>
  <c r="K871" i="30"/>
  <c r="K872" i="30"/>
  <c r="K873" i="30"/>
  <c r="K874" i="30"/>
  <c r="K875" i="30"/>
  <c r="K876" i="30"/>
  <c r="K877" i="30"/>
  <c r="K878" i="30"/>
  <c r="K879" i="30"/>
  <c r="K880" i="30"/>
  <c r="K881" i="30"/>
  <c r="K882" i="30"/>
  <c r="K883" i="30"/>
  <c r="K884" i="30"/>
  <c r="K885" i="30"/>
  <c r="K886" i="30"/>
  <c r="K887" i="30"/>
  <c r="K888" i="30"/>
  <c r="K889" i="30"/>
  <c r="K890" i="30"/>
  <c r="K891" i="30"/>
  <c r="K892" i="30"/>
  <c r="K893" i="30"/>
  <c r="K894" i="30"/>
  <c r="K895" i="30"/>
  <c r="K896" i="30"/>
  <c r="K897" i="30"/>
  <c r="K898" i="30"/>
  <c r="K899" i="30"/>
  <c r="K900" i="30"/>
  <c r="K901" i="30"/>
  <c r="K902" i="30"/>
  <c r="K903" i="30"/>
  <c r="K904" i="30"/>
  <c r="K905" i="30"/>
  <c r="K906" i="30"/>
  <c r="K907" i="30"/>
  <c r="K908" i="30"/>
  <c r="K909" i="30"/>
  <c r="K910" i="30"/>
  <c r="K911" i="30"/>
  <c r="K912" i="30"/>
  <c r="K913" i="30"/>
  <c r="K914" i="30"/>
  <c r="K915" i="30"/>
  <c r="K916" i="30"/>
  <c r="K917" i="30"/>
  <c r="K918" i="30"/>
  <c r="K919" i="30"/>
  <c r="K920" i="30"/>
  <c r="K921" i="30"/>
  <c r="K922" i="30"/>
  <c r="K923" i="30"/>
  <c r="K924" i="30"/>
  <c r="K925" i="30"/>
  <c r="K926" i="30"/>
  <c r="K927" i="30"/>
  <c r="K928" i="30"/>
  <c r="K929" i="30"/>
  <c r="K930" i="30"/>
  <c r="K931" i="30"/>
  <c r="K932" i="30"/>
  <c r="K933" i="30"/>
  <c r="K934" i="30"/>
  <c r="K935" i="30"/>
  <c r="K936" i="30"/>
  <c r="K937" i="30"/>
  <c r="K938" i="30"/>
  <c r="K939" i="30"/>
  <c r="K940" i="30"/>
  <c r="K941" i="30"/>
  <c r="K942" i="30"/>
  <c r="K943" i="30"/>
  <c r="K944" i="30"/>
  <c r="K945" i="30"/>
  <c r="K946" i="30"/>
  <c r="K947" i="30"/>
  <c r="K948" i="30"/>
  <c r="K949" i="30"/>
  <c r="K950" i="30"/>
  <c r="K951" i="30"/>
  <c r="K952" i="30"/>
  <c r="K953" i="30"/>
  <c r="K954" i="30"/>
  <c r="K955" i="30"/>
  <c r="K956" i="30"/>
  <c r="K957" i="30"/>
  <c r="K958" i="30"/>
  <c r="K959" i="30"/>
  <c r="K960" i="30"/>
  <c r="K961" i="30"/>
  <c r="K962" i="30"/>
  <c r="K963" i="30"/>
  <c r="K964" i="30"/>
  <c r="K965" i="30"/>
  <c r="K966" i="30"/>
  <c r="K967" i="30"/>
  <c r="K968" i="30"/>
  <c r="K969" i="30"/>
  <c r="K970" i="30"/>
  <c r="K971" i="30"/>
  <c r="K972" i="30"/>
  <c r="K973" i="30"/>
  <c r="K974" i="30"/>
  <c r="K975" i="30"/>
  <c r="K976" i="30"/>
  <c r="K977" i="30"/>
  <c r="K978" i="30"/>
  <c r="K979" i="30"/>
  <c r="K980" i="30"/>
  <c r="K981" i="30"/>
  <c r="K982" i="30"/>
  <c r="K983" i="30"/>
  <c r="K984" i="30"/>
  <c r="K985" i="30"/>
  <c r="K986" i="30"/>
  <c r="K987" i="30"/>
  <c r="K988" i="30"/>
  <c r="K989" i="30"/>
  <c r="K990" i="30"/>
  <c r="K991" i="30"/>
  <c r="K992" i="30"/>
  <c r="K993" i="30"/>
  <c r="K994" i="30"/>
  <c r="K995" i="30"/>
  <c r="K996" i="30"/>
  <c r="K997" i="30"/>
  <c r="K998" i="30"/>
  <c r="K999" i="30"/>
  <c r="K1000" i="30"/>
  <c r="K1001" i="30"/>
  <c r="K1002" i="30"/>
  <c r="K1003" i="30"/>
  <c r="K1004" i="30"/>
  <c r="K1005" i="30"/>
  <c r="K1006" i="30"/>
  <c r="K1007" i="30"/>
  <c r="K2" i="30"/>
  <c r="S2" i="24" l="1"/>
  <c r="S3" i="24"/>
  <c r="M3" i="24" l="1"/>
  <c r="M4" i="24" s="1"/>
  <c r="M2" i="24"/>
  <c r="M5" i="24" s="1"/>
  <c r="T2" i="24"/>
  <c r="N3" i="5" l="1"/>
  <c r="N7" i="5"/>
  <c r="L7" i="5" l="1"/>
  <c r="L3" i="5"/>
  <c r="U15" i="15"/>
  <c r="V19" i="16" l="1"/>
  <c r="K12" i="15"/>
  <c r="M13" i="15"/>
  <c r="L12" i="15"/>
  <c r="M12" i="15"/>
  <c r="N12" i="15"/>
  <c r="O12" i="15"/>
  <c r="P12" i="15"/>
  <c r="L13" i="15"/>
  <c r="N13" i="15"/>
  <c r="O13" i="15"/>
  <c r="P13" i="15"/>
  <c r="L14" i="15"/>
  <c r="M14" i="15"/>
  <c r="N14" i="15"/>
  <c r="O14" i="15"/>
  <c r="P14" i="15"/>
  <c r="L15" i="15"/>
  <c r="M15" i="15"/>
  <c r="N15" i="15"/>
  <c r="O15" i="15"/>
  <c r="P15" i="15"/>
  <c r="L16" i="15"/>
  <c r="M16" i="15"/>
  <c r="N16" i="15"/>
  <c r="O16" i="15"/>
  <c r="P16" i="15"/>
  <c r="L17" i="15"/>
  <c r="M17" i="15"/>
  <c r="N17" i="15"/>
  <c r="O17" i="15"/>
  <c r="P17" i="15"/>
  <c r="K17" i="15"/>
  <c r="K16" i="15"/>
  <c r="K15" i="15"/>
  <c r="K14" i="15"/>
  <c r="K13" i="15"/>
  <c r="M28" i="24"/>
  <c r="C29" i="15" l="1"/>
  <c r="D29" i="15"/>
  <c r="E29" i="15"/>
  <c r="F29" i="15"/>
  <c r="G29" i="15"/>
  <c r="C30" i="15"/>
  <c r="D30" i="15"/>
  <c r="E30" i="15"/>
  <c r="F30" i="15"/>
  <c r="G30" i="15"/>
  <c r="C31" i="15"/>
  <c r="D31" i="15"/>
  <c r="E31" i="15"/>
  <c r="F31" i="15"/>
  <c r="G31" i="15"/>
  <c r="C32" i="15"/>
  <c r="D32" i="15"/>
  <c r="E32" i="15"/>
  <c r="F32" i="15"/>
  <c r="G32" i="15"/>
  <c r="C33" i="15"/>
  <c r="D33" i="15"/>
  <c r="E33" i="15"/>
  <c r="F33" i="15"/>
  <c r="G33" i="15"/>
  <c r="C34" i="15"/>
  <c r="D34" i="15"/>
  <c r="E34" i="15"/>
  <c r="F34" i="15"/>
  <c r="G34" i="15"/>
  <c r="B34" i="15"/>
  <c r="B33" i="15"/>
  <c r="B32" i="15"/>
  <c r="B31" i="15"/>
  <c r="B30" i="15"/>
  <c r="C61" i="5" l="1"/>
  <c r="H62" i="5"/>
  <c r="E61" i="5"/>
  <c r="F60" i="5"/>
  <c r="H58" i="5"/>
  <c r="C58" i="5"/>
  <c r="C62" i="5"/>
  <c r="F63" i="5"/>
  <c r="G62" i="5"/>
  <c r="H61" i="5"/>
  <c r="D61" i="5"/>
  <c r="E60" i="5"/>
  <c r="F59" i="5"/>
  <c r="G58" i="5"/>
  <c r="C63" i="5"/>
  <c r="F62" i="5"/>
  <c r="D60" i="5"/>
  <c r="F58" i="5"/>
  <c r="C59" i="5"/>
  <c r="E63" i="5"/>
  <c r="G61" i="5"/>
  <c r="H60" i="5"/>
  <c r="E59" i="5"/>
  <c r="C60" i="5"/>
  <c r="H63" i="5"/>
  <c r="D63" i="5"/>
  <c r="E62" i="5"/>
  <c r="F61" i="5"/>
  <c r="G60" i="5"/>
  <c r="H59" i="5"/>
  <c r="D59" i="5"/>
  <c r="E58" i="5"/>
  <c r="G63" i="5"/>
  <c r="D62" i="5"/>
  <c r="G59" i="5"/>
  <c r="D58" i="5"/>
  <c r="C3" i="3"/>
  <c r="D3" i="3"/>
  <c r="E3" i="3"/>
  <c r="F3" i="3"/>
  <c r="G3" i="3"/>
  <c r="H3" i="3"/>
  <c r="I3" i="3"/>
  <c r="J3" i="3"/>
  <c r="C4" i="3"/>
  <c r="D4" i="3"/>
  <c r="E4" i="3"/>
  <c r="F4" i="3"/>
  <c r="G4" i="3"/>
  <c r="H4" i="3"/>
  <c r="I4" i="3"/>
  <c r="J4" i="3"/>
  <c r="C5" i="3"/>
  <c r="D5" i="3"/>
  <c r="E5" i="3"/>
  <c r="F5" i="3"/>
  <c r="G5" i="3"/>
  <c r="H5" i="3"/>
  <c r="I5" i="3"/>
  <c r="J5" i="3"/>
  <c r="C6" i="3"/>
  <c r="D6" i="3"/>
  <c r="E6" i="3"/>
  <c r="F6" i="3"/>
  <c r="G6" i="3"/>
  <c r="H6" i="3"/>
  <c r="I6" i="3"/>
  <c r="J6" i="3"/>
  <c r="C7" i="3"/>
  <c r="D7" i="3"/>
  <c r="E7" i="3"/>
  <c r="F7" i="3"/>
  <c r="G7" i="3"/>
  <c r="H7" i="3"/>
  <c r="I7" i="3"/>
  <c r="J7" i="3"/>
  <c r="C8" i="3"/>
  <c r="D8" i="3"/>
  <c r="E8" i="3"/>
  <c r="F8" i="3"/>
  <c r="G8" i="3"/>
  <c r="H8" i="3"/>
  <c r="I8" i="3"/>
  <c r="J8" i="3"/>
  <c r="C9" i="3"/>
  <c r="D9" i="3"/>
  <c r="E9" i="3"/>
  <c r="F9" i="3"/>
  <c r="G9" i="3"/>
  <c r="H9" i="3"/>
  <c r="I9" i="3"/>
  <c r="J9" i="3"/>
  <c r="C10" i="3"/>
  <c r="D10" i="3"/>
  <c r="E10" i="3"/>
  <c r="F10" i="3"/>
  <c r="G10" i="3"/>
  <c r="H10" i="3"/>
  <c r="I10" i="3"/>
  <c r="J10" i="3"/>
  <c r="C11" i="3"/>
  <c r="D11" i="3"/>
  <c r="E11" i="3"/>
  <c r="F11" i="3"/>
  <c r="G11" i="3"/>
  <c r="H11" i="3"/>
  <c r="I11" i="3"/>
  <c r="J11" i="3"/>
  <c r="C12" i="3"/>
  <c r="D12" i="3"/>
  <c r="E12" i="3"/>
  <c r="F12" i="3"/>
  <c r="G12" i="3"/>
  <c r="H12" i="3"/>
  <c r="I12" i="3"/>
  <c r="J12" i="3"/>
  <c r="C13" i="3"/>
  <c r="D13" i="3"/>
  <c r="E13" i="3"/>
  <c r="F13" i="3"/>
  <c r="G13" i="3"/>
  <c r="H13" i="3"/>
  <c r="I13" i="3"/>
  <c r="J13" i="3"/>
  <c r="C14" i="3"/>
  <c r="D14" i="3"/>
  <c r="E14" i="3"/>
  <c r="F14" i="3"/>
  <c r="G14" i="3"/>
  <c r="H14" i="3"/>
  <c r="I14" i="3"/>
  <c r="J14" i="3"/>
  <c r="C15" i="3"/>
  <c r="D15" i="3"/>
  <c r="E15" i="3"/>
  <c r="F15" i="3"/>
  <c r="G15" i="3"/>
  <c r="H15" i="3"/>
  <c r="I15" i="3"/>
  <c r="J15" i="3"/>
  <c r="C16" i="3"/>
  <c r="D16" i="3"/>
  <c r="E16" i="3"/>
  <c r="F16" i="3"/>
  <c r="G16" i="3"/>
  <c r="H16" i="3"/>
  <c r="I16" i="3"/>
  <c r="J16" i="3"/>
  <c r="C17" i="3"/>
  <c r="D17" i="3"/>
  <c r="E17" i="3"/>
  <c r="F17" i="3"/>
  <c r="G17" i="3"/>
  <c r="H17" i="3"/>
  <c r="I17" i="3"/>
  <c r="J17" i="3"/>
  <c r="C18" i="3"/>
  <c r="D18" i="3"/>
  <c r="E18" i="3"/>
  <c r="F18" i="3"/>
  <c r="G18" i="3"/>
  <c r="H18" i="3"/>
  <c r="I18" i="3"/>
  <c r="J18" i="3"/>
  <c r="C19" i="3"/>
  <c r="D19" i="3"/>
  <c r="E19" i="3"/>
  <c r="F19" i="3"/>
  <c r="G19" i="3"/>
  <c r="H19" i="3"/>
  <c r="I19" i="3"/>
  <c r="J19" i="3"/>
  <c r="C20" i="3"/>
  <c r="D20" i="3"/>
  <c r="E20" i="3"/>
  <c r="F20" i="3"/>
  <c r="G20" i="3"/>
  <c r="H20" i="3"/>
  <c r="I20" i="3"/>
  <c r="J20" i="3"/>
  <c r="C21" i="3"/>
  <c r="D21" i="3"/>
  <c r="E21" i="3"/>
  <c r="F21" i="3"/>
  <c r="G21" i="3"/>
  <c r="H21" i="3"/>
  <c r="I21" i="3"/>
  <c r="J21" i="3"/>
  <c r="C22" i="3"/>
  <c r="D22" i="3"/>
  <c r="E22" i="3"/>
  <c r="F22" i="3"/>
  <c r="G22" i="3"/>
  <c r="H22" i="3"/>
  <c r="I22" i="3"/>
  <c r="J22" i="3"/>
  <c r="C23" i="3"/>
  <c r="D23" i="3"/>
  <c r="E23" i="3"/>
  <c r="F23" i="3"/>
  <c r="G23" i="3"/>
  <c r="H23" i="3"/>
  <c r="I23" i="3"/>
  <c r="J23" i="3"/>
  <c r="C24" i="3"/>
  <c r="D24" i="3"/>
  <c r="E24" i="3"/>
  <c r="F24" i="3"/>
  <c r="G24" i="3"/>
  <c r="H24" i="3"/>
  <c r="I24" i="3"/>
  <c r="J24" i="3"/>
  <c r="C25" i="3"/>
  <c r="D25" i="3"/>
  <c r="E25" i="3"/>
  <c r="F25" i="3"/>
  <c r="G25" i="3"/>
  <c r="H25" i="3"/>
  <c r="I25" i="3"/>
  <c r="J25" i="3"/>
  <c r="C26" i="3"/>
  <c r="D26" i="3"/>
  <c r="E26" i="3"/>
  <c r="F26" i="3"/>
  <c r="G26" i="3"/>
  <c r="H26" i="3"/>
  <c r="I26" i="3"/>
  <c r="J26" i="3"/>
  <c r="C27" i="3"/>
  <c r="D27" i="3"/>
  <c r="E27" i="3"/>
  <c r="F27" i="3"/>
  <c r="G27" i="3"/>
  <c r="H27" i="3"/>
  <c r="I27" i="3"/>
  <c r="J27" i="3"/>
  <c r="C28" i="3"/>
  <c r="D28" i="3"/>
  <c r="E28" i="3"/>
  <c r="F28" i="3"/>
  <c r="G28" i="3"/>
  <c r="H28" i="3"/>
  <c r="I28" i="3"/>
  <c r="J28" i="3"/>
  <c r="C29" i="3"/>
  <c r="D29" i="3"/>
  <c r="E29" i="3"/>
  <c r="F29" i="3"/>
  <c r="G29" i="3"/>
  <c r="H29" i="3"/>
  <c r="I29" i="3"/>
  <c r="J29" i="3"/>
  <c r="C30" i="3"/>
  <c r="D30" i="3"/>
  <c r="E30" i="3"/>
  <c r="F30" i="3"/>
  <c r="G30" i="3"/>
  <c r="H30" i="3"/>
  <c r="I30" i="3"/>
  <c r="J30" i="3"/>
  <c r="C31" i="3"/>
  <c r="D31" i="3"/>
  <c r="E31" i="3"/>
  <c r="F31" i="3"/>
  <c r="G31" i="3"/>
  <c r="H31" i="3"/>
  <c r="I31" i="3"/>
  <c r="J31" i="3"/>
  <c r="C32" i="3"/>
  <c r="D32" i="3"/>
  <c r="E32" i="3"/>
  <c r="F32" i="3"/>
  <c r="G32" i="3"/>
  <c r="H32" i="3"/>
  <c r="I32" i="3"/>
  <c r="J32" i="3"/>
  <c r="C33" i="3"/>
  <c r="D33" i="3"/>
  <c r="E33" i="3"/>
  <c r="F33" i="3"/>
  <c r="G33" i="3"/>
  <c r="H33" i="3"/>
  <c r="I33" i="3"/>
  <c r="J33" i="3"/>
  <c r="C34" i="3"/>
  <c r="D34" i="3"/>
  <c r="E34" i="3"/>
  <c r="F34" i="3"/>
  <c r="G34" i="3"/>
  <c r="H34" i="3"/>
  <c r="I34" i="3"/>
  <c r="J34" i="3"/>
  <c r="C35" i="3"/>
  <c r="D35" i="3"/>
  <c r="E35" i="3"/>
  <c r="F35" i="3"/>
  <c r="G35" i="3"/>
  <c r="H35" i="3"/>
  <c r="I35" i="3"/>
  <c r="J35" i="3"/>
  <c r="C36" i="3"/>
  <c r="D36" i="3"/>
  <c r="E36" i="3"/>
  <c r="F36" i="3"/>
  <c r="G36" i="3"/>
  <c r="H36" i="3"/>
  <c r="I36" i="3"/>
  <c r="J36" i="3"/>
  <c r="C37" i="3"/>
  <c r="D37" i="3"/>
  <c r="E37" i="3"/>
  <c r="F37" i="3"/>
  <c r="G37" i="3"/>
  <c r="H37" i="3"/>
  <c r="I37" i="3"/>
  <c r="J37" i="3"/>
  <c r="C38" i="3"/>
  <c r="D38" i="3"/>
  <c r="E38" i="3"/>
  <c r="F38" i="3"/>
  <c r="G38" i="3"/>
  <c r="H38" i="3"/>
  <c r="I38" i="3"/>
  <c r="J38" i="3"/>
  <c r="C39" i="3"/>
  <c r="D39" i="3"/>
  <c r="E39" i="3"/>
  <c r="F39" i="3"/>
  <c r="G39" i="3"/>
  <c r="H39" i="3"/>
  <c r="I39" i="3"/>
  <c r="J39" i="3"/>
  <c r="C40" i="3"/>
  <c r="D40" i="3"/>
  <c r="E40" i="3"/>
  <c r="F40" i="3"/>
  <c r="G40" i="3"/>
  <c r="H40" i="3"/>
  <c r="I40" i="3"/>
  <c r="J40" i="3"/>
  <c r="C41" i="3"/>
  <c r="D41" i="3"/>
  <c r="E41" i="3"/>
  <c r="F41" i="3"/>
  <c r="G41" i="3"/>
  <c r="H41" i="3"/>
  <c r="I41" i="3"/>
  <c r="J41" i="3"/>
  <c r="C42" i="3"/>
  <c r="D42" i="3"/>
  <c r="E42" i="3"/>
  <c r="F42" i="3"/>
  <c r="G42" i="3"/>
  <c r="H42" i="3"/>
  <c r="I42" i="3"/>
  <c r="J42" i="3"/>
  <c r="C43" i="3"/>
  <c r="D43" i="3"/>
  <c r="E43" i="3"/>
  <c r="F43" i="3"/>
  <c r="G43" i="3"/>
  <c r="H43" i="3"/>
  <c r="I43" i="3"/>
  <c r="J43" i="3"/>
  <c r="C44" i="3"/>
  <c r="D44" i="3"/>
  <c r="E44" i="3"/>
  <c r="F44" i="3"/>
  <c r="G44" i="3"/>
  <c r="H44" i="3"/>
  <c r="I44" i="3"/>
  <c r="J44" i="3"/>
  <c r="C45" i="3"/>
  <c r="D45" i="3"/>
  <c r="E45" i="3"/>
  <c r="F45" i="3"/>
  <c r="G45" i="3"/>
  <c r="H45" i="3"/>
  <c r="I45" i="3"/>
  <c r="J45" i="3"/>
  <c r="C46" i="3"/>
  <c r="D46" i="3"/>
  <c r="E46" i="3"/>
  <c r="F46" i="3"/>
  <c r="G46" i="3"/>
  <c r="H46" i="3"/>
  <c r="I46" i="3"/>
  <c r="J46" i="3"/>
  <c r="C47" i="3"/>
  <c r="D47" i="3"/>
  <c r="E47" i="3"/>
  <c r="F47" i="3"/>
  <c r="G47" i="3"/>
  <c r="H47" i="3"/>
  <c r="I47" i="3"/>
  <c r="J47" i="3"/>
  <c r="C48" i="3"/>
  <c r="D48" i="3"/>
  <c r="E48" i="3"/>
  <c r="F48" i="3"/>
  <c r="G48" i="3"/>
  <c r="H48" i="3"/>
  <c r="I48" i="3"/>
  <c r="J48" i="3"/>
  <c r="C49" i="3"/>
  <c r="D49" i="3"/>
  <c r="E49" i="3"/>
  <c r="F49" i="3"/>
  <c r="G49" i="3"/>
  <c r="H49" i="3"/>
  <c r="I49" i="3"/>
  <c r="J49" i="3"/>
  <c r="C50" i="3"/>
  <c r="D50" i="3"/>
  <c r="E50" i="3"/>
  <c r="F50" i="3"/>
  <c r="G50" i="3"/>
  <c r="H50" i="3"/>
  <c r="I50" i="3"/>
  <c r="J50" i="3"/>
  <c r="C51" i="3"/>
  <c r="D51" i="3"/>
  <c r="E51" i="3"/>
  <c r="F51" i="3"/>
  <c r="G51" i="3"/>
  <c r="H51" i="3"/>
  <c r="I51" i="3"/>
  <c r="J51" i="3"/>
  <c r="C52" i="3"/>
  <c r="D52" i="3"/>
  <c r="E52" i="3"/>
  <c r="F52" i="3"/>
  <c r="G52" i="3"/>
  <c r="H52" i="3"/>
  <c r="I52" i="3"/>
  <c r="J52" i="3"/>
  <c r="C53" i="3"/>
  <c r="D53" i="3"/>
  <c r="E53" i="3"/>
  <c r="F53" i="3"/>
  <c r="G53" i="3"/>
  <c r="H53" i="3"/>
  <c r="I53" i="3"/>
  <c r="J53" i="3"/>
  <c r="C54" i="3"/>
  <c r="D54" i="3"/>
  <c r="E54" i="3"/>
  <c r="F54" i="3"/>
  <c r="G54" i="3"/>
  <c r="H54" i="3"/>
  <c r="I54" i="3"/>
  <c r="J54" i="3"/>
  <c r="C55" i="3"/>
  <c r="D55" i="3"/>
  <c r="E55" i="3"/>
  <c r="F55" i="3"/>
  <c r="G55" i="3"/>
  <c r="H55" i="3"/>
  <c r="I55" i="3"/>
  <c r="J55" i="3"/>
  <c r="C56" i="3"/>
  <c r="D56" i="3"/>
  <c r="E56" i="3"/>
  <c r="F56" i="3"/>
  <c r="G56" i="3"/>
  <c r="H56" i="3"/>
  <c r="I56" i="3"/>
  <c r="J56" i="3"/>
  <c r="C57" i="3"/>
  <c r="D57" i="3"/>
  <c r="E57" i="3"/>
  <c r="F57" i="3"/>
  <c r="G57" i="3"/>
  <c r="H57" i="3"/>
  <c r="I57" i="3"/>
  <c r="J57" i="3"/>
  <c r="C58" i="3"/>
  <c r="D58" i="3"/>
  <c r="E58" i="3"/>
  <c r="F58" i="3"/>
  <c r="G58" i="3"/>
  <c r="H58" i="3"/>
  <c r="I58" i="3"/>
  <c r="J58" i="3"/>
  <c r="C59" i="3"/>
  <c r="D59" i="3"/>
  <c r="E59" i="3"/>
  <c r="F59" i="3"/>
  <c r="G59" i="3"/>
  <c r="H59" i="3"/>
  <c r="I59" i="3"/>
  <c r="J59" i="3"/>
  <c r="C60" i="3"/>
  <c r="D60" i="3"/>
  <c r="E60" i="3"/>
  <c r="F60" i="3"/>
  <c r="G60" i="3"/>
  <c r="H60" i="3"/>
  <c r="I60" i="3"/>
  <c r="J60" i="3"/>
  <c r="C61" i="3"/>
  <c r="D61" i="3"/>
  <c r="E61" i="3"/>
  <c r="F61" i="3"/>
  <c r="G61" i="3"/>
  <c r="H61" i="3"/>
  <c r="I61" i="3"/>
  <c r="J61" i="3"/>
  <c r="C62" i="3"/>
  <c r="D62" i="3"/>
  <c r="E62" i="3"/>
  <c r="F62" i="3"/>
  <c r="G62" i="3"/>
  <c r="H62" i="3"/>
  <c r="I62" i="3"/>
  <c r="J62" i="3"/>
  <c r="C63" i="3"/>
  <c r="D63" i="3"/>
  <c r="E63" i="3"/>
  <c r="F63" i="3"/>
  <c r="G63" i="3"/>
  <c r="H63" i="3"/>
  <c r="I63" i="3"/>
  <c r="J63" i="3"/>
  <c r="C64" i="3"/>
  <c r="D64" i="3"/>
  <c r="E64" i="3"/>
  <c r="F64" i="3"/>
  <c r="G64" i="3"/>
  <c r="H64" i="3"/>
  <c r="I64" i="3"/>
  <c r="J64" i="3"/>
  <c r="C65" i="3"/>
  <c r="D65" i="3"/>
  <c r="E65" i="3"/>
  <c r="F65" i="3"/>
  <c r="G65" i="3"/>
  <c r="H65" i="3"/>
  <c r="I65" i="3"/>
  <c r="J65" i="3"/>
  <c r="C66" i="3"/>
  <c r="D66" i="3"/>
  <c r="E66" i="3"/>
  <c r="F66" i="3"/>
  <c r="G66" i="3"/>
  <c r="H66" i="3"/>
  <c r="I66" i="3"/>
  <c r="J66" i="3"/>
  <c r="C67" i="3"/>
  <c r="D67" i="3"/>
  <c r="E67" i="3"/>
  <c r="F67" i="3"/>
  <c r="G67" i="3"/>
  <c r="H67" i="3"/>
  <c r="I67" i="3"/>
  <c r="J67" i="3"/>
  <c r="C68" i="3"/>
  <c r="D68" i="3"/>
  <c r="E68" i="3"/>
  <c r="F68" i="3"/>
  <c r="G68" i="3"/>
  <c r="H68" i="3"/>
  <c r="I68" i="3"/>
  <c r="J68" i="3"/>
  <c r="C69" i="3"/>
  <c r="D69" i="3"/>
  <c r="E69" i="3"/>
  <c r="F69" i="3"/>
  <c r="G69" i="3"/>
  <c r="H69" i="3"/>
  <c r="I69" i="3"/>
  <c r="J69" i="3"/>
  <c r="C70" i="3"/>
  <c r="D70" i="3"/>
  <c r="E70" i="3"/>
  <c r="F70" i="3"/>
  <c r="G70" i="3"/>
  <c r="H70" i="3"/>
  <c r="I70" i="3"/>
  <c r="J70" i="3"/>
  <c r="C71" i="3"/>
  <c r="D71" i="3"/>
  <c r="E71" i="3"/>
  <c r="F71" i="3"/>
  <c r="G71" i="3"/>
  <c r="H71" i="3"/>
  <c r="I71" i="3"/>
  <c r="J71" i="3"/>
  <c r="C72" i="3"/>
  <c r="D72" i="3"/>
  <c r="E72" i="3"/>
  <c r="F72" i="3"/>
  <c r="G72" i="3"/>
  <c r="H72" i="3"/>
  <c r="I72" i="3"/>
  <c r="J72" i="3"/>
  <c r="C73" i="3"/>
  <c r="D73" i="3"/>
  <c r="E73" i="3"/>
  <c r="F73" i="3"/>
  <c r="G73" i="3"/>
  <c r="H73" i="3"/>
  <c r="I73" i="3"/>
  <c r="J73" i="3"/>
  <c r="C74" i="3"/>
  <c r="D74" i="3"/>
  <c r="E74" i="3"/>
  <c r="F74" i="3"/>
  <c r="G74" i="3"/>
  <c r="H74" i="3"/>
  <c r="I74" i="3"/>
  <c r="J74" i="3"/>
  <c r="C75" i="3"/>
  <c r="D75" i="3"/>
  <c r="E75" i="3"/>
  <c r="F75" i="3"/>
  <c r="G75" i="3"/>
  <c r="H75" i="3"/>
  <c r="I75" i="3"/>
  <c r="J75" i="3"/>
  <c r="C76" i="3"/>
  <c r="D76" i="3"/>
  <c r="E76" i="3"/>
  <c r="F76" i="3"/>
  <c r="G76" i="3"/>
  <c r="H76" i="3"/>
  <c r="I76" i="3"/>
  <c r="J76" i="3"/>
  <c r="C77" i="3"/>
  <c r="D77" i="3"/>
  <c r="E77" i="3"/>
  <c r="F77" i="3"/>
  <c r="G77" i="3"/>
  <c r="H77" i="3"/>
  <c r="I77" i="3"/>
  <c r="J77" i="3"/>
  <c r="C78" i="3"/>
  <c r="D78" i="3"/>
  <c r="E78" i="3"/>
  <c r="F78" i="3"/>
  <c r="G78" i="3"/>
  <c r="H78" i="3"/>
  <c r="I78" i="3"/>
  <c r="J78" i="3"/>
  <c r="C79" i="3"/>
  <c r="D79" i="3"/>
  <c r="E79" i="3"/>
  <c r="F79" i="3"/>
  <c r="G79" i="3"/>
  <c r="H79" i="3"/>
  <c r="I79" i="3"/>
  <c r="J79" i="3"/>
  <c r="C80" i="3"/>
  <c r="D80" i="3"/>
  <c r="E80" i="3"/>
  <c r="F80" i="3"/>
  <c r="G80" i="3"/>
  <c r="H80" i="3"/>
  <c r="I80" i="3"/>
  <c r="J80" i="3"/>
  <c r="C81" i="3"/>
  <c r="D81" i="3"/>
  <c r="E81" i="3"/>
  <c r="F81" i="3"/>
  <c r="G81" i="3"/>
  <c r="H81" i="3"/>
  <c r="I81" i="3"/>
  <c r="J81" i="3"/>
  <c r="C82" i="3"/>
  <c r="D82" i="3"/>
  <c r="E82" i="3"/>
  <c r="F82" i="3"/>
  <c r="G82" i="3"/>
  <c r="H82" i="3"/>
  <c r="I82" i="3"/>
  <c r="J82" i="3"/>
  <c r="C83" i="3"/>
  <c r="D83" i="3"/>
  <c r="E83" i="3"/>
  <c r="F83" i="3"/>
  <c r="G83" i="3"/>
  <c r="H83" i="3"/>
  <c r="I83" i="3"/>
  <c r="J83" i="3"/>
  <c r="C84" i="3"/>
  <c r="D84" i="3"/>
  <c r="E84" i="3"/>
  <c r="F84" i="3"/>
  <c r="G84" i="3"/>
  <c r="H84" i="3"/>
  <c r="I84" i="3"/>
  <c r="J84" i="3"/>
  <c r="C85" i="3"/>
  <c r="D85" i="3"/>
  <c r="E85" i="3"/>
  <c r="F85" i="3"/>
  <c r="G85" i="3"/>
  <c r="H85" i="3"/>
  <c r="I85" i="3"/>
  <c r="J85" i="3"/>
  <c r="C86" i="3"/>
  <c r="D86" i="3"/>
  <c r="E86" i="3"/>
  <c r="F86" i="3"/>
  <c r="G86" i="3"/>
  <c r="H86" i="3"/>
  <c r="I86" i="3"/>
  <c r="J86" i="3"/>
  <c r="C87" i="3"/>
  <c r="D87" i="3"/>
  <c r="E87" i="3"/>
  <c r="F87" i="3"/>
  <c r="G87" i="3"/>
  <c r="H87" i="3"/>
  <c r="I87" i="3"/>
  <c r="J87" i="3"/>
  <c r="C88" i="3"/>
  <c r="D88" i="3"/>
  <c r="E88" i="3"/>
  <c r="F88" i="3"/>
  <c r="G88" i="3"/>
  <c r="H88" i="3"/>
  <c r="I88" i="3"/>
  <c r="J88" i="3"/>
  <c r="C89" i="3"/>
  <c r="D89" i="3"/>
  <c r="E89" i="3"/>
  <c r="F89" i="3"/>
  <c r="G89" i="3"/>
  <c r="H89" i="3"/>
  <c r="I89" i="3"/>
  <c r="J89" i="3"/>
  <c r="C90" i="3"/>
  <c r="D90" i="3"/>
  <c r="E90" i="3"/>
  <c r="F90" i="3"/>
  <c r="G90" i="3"/>
  <c r="H90" i="3"/>
  <c r="I90" i="3"/>
  <c r="J90" i="3"/>
  <c r="C91" i="3"/>
  <c r="D91" i="3"/>
  <c r="E91" i="3"/>
  <c r="F91" i="3"/>
  <c r="G91" i="3"/>
  <c r="H91" i="3"/>
  <c r="I91" i="3"/>
  <c r="J91" i="3"/>
  <c r="C92" i="3"/>
  <c r="D92" i="3"/>
  <c r="E92" i="3"/>
  <c r="F92" i="3"/>
  <c r="G92" i="3"/>
  <c r="H92" i="3"/>
  <c r="I92" i="3"/>
  <c r="J92" i="3"/>
  <c r="C93" i="3"/>
  <c r="D93" i="3"/>
  <c r="E93" i="3"/>
  <c r="F93" i="3"/>
  <c r="G93" i="3"/>
  <c r="H93" i="3"/>
  <c r="I93" i="3"/>
  <c r="J93" i="3"/>
  <c r="C94" i="3"/>
  <c r="D94" i="3"/>
  <c r="E94" i="3"/>
  <c r="F94" i="3"/>
  <c r="G94" i="3"/>
  <c r="H94" i="3"/>
  <c r="I94" i="3"/>
  <c r="J94" i="3"/>
  <c r="C95" i="3"/>
  <c r="D95" i="3"/>
  <c r="E95" i="3"/>
  <c r="F95" i="3"/>
  <c r="G95" i="3"/>
  <c r="H95" i="3"/>
  <c r="I95" i="3"/>
  <c r="J95" i="3"/>
  <c r="C96" i="3"/>
  <c r="D96" i="3"/>
  <c r="E96" i="3"/>
  <c r="F96" i="3"/>
  <c r="G96" i="3"/>
  <c r="H96" i="3"/>
  <c r="I96" i="3"/>
  <c r="J96" i="3"/>
  <c r="C97" i="3"/>
  <c r="D97" i="3"/>
  <c r="E97" i="3"/>
  <c r="F97" i="3"/>
  <c r="G97" i="3"/>
  <c r="H97" i="3"/>
  <c r="I97" i="3"/>
  <c r="J97" i="3"/>
  <c r="C98" i="3"/>
  <c r="D98" i="3"/>
  <c r="E98" i="3"/>
  <c r="F98" i="3"/>
  <c r="G98" i="3"/>
  <c r="H98" i="3"/>
  <c r="I98" i="3"/>
  <c r="J98" i="3"/>
  <c r="C99" i="3"/>
  <c r="D99" i="3"/>
  <c r="E99" i="3"/>
  <c r="F99" i="3"/>
  <c r="G99" i="3"/>
  <c r="H99" i="3"/>
  <c r="I99" i="3"/>
  <c r="J99" i="3"/>
  <c r="C100" i="3"/>
  <c r="D100" i="3"/>
  <c r="E100" i="3"/>
  <c r="F100" i="3"/>
  <c r="G100" i="3"/>
  <c r="H100" i="3"/>
  <c r="I100" i="3"/>
  <c r="J100" i="3"/>
  <c r="C101" i="3"/>
  <c r="D101" i="3"/>
  <c r="E101" i="3"/>
  <c r="F101" i="3"/>
  <c r="G101" i="3"/>
  <c r="H101" i="3"/>
  <c r="I101" i="3"/>
  <c r="J101" i="3"/>
  <c r="C102" i="3"/>
  <c r="D102" i="3"/>
  <c r="E102" i="3"/>
  <c r="F102" i="3"/>
  <c r="G102" i="3"/>
  <c r="H102" i="3"/>
  <c r="I102" i="3"/>
  <c r="J102" i="3"/>
  <c r="C103" i="3"/>
  <c r="D103" i="3"/>
  <c r="E103" i="3"/>
  <c r="F103" i="3"/>
  <c r="G103" i="3"/>
  <c r="H103" i="3"/>
  <c r="I103" i="3"/>
  <c r="J103" i="3"/>
  <c r="C104" i="3"/>
  <c r="D104" i="3"/>
  <c r="E104" i="3"/>
  <c r="F104" i="3"/>
  <c r="G104" i="3"/>
  <c r="H104" i="3"/>
  <c r="I104" i="3"/>
  <c r="J104" i="3"/>
  <c r="C105" i="3"/>
  <c r="D105" i="3"/>
  <c r="E105" i="3"/>
  <c r="F105" i="3"/>
  <c r="G105" i="3"/>
  <c r="H105" i="3"/>
  <c r="I105" i="3"/>
  <c r="J105" i="3"/>
  <c r="C106" i="3"/>
  <c r="D106" i="3"/>
  <c r="E106" i="3"/>
  <c r="F106" i="3"/>
  <c r="G106" i="3"/>
  <c r="H106" i="3"/>
  <c r="I106" i="3"/>
  <c r="J106" i="3"/>
  <c r="C107" i="3"/>
  <c r="D107" i="3"/>
  <c r="E107" i="3"/>
  <c r="F107" i="3"/>
  <c r="G107" i="3"/>
  <c r="H107" i="3"/>
  <c r="I107" i="3"/>
  <c r="J107" i="3"/>
  <c r="C108" i="3"/>
  <c r="D108" i="3"/>
  <c r="E108" i="3"/>
  <c r="F108" i="3"/>
  <c r="G108" i="3"/>
  <c r="H108" i="3"/>
  <c r="I108" i="3"/>
  <c r="J108" i="3"/>
  <c r="C109" i="3"/>
  <c r="D109" i="3"/>
  <c r="E109" i="3"/>
  <c r="F109" i="3"/>
  <c r="G109" i="3"/>
  <c r="H109" i="3"/>
  <c r="I109" i="3"/>
  <c r="J109" i="3"/>
  <c r="C110" i="3"/>
  <c r="D110" i="3"/>
  <c r="E110" i="3"/>
  <c r="F110" i="3"/>
  <c r="G110" i="3"/>
  <c r="H110" i="3"/>
  <c r="I110" i="3"/>
  <c r="J110" i="3"/>
  <c r="C111" i="3"/>
  <c r="D111" i="3"/>
  <c r="E111" i="3"/>
  <c r="F111" i="3"/>
  <c r="G111" i="3"/>
  <c r="H111" i="3"/>
  <c r="I111" i="3"/>
  <c r="J111" i="3"/>
  <c r="C112" i="3"/>
  <c r="D112" i="3"/>
  <c r="E112" i="3"/>
  <c r="F112" i="3"/>
  <c r="G112" i="3"/>
  <c r="H112" i="3"/>
  <c r="I112" i="3"/>
  <c r="J112" i="3"/>
  <c r="C113" i="3"/>
  <c r="D113" i="3"/>
  <c r="E113" i="3"/>
  <c r="F113" i="3"/>
  <c r="G113" i="3"/>
  <c r="H113" i="3"/>
  <c r="I113" i="3"/>
  <c r="J113" i="3"/>
  <c r="C114" i="3"/>
  <c r="D114" i="3"/>
  <c r="E114" i="3"/>
  <c r="F114" i="3"/>
  <c r="G114" i="3"/>
  <c r="H114" i="3"/>
  <c r="I114" i="3"/>
  <c r="J114" i="3"/>
  <c r="C115" i="3"/>
  <c r="D115" i="3"/>
  <c r="E115" i="3"/>
  <c r="F115" i="3"/>
  <c r="G115" i="3"/>
  <c r="H115" i="3"/>
  <c r="I115" i="3"/>
  <c r="J115" i="3"/>
  <c r="C116" i="3"/>
  <c r="D116" i="3"/>
  <c r="E116" i="3"/>
  <c r="F116" i="3"/>
  <c r="G116" i="3"/>
  <c r="H116" i="3"/>
  <c r="I116" i="3"/>
  <c r="J116" i="3"/>
  <c r="C117" i="3"/>
  <c r="D117" i="3"/>
  <c r="E117" i="3"/>
  <c r="F117" i="3"/>
  <c r="G117" i="3"/>
  <c r="H117" i="3"/>
  <c r="I117" i="3"/>
  <c r="J117" i="3"/>
  <c r="C118" i="3"/>
  <c r="D118" i="3"/>
  <c r="E118" i="3"/>
  <c r="F118" i="3"/>
  <c r="G118" i="3"/>
  <c r="H118" i="3"/>
  <c r="I118" i="3"/>
  <c r="J118" i="3"/>
  <c r="C119" i="3"/>
  <c r="D119" i="3"/>
  <c r="E119" i="3"/>
  <c r="F119" i="3"/>
  <c r="G119" i="3"/>
  <c r="H119" i="3"/>
  <c r="I119" i="3"/>
  <c r="J119" i="3"/>
  <c r="C120" i="3"/>
  <c r="D120" i="3"/>
  <c r="E120" i="3"/>
  <c r="F120" i="3"/>
  <c r="G120" i="3"/>
  <c r="H120" i="3"/>
  <c r="I120" i="3"/>
  <c r="J120" i="3"/>
  <c r="C121" i="3"/>
  <c r="D121" i="3"/>
  <c r="E121" i="3"/>
  <c r="F121" i="3"/>
  <c r="G121" i="3"/>
  <c r="H121" i="3"/>
  <c r="I121" i="3"/>
  <c r="J121" i="3"/>
  <c r="C122" i="3"/>
  <c r="D122" i="3"/>
  <c r="E122" i="3"/>
  <c r="F122" i="3"/>
  <c r="G122" i="3"/>
  <c r="H122" i="3"/>
  <c r="I122" i="3"/>
  <c r="J122" i="3"/>
  <c r="C123" i="3"/>
  <c r="D123" i="3"/>
  <c r="E123" i="3"/>
  <c r="F123" i="3"/>
  <c r="G123" i="3"/>
  <c r="H123" i="3"/>
  <c r="I123" i="3"/>
  <c r="J123" i="3"/>
  <c r="C124" i="3"/>
  <c r="D124" i="3"/>
  <c r="E124" i="3"/>
  <c r="F124" i="3"/>
  <c r="G124" i="3"/>
  <c r="H124" i="3"/>
  <c r="I124" i="3"/>
  <c r="J124" i="3"/>
  <c r="C125" i="3"/>
  <c r="D125" i="3"/>
  <c r="E125" i="3"/>
  <c r="F125" i="3"/>
  <c r="G125" i="3"/>
  <c r="H125" i="3"/>
  <c r="I125" i="3"/>
  <c r="J125" i="3"/>
  <c r="C126" i="3"/>
  <c r="D126" i="3"/>
  <c r="E126" i="3"/>
  <c r="F126" i="3"/>
  <c r="G126" i="3"/>
  <c r="H126" i="3"/>
  <c r="I126" i="3"/>
  <c r="J126" i="3"/>
  <c r="C127" i="3"/>
  <c r="D127" i="3"/>
  <c r="E127" i="3"/>
  <c r="F127" i="3"/>
  <c r="G127" i="3"/>
  <c r="H127" i="3"/>
  <c r="I127" i="3"/>
  <c r="J127" i="3"/>
  <c r="C128" i="3"/>
  <c r="D128" i="3"/>
  <c r="E128" i="3"/>
  <c r="F128" i="3"/>
  <c r="G128" i="3"/>
  <c r="H128" i="3"/>
  <c r="I128" i="3"/>
  <c r="J128" i="3"/>
  <c r="C129" i="3"/>
  <c r="D129" i="3"/>
  <c r="E129" i="3"/>
  <c r="F129" i="3"/>
  <c r="G129" i="3"/>
  <c r="H129" i="3"/>
  <c r="I129" i="3"/>
  <c r="J129" i="3"/>
  <c r="C130" i="3"/>
  <c r="D130" i="3"/>
  <c r="E130" i="3"/>
  <c r="F130" i="3"/>
  <c r="G130" i="3"/>
  <c r="H130" i="3"/>
  <c r="I130" i="3"/>
  <c r="J130" i="3"/>
  <c r="C131" i="3"/>
  <c r="D131" i="3"/>
  <c r="E131" i="3"/>
  <c r="F131" i="3"/>
  <c r="G131" i="3"/>
  <c r="H131" i="3"/>
  <c r="I131" i="3"/>
  <c r="J131" i="3"/>
  <c r="C132" i="3"/>
  <c r="D132" i="3"/>
  <c r="E132" i="3"/>
  <c r="F132" i="3"/>
  <c r="G132" i="3"/>
  <c r="H132" i="3"/>
  <c r="I132" i="3"/>
  <c r="J132" i="3"/>
  <c r="C133" i="3"/>
  <c r="D133" i="3"/>
  <c r="E133" i="3"/>
  <c r="F133" i="3"/>
  <c r="G133" i="3"/>
  <c r="H133" i="3"/>
  <c r="I133" i="3"/>
  <c r="J133" i="3"/>
  <c r="C134" i="3"/>
  <c r="D134" i="3"/>
  <c r="E134" i="3"/>
  <c r="F134" i="3"/>
  <c r="G134" i="3"/>
  <c r="H134" i="3"/>
  <c r="I134" i="3"/>
  <c r="J134" i="3"/>
  <c r="C135" i="3"/>
  <c r="D135" i="3"/>
  <c r="E135" i="3"/>
  <c r="F135" i="3"/>
  <c r="G135" i="3"/>
  <c r="H135" i="3"/>
  <c r="I135" i="3"/>
  <c r="J135" i="3"/>
  <c r="C136" i="3"/>
  <c r="D136" i="3"/>
  <c r="E136" i="3"/>
  <c r="F136" i="3"/>
  <c r="G136" i="3"/>
  <c r="H136" i="3"/>
  <c r="I136" i="3"/>
  <c r="J136" i="3"/>
  <c r="C137" i="3"/>
  <c r="D137" i="3"/>
  <c r="E137" i="3"/>
  <c r="F137" i="3"/>
  <c r="G137" i="3"/>
  <c r="H137" i="3"/>
  <c r="I137" i="3"/>
  <c r="J137" i="3"/>
  <c r="C138" i="3"/>
  <c r="D138" i="3"/>
  <c r="E138" i="3"/>
  <c r="F138" i="3"/>
  <c r="G138" i="3"/>
  <c r="H138" i="3"/>
  <c r="I138" i="3"/>
  <c r="J138" i="3"/>
  <c r="C139" i="3"/>
  <c r="D139" i="3"/>
  <c r="E139" i="3"/>
  <c r="F139" i="3"/>
  <c r="G139" i="3"/>
  <c r="H139" i="3"/>
  <c r="I139" i="3"/>
  <c r="J139" i="3"/>
  <c r="C140" i="3"/>
  <c r="D140" i="3"/>
  <c r="E140" i="3"/>
  <c r="F140" i="3"/>
  <c r="G140" i="3"/>
  <c r="H140" i="3"/>
  <c r="I140" i="3"/>
  <c r="J140" i="3"/>
  <c r="C141" i="3"/>
  <c r="D141" i="3"/>
  <c r="E141" i="3"/>
  <c r="F141" i="3"/>
  <c r="G141" i="3"/>
  <c r="H141" i="3"/>
  <c r="I141" i="3"/>
  <c r="J141" i="3"/>
  <c r="C142" i="3"/>
  <c r="D142" i="3"/>
  <c r="E142" i="3"/>
  <c r="F142" i="3"/>
  <c r="G142" i="3"/>
  <c r="H142" i="3"/>
  <c r="I142" i="3"/>
  <c r="J142" i="3"/>
  <c r="C143" i="3"/>
  <c r="D143" i="3"/>
  <c r="E143" i="3"/>
  <c r="F143" i="3"/>
  <c r="G143" i="3"/>
  <c r="H143" i="3"/>
  <c r="I143" i="3"/>
  <c r="J143" i="3"/>
  <c r="C144" i="3"/>
  <c r="D144" i="3"/>
  <c r="E144" i="3"/>
  <c r="F144" i="3"/>
  <c r="G144" i="3"/>
  <c r="H144" i="3"/>
  <c r="I144" i="3"/>
  <c r="J144" i="3"/>
  <c r="C145" i="3"/>
  <c r="D145" i="3"/>
  <c r="E145" i="3"/>
  <c r="F145" i="3"/>
  <c r="G145" i="3"/>
  <c r="H145" i="3"/>
  <c r="I145" i="3"/>
  <c r="J145" i="3"/>
  <c r="C146" i="3"/>
  <c r="D146" i="3"/>
  <c r="E146" i="3"/>
  <c r="F146" i="3"/>
  <c r="G146" i="3"/>
  <c r="H146" i="3"/>
  <c r="I146" i="3"/>
  <c r="J146" i="3"/>
  <c r="C147" i="3"/>
  <c r="D147" i="3"/>
  <c r="E147" i="3"/>
  <c r="F147" i="3"/>
  <c r="G147" i="3"/>
  <c r="H147" i="3"/>
  <c r="I147" i="3"/>
  <c r="J147" i="3"/>
  <c r="C148" i="3"/>
  <c r="D148" i="3"/>
  <c r="E148" i="3"/>
  <c r="F148" i="3"/>
  <c r="G148" i="3"/>
  <c r="H148" i="3"/>
  <c r="I148" i="3"/>
  <c r="J148" i="3"/>
  <c r="C149" i="3"/>
  <c r="D149" i="3"/>
  <c r="E149" i="3"/>
  <c r="F149" i="3"/>
  <c r="G149" i="3"/>
  <c r="H149" i="3"/>
  <c r="I149" i="3"/>
  <c r="J149" i="3"/>
  <c r="C150" i="3"/>
  <c r="D150" i="3"/>
  <c r="E150" i="3"/>
  <c r="F150" i="3"/>
  <c r="G150" i="3"/>
  <c r="H150" i="3"/>
  <c r="I150" i="3"/>
  <c r="J150" i="3"/>
  <c r="C151" i="3"/>
  <c r="D151" i="3"/>
  <c r="E151" i="3"/>
  <c r="F151" i="3"/>
  <c r="G151" i="3"/>
  <c r="H151" i="3"/>
  <c r="I151" i="3"/>
  <c r="J151" i="3"/>
  <c r="C152" i="3"/>
  <c r="D152" i="3"/>
  <c r="E152" i="3"/>
  <c r="F152" i="3"/>
  <c r="G152" i="3"/>
  <c r="H152" i="3"/>
  <c r="I152" i="3"/>
  <c r="J152" i="3"/>
  <c r="C153" i="3"/>
  <c r="D153" i="3"/>
  <c r="E153" i="3"/>
  <c r="F153" i="3"/>
  <c r="G153" i="3"/>
  <c r="H153" i="3"/>
  <c r="I153" i="3"/>
  <c r="J153" i="3"/>
  <c r="C154" i="3"/>
  <c r="D154" i="3"/>
  <c r="E154" i="3"/>
  <c r="F154" i="3"/>
  <c r="G154" i="3"/>
  <c r="H154" i="3"/>
  <c r="I154" i="3"/>
  <c r="J154" i="3"/>
  <c r="C155" i="3"/>
  <c r="D155" i="3"/>
  <c r="E155" i="3"/>
  <c r="F155" i="3"/>
  <c r="G155" i="3"/>
  <c r="H155" i="3"/>
  <c r="I155" i="3"/>
  <c r="J155" i="3"/>
  <c r="C156" i="3"/>
  <c r="D156" i="3"/>
  <c r="E156" i="3"/>
  <c r="F156" i="3"/>
  <c r="G156" i="3"/>
  <c r="H156" i="3"/>
  <c r="I156" i="3"/>
  <c r="J156" i="3"/>
  <c r="C157" i="3"/>
  <c r="D157" i="3"/>
  <c r="E157" i="3"/>
  <c r="F157" i="3"/>
  <c r="G157" i="3"/>
  <c r="H157" i="3"/>
  <c r="I157" i="3"/>
  <c r="J157" i="3"/>
  <c r="C158" i="3"/>
  <c r="D158" i="3"/>
  <c r="E158" i="3"/>
  <c r="F158" i="3"/>
  <c r="G158" i="3"/>
  <c r="H158" i="3"/>
  <c r="I158" i="3"/>
  <c r="J158" i="3"/>
  <c r="C159" i="3"/>
  <c r="D159" i="3"/>
  <c r="E159" i="3"/>
  <c r="F159" i="3"/>
  <c r="G159" i="3"/>
  <c r="H159" i="3"/>
  <c r="I159" i="3"/>
  <c r="J159" i="3"/>
  <c r="C160" i="3"/>
  <c r="D160" i="3"/>
  <c r="E160" i="3"/>
  <c r="F160" i="3"/>
  <c r="G160" i="3"/>
  <c r="H160" i="3"/>
  <c r="I160" i="3"/>
  <c r="J160" i="3"/>
  <c r="C161" i="3"/>
  <c r="D161" i="3"/>
  <c r="E161" i="3"/>
  <c r="F161" i="3"/>
  <c r="G161" i="3"/>
  <c r="H161" i="3"/>
  <c r="I161" i="3"/>
  <c r="J161" i="3"/>
  <c r="C162" i="3"/>
  <c r="D162" i="3"/>
  <c r="E162" i="3"/>
  <c r="F162" i="3"/>
  <c r="G162" i="3"/>
  <c r="H162" i="3"/>
  <c r="I162" i="3"/>
  <c r="J162" i="3"/>
  <c r="C163" i="3"/>
  <c r="D163" i="3"/>
  <c r="E163" i="3"/>
  <c r="F163" i="3"/>
  <c r="G163" i="3"/>
  <c r="H163" i="3"/>
  <c r="I163" i="3"/>
  <c r="J163" i="3"/>
  <c r="C164" i="3"/>
  <c r="D164" i="3"/>
  <c r="E164" i="3"/>
  <c r="F164" i="3"/>
  <c r="G164" i="3"/>
  <c r="H164" i="3"/>
  <c r="I164" i="3"/>
  <c r="J164" i="3"/>
  <c r="C165" i="3"/>
  <c r="D165" i="3"/>
  <c r="E165" i="3"/>
  <c r="F165" i="3"/>
  <c r="G165" i="3"/>
  <c r="H165" i="3"/>
  <c r="I165" i="3"/>
  <c r="J165" i="3"/>
  <c r="C166" i="3"/>
  <c r="D166" i="3"/>
  <c r="E166" i="3"/>
  <c r="F166" i="3"/>
  <c r="G166" i="3"/>
  <c r="H166" i="3"/>
  <c r="I166" i="3"/>
  <c r="J166" i="3"/>
  <c r="C167" i="3"/>
  <c r="D167" i="3"/>
  <c r="E167" i="3"/>
  <c r="F167" i="3"/>
  <c r="G167" i="3"/>
  <c r="H167" i="3"/>
  <c r="I167" i="3"/>
  <c r="J167" i="3"/>
  <c r="C168" i="3"/>
  <c r="D168" i="3"/>
  <c r="E168" i="3"/>
  <c r="F168" i="3"/>
  <c r="G168" i="3"/>
  <c r="H168" i="3"/>
  <c r="I168" i="3"/>
  <c r="J168" i="3"/>
  <c r="C169" i="3"/>
  <c r="D169" i="3"/>
  <c r="E169" i="3"/>
  <c r="F169" i="3"/>
  <c r="G169" i="3"/>
  <c r="H169" i="3"/>
  <c r="I169" i="3"/>
  <c r="J169" i="3"/>
  <c r="C170" i="3"/>
  <c r="D170" i="3"/>
  <c r="E170" i="3"/>
  <c r="F170" i="3"/>
  <c r="G170" i="3"/>
  <c r="H170" i="3"/>
  <c r="I170" i="3"/>
  <c r="J170" i="3"/>
  <c r="C171" i="3"/>
  <c r="D171" i="3"/>
  <c r="E171" i="3"/>
  <c r="F171" i="3"/>
  <c r="G171" i="3"/>
  <c r="H171" i="3"/>
  <c r="I171" i="3"/>
  <c r="J171" i="3"/>
  <c r="C172" i="3"/>
  <c r="D172" i="3"/>
  <c r="E172" i="3"/>
  <c r="F172" i="3"/>
  <c r="G172" i="3"/>
  <c r="H172" i="3"/>
  <c r="I172" i="3"/>
  <c r="J172" i="3"/>
  <c r="C173" i="3"/>
  <c r="D173" i="3"/>
  <c r="E173" i="3"/>
  <c r="F173" i="3"/>
  <c r="G173" i="3"/>
  <c r="H173" i="3"/>
  <c r="I173" i="3"/>
  <c r="J173" i="3"/>
  <c r="C174" i="3"/>
  <c r="D174" i="3"/>
  <c r="E174" i="3"/>
  <c r="F174" i="3"/>
  <c r="G174" i="3"/>
  <c r="H174" i="3"/>
  <c r="I174" i="3"/>
  <c r="J174" i="3"/>
  <c r="C175" i="3"/>
  <c r="D175" i="3"/>
  <c r="E175" i="3"/>
  <c r="F175" i="3"/>
  <c r="G175" i="3"/>
  <c r="H175" i="3"/>
  <c r="I175" i="3"/>
  <c r="J175" i="3"/>
  <c r="C176" i="3"/>
  <c r="D176" i="3"/>
  <c r="E176" i="3"/>
  <c r="F176" i="3"/>
  <c r="G176" i="3"/>
  <c r="H176" i="3"/>
  <c r="I176" i="3"/>
  <c r="J176" i="3"/>
  <c r="C177" i="3"/>
  <c r="D177" i="3"/>
  <c r="E177" i="3"/>
  <c r="F177" i="3"/>
  <c r="G177" i="3"/>
  <c r="H177" i="3"/>
  <c r="I177" i="3"/>
  <c r="J177" i="3"/>
  <c r="C178" i="3"/>
  <c r="D178" i="3"/>
  <c r="E178" i="3"/>
  <c r="F178" i="3"/>
  <c r="G178" i="3"/>
  <c r="H178" i="3"/>
  <c r="I178" i="3"/>
  <c r="J178" i="3"/>
  <c r="C179" i="3"/>
  <c r="D179" i="3"/>
  <c r="E179" i="3"/>
  <c r="F179" i="3"/>
  <c r="G179" i="3"/>
  <c r="H179" i="3"/>
  <c r="I179" i="3"/>
  <c r="J179" i="3"/>
  <c r="C180" i="3"/>
  <c r="D180" i="3"/>
  <c r="E180" i="3"/>
  <c r="F180" i="3"/>
  <c r="G180" i="3"/>
  <c r="H180" i="3"/>
  <c r="I180" i="3"/>
  <c r="J180" i="3"/>
  <c r="C181" i="3"/>
  <c r="D181" i="3"/>
  <c r="E181" i="3"/>
  <c r="F181" i="3"/>
  <c r="G181" i="3"/>
  <c r="H181" i="3"/>
  <c r="I181" i="3"/>
  <c r="J181" i="3"/>
  <c r="C182" i="3"/>
  <c r="D182" i="3"/>
  <c r="E182" i="3"/>
  <c r="F182" i="3"/>
  <c r="G182" i="3"/>
  <c r="H182" i="3"/>
  <c r="I182" i="3"/>
  <c r="J182" i="3"/>
  <c r="C183" i="3"/>
  <c r="D183" i="3"/>
  <c r="E183" i="3"/>
  <c r="F183" i="3"/>
  <c r="G183" i="3"/>
  <c r="H183" i="3"/>
  <c r="I183" i="3"/>
  <c r="J183" i="3"/>
  <c r="C184" i="3"/>
  <c r="D184" i="3"/>
  <c r="E184" i="3"/>
  <c r="F184" i="3"/>
  <c r="G184" i="3"/>
  <c r="H184" i="3"/>
  <c r="I184" i="3"/>
  <c r="J184" i="3"/>
  <c r="C185" i="3"/>
  <c r="D185" i="3"/>
  <c r="E185" i="3"/>
  <c r="F185" i="3"/>
  <c r="G185" i="3"/>
  <c r="H185" i="3"/>
  <c r="I185" i="3"/>
  <c r="J185" i="3"/>
  <c r="C186" i="3"/>
  <c r="D186" i="3"/>
  <c r="E186" i="3"/>
  <c r="F186" i="3"/>
  <c r="G186" i="3"/>
  <c r="H186" i="3"/>
  <c r="I186" i="3"/>
  <c r="J186" i="3"/>
  <c r="C187" i="3"/>
  <c r="D187" i="3"/>
  <c r="E187" i="3"/>
  <c r="F187" i="3"/>
  <c r="G187" i="3"/>
  <c r="H187" i="3"/>
  <c r="I187" i="3"/>
  <c r="J187" i="3"/>
  <c r="C188" i="3"/>
  <c r="D188" i="3"/>
  <c r="E188" i="3"/>
  <c r="F188" i="3"/>
  <c r="G188" i="3"/>
  <c r="H188" i="3"/>
  <c r="I188" i="3"/>
  <c r="J188" i="3"/>
  <c r="C189" i="3"/>
  <c r="D189" i="3"/>
  <c r="E189" i="3"/>
  <c r="F189" i="3"/>
  <c r="G189" i="3"/>
  <c r="H189" i="3"/>
  <c r="I189" i="3"/>
  <c r="J189" i="3"/>
  <c r="C190" i="3"/>
  <c r="D190" i="3"/>
  <c r="E190" i="3"/>
  <c r="F190" i="3"/>
  <c r="G190" i="3"/>
  <c r="H190" i="3"/>
  <c r="I190" i="3"/>
  <c r="J190" i="3"/>
  <c r="C191" i="3"/>
  <c r="D191" i="3"/>
  <c r="E191" i="3"/>
  <c r="F191" i="3"/>
  <c r="G191" i="3"/>
  <c r="H191" i="3"/>
  <c r="I191" i="3"/>
  <c r="J191" i="3"/>
  <c r="C192" i="3"/>
  <c r="D192" i="3"/>
  <c r="E192" i="3"/>
  <c r="F192" i="3"/>
  <c r="G192" i="3"/>
  <c r="H192" i="3"/>
  <c r="I192" i="3"/>
  <c r="J192" i="3"/>
  <c r="C193" i="3"/>
  <c r="D193" i="3"/>
  <c r="E193" i="3"/>
  <c r="F193" i="3"/>
  <c r="G193" i="3"/>
  <c r="H193" i="3"/>
  <c r="I193" i="3"/>
  <c r="J193" i="3"/>
  <c r="C194" i="3"/>
  <c r="D194" i="3"/>
  <c r="E194" i="3"/>
  <c r="F194" i="3"/>
  <c r="G194" i="3"/>
  <c r="H194" i="3"/>
  <c r="I194" i="3"/>
  <c r="J194" i="3"/>
  <c r="C195" i="3"/>
  <c r="D195" i="3"/>
  <c r="E195" i="3"/>
  <c r="F195" i="3"/>
  <c r="G195" i="3"/>
  <c r="H195" i="3"/>
  <c r="I195" i="3"/>
  <c r="J195" i="3"/>
  <c r="C196" i="3"/>
  <c r="D196" i="3"/>
  <c r="E196" i="3"/>
  <c r="F196" i="3"/>
  <c r="G196" i="3"/>
  <c r="H196" i="3"/>
  <c r="I196" i="3"/>
  <c r="J196" i="3"/>
  <c r="C197" i="3"/>
  <c r="D197" i="3"/>
  <c r="E197" i="3"/>
  <c r="F197" i="3"/>
  <c r="G197" i="3"/>
  <c r="H197" i="3"/>
  <c r="I197" i="3"/>
  <c r="J197" i="3"/>
  <c r="C198" i="3"/>
  <c r="D198" i="3"/>
  <c r="E198" i="3"/>
  <c r="F198" i="3"/>
  <c r="G198" i="3"/>
  <c r="H198" i="3"/>
  <c r="I198" i="3"/>
  <c r="J198" i="3"/>
  <c r="C199" i="3"/>
  <c r="D199" i="3"/>
  <c r="E199" i="3"/>
  <c r="F199" i="3"/>
  <c r="G199" i="3"/>
  <c r="H199" i="3"/>
  <c r="I199" i="3"/>
  <c r="J199" i="3"/>
  <c r="C200" i="3"/>
  <c r="D200" i="3"/>
  <c r="E200" i="3"/>
  <c r="F200" i="3"/>
  <c r="G200" i="3"/>
  <c r="H200" i="3"/>
  <c r="I200" i="3"/>
  <c r="J200" i="3"/>
  <c r="C201" i="3"/>
  <c r="D201" i="3"/>
  <c r="E201" i="3"/>
  <c r="F201" i="3"/>
  <c r="G201" i="3"/>
  <c r="H201" i="3"/>
  <c r="I201" i="3"/>
  <c r="J201" i="3"/>
  <c r="C202" i="3"/>
  <c r="D202" i="3"/>
  <c r="E202" i="3"/>
  <c r="F202" i="3"/>
  <c r="G202" i="3"/>
  <c r="H202" i="3"/>
  <c r="I202" i="3"/>
  <c r="J202" i="3"/>
  <c r="C203" i="3"/>
  <c r="D203" i="3"/>
  <c r="E203" i="3"/>
  <c r="F203" i="3"/>
  <c r="G203" i="3"/>
  <c r="H203" i="3"/>
  <c r="I203" i="3"/>
  <c r="J203" i="3"/>
  <c r="C204" i="3"/>
  <c r="D204" i="3"/>
  <c r="E204" i="3"/>
  <c r="F204" i="3"/>
  <c r="G204" i="3"/>
  <c r="H204" i="3"/>
  <c r="I204" i="3"/>
  <c r="J204" i="3"/>
  <c r="C205" i="3"/>
  <c r="D205" i="3"/>
  <c r="E205" i="3"/>
  <c r="F205" i="3"/>
  <c r="G205" i="3"/>
  <c r="H205" i="3"/>
  <c r="I205" i="3"/>
  <c r="J205" i="3"/>
  <c r="C206" i="3"/>
  <c r="D206" i="3"/>
  <c r="E206" i="3"/>
  <c r="F206" i="3"/>
  <c r="G206" i="3"/>
  <c r="H206" i="3"/>
  <c r="I206" i="3"/>
  <c r="J206" i="3"/>
  <c r="C207" i="3"/>
  <c r="D207" i="3"/>
  <c r="E207" i="3"/>
  <c r="F207" i="3"/>
  <c r="G207" i="3"/>
  <c r="H207" i="3"/>
  <c r="I207" i="3"/>
  <c r="J207" i="3"/>
  <c r="C208" i="3"/>
  <c r="D208" i="3"/>
  <c r="E208" i="3"/>
  <c r="F208" i="3"/>
  <c r="G208" i="3"/>
  <c r="H208" i="3"/>
  <c r="I208" i="3"/>
  <c r="J208" i="3"/>
  <c r="C209" i="3"/>
  <c r="D209" i="3"/>
  <c r="E209" i="3"/>
  <c r="F209" i="3"/>
  <c r="G209" i="3"/>
  <c r="H209" i="3"/>
  <c r="I209" i="3"/>
  <c r="J209" i="3"/>
  <c r="C210" i="3"/>
  <c r="D210" i="3"/>
  <c r="E210" i="3"/>
  <c r="F210" i="3"/>
  <c r="G210" i="3"/>
  <c r="H210" i="3"/>
  <c r="I210" i="3"/>
  <c r="J210" i="3"/>
  <c r="C211" i="3"/>
  <c r="D211" i="3"/>
  <c r="E211" i="3"/>
  <c r="F211" i="3"/>
  <c r="G211" i="3"/>
  <c r="H211" i="3"/>
  <c r="I211" i="3"/>
  <c r="J211" i="3"/>
  <c r="C212" i="3"/>
  <c r="D212" i="3"/>
  <c r="E212" i="3"/>
  <c r="F212" i="3"/>
  <c r="G212" i="3"/>
  <c r="H212" i="3"/>
  <c r="I212" i="3"/>
  <c r="J212" i="3"/>
  <c r="C213" i="3"/>
  <c r="D213" i="3"/>
  <c r="E213" i="3"/>
  <c r="F213" i="3"/>
  <c r="G213" i="3"/>
  <c r="H213" i="3"/>
  <c r="I213" i="3"/>
  <c r="J213" i="3"/>
  <c r="C214" i="3"/>
  <c r="D214" i="3"/>
  <c r="E214" i="3"/>
  <c r="F214" i="3"/>
  <c r="G214" i="3"/>
  <c r="H214" i="3"/>
  <c r="I214" i="3"/>
  <c r="J214" i="3"/>
  <c r="C215" i="3"/>
  <c r="D215" i="3"/>
  <c r="E215" i="3"/>
  <c r="F215" i="3"/>
  <c r="G215" i="3"/>
  <c r="H215" i="3"/>
  <c r="I215" i="3"/>
  <c r="J215" i="3"/>
  <c r="C216" i="3"/>
  <c r="D216" i="3"/>
  <c r="E216" i="3"/>
  <c r="F216" i="3"/>
  <c r="G216" i="3"/>
  <c r="H216" i="3"/>
  <c r="I216" i="3"/>
  <c r="J216" i="3"/>
  <c r="C217" i="3"/>
  <c r="D217" i="3"/>
  <c r="E217" i="3"/>
  <c r="F217" i="3"/>
  <c r="G217" i="3"/>
  <c r="H217" i="3"/>
  <c r="I217" i="3"/>
  <c r="J217" i="3"/>
  <c r="C218" i="3"/>
  <c r="D218" i="3"/>
  <c r="E218" i="3"/>
  <c r="F218" i="3"/>
  <c r="G218" i="3"/>
  <c r="H218" i="3"/>
  <c r="I218" i="3"/>
  <c r="J218" i="3"/>
  <c r="C219" i="3"/>
  <c r="D219" i="3"/>
  <c r="E219" i="3"/>
  <c r="F219" i="3"/>
  <c r="G219" i="3"/>
  <c r="H219" i="3"/>
  <c r="I219" i="3"/>
  <c r="J219" i="3"/>
  <c r="C220" i="3"/>
  <c r="D220" i="3"/>
  <c r="E220" i="3"/>
  <c r="F220" i="3"/>
  <c r="G220" i="3"/>
  <c r="H220" i="3"/>
  <c r="I220" i="3"/>
  <c r="J220" i="3"/>
  <c r="C221" i="3"/>
  <c r="D221" i="3"/>
  <c r="E221" i="3"/>
  <c r="F221" i="3"/>
  <c r="G221" i="3"/>
  <c r="H221" i="3"/>
  <c r="I221" i="3"/>
  <c r="J221" i="3"/>
  <c r="C222" i="3"/>
  <c r="D222" i="3"/>
  <c r="E222" i="3"/>
  <c r="F222" i="3"/>
  <c r="G222" i="3"/>
  <c r="H222" i="3"/>
  <c r="I222" i="3"/>
  <c r="J222" i="3"/>
  <c r="C223" i="3"/>
  <c r="D223" i="3"/>
  <c r="E223" i="3"/>
  <c r="F223" i="3"/>
  <c r="G223" i="3"/>
  <c r="H223" i="3"/>
  <c r="I223" i="3"/>
  <c r="J223" i="3"/>
  <c r="C224" i="3"/>
  <c r="D224" i="3"/>
  <c r="E224" i="3"/>
  <c r="F224" i="3"/>
  <c r="G224" i="3"/>
  <c r="H224" i="3"/>
  <c r="I224" i="3"/>
  <c r="J224" i="3"/>
  <c r="C225" i="3"/>
  <c r="D225" i="3"/>
  <c r="E225" i="3"/>
  <c r="F225" i="3"/>
  <c r="G225" i="3"/>
  <c r="H225" i="3"/>
  <c r="I225" i="3"/>
  <c r="J225" i="3"/>
  <c r="C226" i="3"/>
  <c r="D226" i="3"/>
  <c r="E226" i="3"/>
  <c r="F226" i="3"/>
  <c r="G226" i="3"/>
  <c r="H226" i="3"/>
  <c r="I226" i="3"/>
  <c r="J226" i="3"/>
  <c r="C227" i="3"/>
  <c r="D227" i="3"/>
  <c r="E227" i="3"/>
  <c r="F227" i="3"/>
  <c r="G227" i="3"/>
  <c r="H227" i="3"/>
  <c r="I227" i="3"/>
  <c r="J227" i="3"/>
  <c r="C228" i="3"/>
  <c r="D228" i="3"/>
  <c r="E228" i="3"/>
  <c r="F228" i="3"/>
  <c r="G228" i="3"/>
  <c r="H228" i="3"/>
  <c r="I228" i="3"/>
  <c r="J228" i="3"/>
  <c r="C229" i="3"/>
  <c r="D229" i="3"/>
  <c r="E229" i="3"/>
  <c r="F229" i="3"/>
  <c r="G229" i="3"/>
  <c r="H229" i="3"/>
  <c r="I229" i="3"/>
  <c r="J229" i="3"/>
  <c r="C230" i="3"/>
  <c r="D230" i="3"/>
  <c r="E230" i="3"/>
  <c r="F230" i="3"/>
  <c r="G230" i="3"/>
  <c r="H230" i="3"/>
  <c r="I230" i="3"/>
  <c r="J230" i="3"/>
  <c r="C231" i="3"/>
  <c r="D231" i="3"/>
  <c r="E231" i="3"/>
  <c r="F231" i="3"/>
  <c r="G231" i="3"/>
  <c r="H231" i="3"/>
  <c r="I231" i="3"/>
  <c r="J231" i="3"/>
  <c r="C232" i="3"/>
  <c r="D232" i="3"/>
  <c r="E232" i="3"/>
  <c r="F232" i="3"/>
  <c r="G232" i="3"/>
  <c r="H232" i="3"/>
  <c r="I232" i="3"/>
  <c r="J232" i="3"/>
  <c r="C233" i="3"/>
  <c r="D233" i="3"/>
  <c r="E233" i="3"/>
  <c r="F233" i="3"/>
  <c r="G233" i="3"/>
  <c r="H233" i="3"/>
  <c r="I233" i="3"/>
  <c r="J233" i="3"/>
  <c r="C234" i="3"/>
  <c r="D234" i="3"/>
  <c r="E234" i="3"/>
  <c r="F234" i="3"/>
  <c r="G234" i="3"/>
  <c r="H234" i="3"/>
  <c r="I234" i="3"/>
  <c r="J234" i="3"/>
  <c r="C235" i="3"/>
  <c r="D235" i="3"/>
  <c r="E235" i="3"/>
  <c r="F235" i="3"/>
  <c r="G235" i="3"/>
  <c r="H235" i="3"/>
  <c r="I235" i="3"/>
  <c r="J235" i="3"/>
  <c r="C236" i="3"/>
  <c r="D236" i="3"/>
  <c r="E236" i="3"/>
  <c r="F236" i="3"/>
  <c r="G236" i="3"/>
  <c r="H236" i="3"/>
  <c r="I236" i="3"/>
  <c r="J236" i="3"/>
  <c r="C237" i="3"/>
  <c r="D237" i="3"/>
  <c r="E237" i="3"/>
  <c r="F237" i="3"/>
  <c r="G237" i="3"/>
  <c r="H237" i="3"/>
  <c r="I237" i="3"/>
  <c r="J237" i="3"/>
  <c r="C238" i="3"/>
  <c r="D238" i="3"/>
  <c r="E238" i="3"/>
  <c r="F238" i="3"/>
  <c r="G238" i="3"/>
  <c r="H238" i="3"/>
  <c r="I238" i="3"/>
  <c r="J238" i="3"/>
  <c r="C239" i="3"/>
  <c r="D239" i="3"/>
  <c r="E239" i="3"/>
  <c r="F239" i="3"/>
  <c r="G239" i="3"/>
  <c r="H239" i="3"/>
  <c r="I239" i="3"/>
  <c r="J239" i="3"/>
  <c r="C240" i="3"/>
  <c r="D240" i="3"/>
  <c r="E240" i="3"/>
  <c r="F240" i="3"/>
  <c r="G240" i="3"/>
  <c r="H240" i="3"/>
  <c r="I240" i="3"/>
  <c r="J240" i="3"/>
  <c r="C241" i="3"/>
  <c r="D241" i="3"/>
  <c r="E241" i="3"/>
  <c r="F241" i="3"/>
  <c r="G241" i="3"/>
  <c r="H241" i="3"/>
  <c r="I241" i="3"/>
  <c r="J241" i="3"/>
  <c r="C242" i="3"/>
  <c r="D242" i="3"/>
  <c r="E242" i="3"/>
  <c r="F242" i="3"/>
  <c r="G242" i="3"/>
  <c r="H242" i="3"/>
  <c r="I242" i="3"/>
  <c r="J242" i="3"/>
  <c r="C243" i="3"/>
  <c r="D243" i="3"/>
  <c r="E243" i="3"/>
  <c r="F243" i="3"/>
  <c r="G243" i="3"/>
  <c r="H243" i="3"/>
  <c r="I243" i="3"/>
  <c r="J243" i="3"/>
  <c r="C244" i="3"/>
  <c r="D244" i="3"/>
  <c r="E244" i="3"/>
  <c r="F244" i="3"/>
  <c r="G244" i="3"/>
  <c r="H244" i="3"/>
  <c r="I244" i="3"/>
  <c r="J244" i="3"/>
  <c r="C245" i="3"/>
  <c r="D245" i="3"/>
  <c r="E245" i="3"/>
  <c r="F245" i="3"/>
  <c r="G245" i="3"/>
  <c r="H245" i="3"/>
  <c r="I245" i="3"/>
  <c r="J245" i="3"/>
  <c r="C246" i="3"/>
  <c r="D246" i="3"/>
  <c r="E246" i="3"/>
  <c r="F246" i="3"/>
  <c r="G246" i="3"/>
  <c r="H246" i="3"/>
  <c r="I246" i="3"/>
  <c r="J246" i="3"/>
  <c r="C247" i="3"/>
  <c r="D247" i="3"/>
  <c r="E247" i="3"/>
  <c r="F247" i="3"/>
  <c r="G247" i="3"/>
  <c r="H247" i="3"/>
  <c r="I247" i="3"/>
  <c r="J247" i="3"/>
  <c r="C248" i="3"/>
  <c r="D248" i="3"/>
  <c r="E248" i="3"/>
  <c r="F248" i="3"/>
  <c r="G248" i="3"/>
  <c r="H248" i="3"/>
  <c r="I248" i="3"/>
  <c r="J248" i="3"/>
  <c r="C249" i="3"/>
  <c r="D249" i="3"/>
  <c r="E249" i="3"/>
  <c r="F249" i="3"/>
  <c r="G249" i="3"/>
  <c r="H249" i="3"/>
  <c r="I249" i="3"/>
  <c r="J249" i="3"/>
  <c r="C250" i="3"/>
  <c r="D250" i="3"/>
  <c r="E250" i="3"/>
  <c r="F250" i="3"/>
  <c r="G250" i="3"/>
  <c r="H250" i="3"/>
  <c r="I250" i="3"/>
  <c r="J250" i="3"/>
  <c r="C251" i="3"/>
  <c r="D251" i="3"/>
  <c r="E251" i="3"/>
  <c r="F251" i="3"/>
  <c r="G251" i="3"/>
  <c r="H251" i="3"/>
  <c r="I251" i="3"/>
  <c r="J251" i="3"/>
  <c r="C252" i="3"/>
  <c r="D252" i="3"/>
  <c r="E252" i="3"/>
  <c r="F252" i="3"/>
  <c r="G252" i="3"/>
  <c r="H252" i="3"/>
  <c r="I252" i="3"/>
  <c r="J252" i="3"/>
  <c r="C253" i="3"/>
  <c r="D253" i="3"/>
  <c r="E253" i="3"/>
  <c r="F253" i="3"/>
  <c r="G253" i="3"/>
  <c r="H253" i="3"/>
  <c r="I253" i="3"/>
  <c r="J253" i="3"/>
  <c r="C254" i="3"/>
  <c r="D254" i="3"/>
  <c r="E254" i="3"/>
  <c r="F254" i="3"/>
  <c r="G254" i="3"/>
  <c r="H254" i="3"/>
  <c r="I254" i="3"/>
  <c r="J254" i="3"/>
  <c r="C255" i="3"/>
  <c r="D255" i="3"/>
  <c r="E255" i="3"/>
  <c r="F255" i="3"/>
  <c r="G255" i="3"/>
  <c r="H255" i="3"/>
  <c r="I255" i="3"/>
  <c r="J255" i="3"/>
  <c r="C256" i="3"/>
  <c r="D256" i="3"/>
  <c r="E256" i="3"/>
  <c r="F256" i="3"/>
  <c r="G256" i="3"/>
  <c r="H256" i="3"/>
  <c r="I256" i="3"/>
  <c r="J256" i="3"/>
  <c r="C257" i="3"/>
  <c r="D257" i="3"/>
  <c r="E257" i="3"/>
  <c r="F257" i="3"/>
  <c r="G257" i="3"/>
  <c r="H257" i="3"/>
  <c r="I257" i="3"/>
  <c r="J257" i="3"/>
  <c r="C258" i="3"/>
  <c r="D258" i="3"/>
  <c r="E258" i="3"/>
  <c r="F258" i="3"/>
  <c r="G258" i="3"/>
  <c r="H258" i="3"/>
  <c r="I258" i="3"/>
  <c r="J258" i="3"/>
  <c r="C259" i="3"/>
  <c r="D259" i="3"/>
  <c r="E259" i="3"/>
  <c r="F259" i="3"/>
  <c r="G259" i="3"/>
  <c r="H259" i="3"/>
  <c r="I259" i="3"/>
  <c r="J259" i="3"/>
  <c r="C260" i="3"/>
  <c r="D260" i="3"/>
  <c r="E260" i="3"/>
  <c r="F260" i="3"/>
  <c r="G260" i="3"/>
  <c r="H260" i="3"/>
  <c r="I260" i="3"/>
  <c r="J260" i="3"/>
  <c r="C261" i="3"/>
  <c r="D261" i="3"/>
  <c r="E261" i="3"/>
  <c r="F261" i="3"/>
  <c r="G261" i="3"/>
  <c r="H261" i="3"/>
  <c r="I261" i="3"/>
  <c r="J261" i="3"/>
  <c r="C262" i="3"/>
  <c r="D262" i="3"/>
  <c r="E262" i="3"/>
  <c r="F262" i="3"/>
  <c r="G262" i="3"/>
  <c r="H262" i="3"/>
  <c r="I262" i="3"/>
  <c r="J262" i="3"/>
  <c r="C263" i="3"/>
  <c r="D263" i="3"/>
  <c r="E263" i="3"/>
  <c r="F263" i="3"/>
  <c r="G263" i="3"/>
  <c r="H263" i="3"/>
  <c r="I263" i="3"/>
  <c r="J263" i="3"/>
  <c r="C264" i="3"/>
  <c r="D264" i="3"/>
  <c r="E264" i="3"/>
  <c r="F264" i="3"/>
  <c r="G264" i="3"/>
  <c r="H264" i="3"/>
  <c r="I264" i="3"/>
  <c r="J264" i="3"/>
  <c r="C265" i="3"/>
  <c r="D265" i="3"/>
  <c r="E265" i="3"/>
  <c r="F265" i="3"/>
  <c r="G265" i="3"/>
  <c r="H265" i="3"/>
  <c r="I265" i="3"/>
  <c r="J265" i="3"/>
  <c r="C266" i="3"/>
  <c r="D266" i="3"/>
  <c r="E266" i="3"/>
  <c r="F266" i="3"/>
  <c r="G266" i="3"/>
  <c r="H266" i="3"/>
  <c r="I266" i="3"/>
  <c r="J266" i="3"/>
  <c r="C267" i="3"/>
  <c r="D267" i="3"/>
  <c r="E267" i="3"/>
  <c r="F267" i="3"/>
  <c r="G267" i="3"/>
  <c r="H267" i="3"/>
  <c r="I267" i="3"/>
  <c r="J267" i="3"/>
  <c r="C268" i="3"/>
  <c r="D268" i="3"/>
  <c r="E268" i="3"/>
  <c r="F268" i="3"/>
  <c r="G268" i="3"/>
  <c r="H268" i="3"/>
  <c r="I268" i="3"/>
  <c r="J268" i="3"/>
  <c r="C269" i="3"/>
  <c r="D269" i="3"/>
  <c r="E269" i="3"/>
  <c r="F269" i="3"/>
  <c r="G269" i="3"/>
  <c r="H269" i="3"/>
  <c r="I269" i="3"/>
  <c r="J269" i="3"/>
  <c r="C270" i="3"/>
  <c r="D270" i="3"/>
  <c r="E270" i="3"/>
  <c r="F270" i="3"/>
  <c r="G270" i="3"/>
  <c r="H270" i="3"/>
  <c r="I270" i="3"/>
  <c r="J270" i="3"/>
  <c r="C271" i="3"/>
  <c r="D271" i="3"/>
  <c r="E271" i="3"/>
  <c r="F271" i="3"/>
  <c r="G271" i="3"/>
  <c r="H271" i="3"/>
  <c r="I271" i="3"/>
  <c r="J271" i="3"/>
  <c r="C272" i="3"/>
  <c r="D272" i="3"/>
  <c r="E272" i="3"/>
  <c r="F272" i="3"/>
  <c r="G272" i="3"/>
  <c r="H272" i="3"/>
  <c r="I272" i="3"/>
  <c r="J272" i="3"/>
  <c r="C273" i="3"/>
  <c r="D273" i="3"/>
  <c r="E273" i="3"/>
  <c r="F273" i="3"/>
  <c r="G273" i="3"/>
  <c r="H273" i="3"/>
  <c r="I273" i="3"/>
  <c r="J273" i="3"/>
  <c r="C274" i="3"/>
  <c r="D274" i="3"/>
  <c r="E274" i="3"/>
  <c r="F274" i="3"/>
  <c r="G274" i="3"/>
  <c r="H274" i="3"/>
  <c r="I274" i="3"/>
  <c r="J274" i="3"/>
  <c r="C275" i="3"/>
  <c r="D275" i="3"/>
  <c r="E275" i="3"/>
  <c r="F275" i="3"/>
  <c r="G275" i="3"/>
  <c r="H275" i="3"/>
  <c r="I275" i="3"/>
  <c r="J275" i="3"/>
  <c r="C276" i="3"/>
  <c r="D276" i="3"/>
  <c r="E276" i="3"/>
  <c r="F276" i="3"/>
  <c r="G276" i="3"/>
  <c r="H276" i="3"/>
  <c r="I276" i="3"/>
  <c r="J276" i="3"/>
  <c r="C277" i="3"/>
  <c r="D277" i="3"/>
  <c r="E277" i="3"/>
  <c r="F277" i="3"/>
  <c r="G277" i="3"/>
  <c r="H277" i="3"/>
  <c r="I277" i="3"/>
  <c r="J277" i="3"/>
  <c r="C278" i="3"/>
  <c r="D278" i="3"/>
  <c r="E278" i="3"/>
  <c r="F278" i="3"/>
  <c r="G278" i="3"/>
  <c r="H278" i="3"/>
  <c r="I278" i="3"/>
  <c r="J278" i="3"/>
  <c r="C279" i="3"/>
  <c r="D279" i="3"/>
  <c r="E279" i="3"/>
  <c r="F279" i="3"/>
  <c r="G279" i="3"/>
  <c r="H279" i="3"/>
  <c r="I279" i="3"/>
  <c r="J279" i="3"/>
  <c r="C280" i="3"/>
  <c r="D280" i="3"/>
  <c r="E280" i="3"/>
  <c r="F280" i="3"/>
  <c r="G280" i="3"/>
  <c r="H280" i="3"/>
  <c r="I280" i="3"/>
  <c r="J280" i="3"/>
  <c r="C281" i="3"/>
  <c r="D281" i="3"/>
  <c r="E281" i="3"/>
  <c r="F281" i="3"/>
  <c r="G281" i="3"/>
  <c r="H281" i="3"/>
  <c r="I281" i="3"/>
  <c r="J281" i="3"/>
  <c r="C282" i="3"/>
  <c r="D282" i="3"/>
  <c r="E282" i="3"/>
  <c r="F282" i="3"/>
  <c r="G282" i="3"/>
  <c r="H282" i="3"/>
  <c r="I282" i="3"/>
  <c r="J282" i="3"/>
  <c r="C283" i="3"/>
  <c r="D283" i="3"/>
  <c r="E283" i="3"/>
  <c r="F283" i="3"/>
  <c r="G283" i="3"/>
  <c r="H283" i="3"/>
  <c r="I283" i="3"/>
  <c r="J283" i="3"/>
  <c r="C284" i="3"/>
  <c r="D284" i="3"/>
  <c r="E284" i="3"/>
  <c r="F284" i="3"/>
  <c r="G284" i="3"/>
  <c r="H284" i="3"/>
  <c r="I284" i="3"/>
  <c r="J284" i="3"/>
  <c r="C285" i="3"/>
  <c r="D285" i="3"/>
  <c r="E285" i="3"/>
  <c r="F285" i="3"/>
  <c r="G285" i="3"/>
  <c r="H285" i="3"/>
  <c r="I285" i="3"/>
  <c r="J285" i="3"/>
  <c r="C286" i="3"/>
  <c r="D286" i="3"/>
  <c r="E286" i="3"/>
  <c r="F286" i="3"/>
  <c r="G286" i="3"/>
  <c r="H286" i="3"/>
  <c r="I286" i="3"/>
  <c r="J286" i="3"/>
  <c r="C287" i="3"/>
  <c r="D287" i="3"/>
  <c r="E287" i="3"/>
  <c r="F287" i="3"/>
  <c r="G287" i="3"/>
  <c r="H287" i="3"/>
  <c r="I287" i="3"/>
  <c r="J287" i="3"/>
  <c r="C288" i="3"/>
  <c r="D288" i="3"/>
  <c r="E288" i="3"/>
  <c r="F288" i="3"/>
  <c r="G288" i="3"/>
  <c r="H288" i="3"/>
  <c r="I288" i="3"/>
  <c r="J288" i="3"/>
  <c r="C289" i="3"/>
  <c r="D289" i="3"/>
  <c r="E289" i="3"/>
  <c r="F289" i="3"/>
  <c r="G289" i="3"/>
  <c r="H289" i="3"/>
  <c r="I289" i="3"/>
  <c r="J289" i="3"/>
  <c r="C290" i="3"/>
  <c r="D290" i="3"/>
  <c r="E290" i="3"/>
  <c r="F290" i="3"/>
  <c r="G290" i="3"/>
  <c r="H290" i="3"/>
  <c r="I290" i="3"/>
  <c r="J290" i="3"/>
  <c r="C291" i="3"/>
  <c r="D291" i="3"/>
  <c r="E291" i="3"/>
  <c r="F291" i="3"/>
  <c r="G291" i="3"/>
  <c r="H291" i="3"/>
  <c r="I291" i="3"/>
  <c r="J291" i="3"/>
  <c r="C292" i="3"/>
  <c r="D292" i="3"/>
  <c r="E292" i="3"/>
  <c r="F292" i="3"/>
  <c r="G292" i="3"/>
  <c r="H292" i="3"/>
  <c r="I292" i="3"/>
  <c r="J292" i="3"/>
  <c r="C293" i="3"/>
  <c r="D293" i="3"/>
  <c r="E293" i="3"/>
  <c r="F293" i="3"/>
  <c r="G293" i="3"/>
  <c r="H293" i="3"/>
  <c r="I293" i="3"/>
  <c r="J293" i="3"/>
  <c r="C294" i="3"/>
  <c r="D294" i="3"/>
  <c r="E294" i="3"/>
  <c r="F294" i="3"/>
  <c r="G294" i="3"/>
  <c r="H294" i="3"/>
  <c r="I294" i="3"/>
  <c r="J294" i="3"/>
  <c r="C295" i="3"/>
  <c r="D295" i="3"/>
  <c r="E295" i="3"/>
  <c r="F295" i="3"/>
  <c r="G295" i="3"/>
  <c r="H295" i="3"/>
  <c r="I295" i="3"/>
  <c r="J295" i="3"/>
  <c r="C296" i="3"/>
  <c r="D296" i="3"/>
  <c r="E296" i="3"/>
  <c r="F296" i="3"/>
  <c r="G296" i="3"/>
  <c r="H296" i="3"/>
  <c r="I296" i="3"/>
  <c r="J296" i="3"/>
  <c r="C297" i="3"/>
  <c r="D297" i="3"/>
  <c r="E297" i="3"/>
  <c r="F297" i="3"/>
  <c r="G297" i="3"/>
  <c r="H297" i="3"/>
  <c r="I297" i="3"/>
  <c r="J297" i="3"/>
  <c r="C298" i="3"/>
  <c r="D298" i="3"/>
  <c r="E298" i="3"/>
  <c r="F298" i="3"/>
  <c r="G298" i="3"/>
  <c r="H298" i="3"/>
  <c r="I298" i="3"/>
  <c r="J298" i="3"/>
  <c r="C299" i="3"/>
  <c r="D299" i="3"/>
  <c r="E299" i="3"/>
  <c r="F299" i="3"/>
  <c r="G299" i="3"/>
  <c r="H299" i="3"/>
  <c r="I299" i="3"/>
  <c r="J299" i="3"/>
  <c r="C300" i="3"/>
  <c r="D300" i="3"/>
  <c r="E300" i="3"/>
  <c r="F300" i="3"/>
  <c r="G300" i="3"/>
  <c r="H300" i="3"/>
  <c r="I300" i="3"/>
  <c r="J300" i="3"/>
  <c r="C301" i="3"/>
  <c r="D301" i="3"/>
  <c r="E301" i="3"/>
  <c r="F301" i="3"/>
  <c r="G301" i="3"/>
  <c r="H301" i="3"/>
  <c r="I301" i="3"/>
  <c r="J301" i="3"/>
  <c r="C302" i="3"/>
  <c r="D302" i="3"/>
  <c r="E302" i="3"/>
  <c r="F302" i="3"/>
  <c r="G302" i="3"/>
  <c r="H302" i="3"/>
  <c r="I302" i="3"/>
  <c r="J302" i="3"/>
  <c r="C303" i="3"/>
  <c r="D303" i="3"/>
  <c r="E303" i="3"/>
  <c r="F303" i="3"/>
  <c r="G303" i="3"/>
  <c r="H303" i="3"/>
  <c r="I303" i="3"/>
  <c r="J303" i="3"/>
  <c r="C304" i="3"/>
  <c r="D304" i="3"/>
  <c r="E304" i="3"/>
  <c r="F304" i="3"/>
  <c r="G304" i="3"/>
  <c r="H304" i="3"/>
  <c r="I304" i="3"/>
  <c r="J304" i="3"/>
  <c r="C305" i="3"/>
  <c r="D305" i="3"/>
  <c r="E305" i="3"/>
  <c r="F305" i="3"/>
  <c r="G305" i="3"/>
  <c r="H305" i="3"/>
  <c r="I305" i="3"/>
  <c r="J305" i="3"/>
  <c r="C306" i="3"/>
  <c r="D306" i="3"/>
  <c r="E306" i="3"/>
  <c r="F306" i="3"/>
  <c r="G306" i="3"/>
  <c r="H306" i="3"/>
  <c r="I306" i="3"/>
  <c r="J306" i="3"/>
  <c r="C307" i="3"/>
  <c r="D307" i="3"/>
  <c r="E307" i="3"/>
  <c r="F307" i="3"/>
  <c r="G307" i="3"/>
  <c r="H307" i="3"/>
  <c r="I307" i="3"/>
  <c r="J307" i="3"/>
  <c r="C308" i="3"/>
  <c r="D308" i="3"/>
  <c r="E308" i="3"/>
  <c r="F308" i="3"/>
  <c r="G308" i="3"/>
  <c r="H308" i="3"/>
  <c r="I308" i="3"/>
  <c r="J308" i="3"/>
  <c r="C309" i="3"/>
  <c r="D309" i="3"/>
  <c r="E309" i="3"/>
  <c r="F309" i="3"/>
  <c r="G309" i="3"/>
  <c r="H309" i="3"/>
  <c r="I309" i="3"/>
  <c r="J309" i="3"/>
  <c r="C310" i="3"/>
  <c r="D310" i="3"/>
  <c r="E310" i="3"/>
  <c r="F310" i="3"/>
  <c r="G310" i="3"/>
  <c r="H310" i="3"/>
  <c r="I310" i="3"/>
  <c r="J310" i="3"/>
  <c r="C311" i="3"/>
  <c r="D311" i="3"/>
  <c r="E311" i="3"/>
  <c r="F311" i="3"/>
  <c r="G311" i="3"/>
  <c r="H311" i="3"/>
  <c r="I311" i="3"/>
  <c r="J311" i="3"/>
  <c r="C312" i="3"/>
  <c r="D312" i="3"/>
  <c r="E312" i="3"/>
  <c r="F312" i="3"/>
  <c r="G312" i="3"/>
  <c r="H312" i="3"/>
  <c r="I312" i="3"/>
  <c r="J312" i="3"/>
  <c r="C313" i="3"/>
  <c r="D313" i="3"/>
  <c r="E313" i="3"/>
  <c r="F313" i="3"/>
  <c r="G313" i="3"/>
  <c r="H313" i="3"/>
  <c r="I313" i="3"/>
  <c r="J313" i="3"/>
  <c r="C314" i="3"/>
  <c r="D314" i="3"/>
  <c r="E314" i="3"/>
  <c r="F314" i="3"/>
  <c r="G314" i="3"/>
  <c r="H314" i="3"/>
  <c r="I314" i="3"/>
  <c r="J314" i="3"/>
  <c r="C315" i="3"/>
  <c r="D315" i="3"/>
  <c r="E315" i="3"/>
  <c r="F315" i="3"/>
  <c r="G315" i="3"/>
  <c r="H315" i="3"/>
  <c r="I315" i="3"/>
  <c r="J315" i="3"/>
  <c r="C316" i="3"/>
  <c r="D316" i="3"/>
  <c r="E316" i="3"/>
  <c r="F316" i="3"/>
  <c r="G316" i="3"/>
  <c r="H316" i="3"/>
  <c r="I316" i="3"/>
  <c r="J316" i="3"/>
  <c r="C317" i="3"/>
  <c r="D317" i="3"/>
  <c r="E317" i="3"/>
  <c r="F317" i="3"/>
  <c r="G317" i="3"/>
  <c r="H317" i="3"/>
  <c r="I317" i="3"/>
  <c r="J317" i="3"/>
  <c r="C318" i="3"/>
  <c r="D318" i="3"/>
  <c r="E318" i="3"/>
  <c r="F318" i="3"/>
  <c r="G318" i="3"/>
  <c r="H318" i="3"/>
  <c r="I318" i="3"/>
  <c r="J318" i="3"/>
  <c r="C319" i="3"/>
  <c r="D319" i="3"/>
  <c r="E319" i="3"/>
  <c r="F319" i="3"/>
  <c r="G319" i="3"/>
  <c r="H319" i="3"/>
  <c r="I319" i="3"/>
  <c r="J319" i="3"/>
  <c r="C320" i="3"/>
  <c r="D320" i="3"/>
  <c r="E320" i="3"/>
  <c r="F320" i="3"/>
  <c r="G320" i="3"/>
  <c r="H320" i="3"/>
  <c r="I320" i="3"/>
  <c r="J320" i="3"/>
  <c r="C321" i="3"/>
  <c r="D321" i="3"/>
  <c r="E321" i="3"/>
  <c r="F321" i="3"/>
  <c r="G321" i="3"/>
  <c r="H321" i="3"/>
  <c r="I321" i="3"/>
  <c r="J321" i="3"/>
  <c r="C322" i="3"/>
  <c r="D322" i="3"/>
  <c r="E322" i="3"/>
  <c r="F322" i="3"/>
  <c r="G322" i="3"/>
  <c r="H322" i="3"/>
  <c r="I322" i="3"/>
  <c r="J322" i="3"/>
  <c r="C323" i="3"/>
  <c r="D323" i="3"/>
  <c r="E323" i="3"/>
  <c r="F323" i="3"/>
  <c r="G323" i="3"/>
  <c r="H323" i="3"/>
  <c r="I323" i="3"/>
  <c r="J323" i="3"/>
  <c r="C324" i="3"/>
  <c r="D324" i="3"/>
  <c r="E324" i="3"/>
  <c r="F324" i="3"/>
  <c r="G324" i="3"/>
  <c r="H324" i="3"/>
  <c r="I324" i="3"/>
  <c r="J324" i="3"/>
  <c r="C325" i="3"/>
  <c r="D325" i="3"/>
  <c r="E325" i="3"/>
  <c r="F325" i="3"/>
  <c r="G325" i="3"/>
  <c r="H325" i="3"/>
  <c r="I325" i="3"/>
  <c r="J325" i="3"/>
  <c r="C326" i="3"/>
  <c r="D326" i="3"/>
  <c r="E326" i="3"/>
  <c r="F326" i="3"/>
  <c r="G326" i="3"/>
  <c r="H326" i="3"/>
  <c r="I326" i="3"/>
  <c r="J326" i="3"/>
  <c r="C327" i="3"/>
  <c r="D327" i="3"/>
  <c r="E327" i="3"/>
  <c r="F327" i="3"/>
  <c r="G327" i="3"/>
  <c r="H327" i="3"/>
  <c r="I327" i="3"/>
  <c r="J327" i="3"/>
  <c r="C328" i="3"/>
  <c r="D328" i="3"/>
  <c r="E328" i="3"/>
  <c r="F328" i="3"/>
  <c r="G328" i="3"/>
  <c r="H328" i="3"/>
  <c r="I328" i="3"/>
  <c r="J328" i="3"/>
  <c r="C329" i="3"/>
  <c r="D329" i="3"/>
  <c r="E329" i="3"/>
  <c r="F329" i="3"/>
  <c r="G329" i="3"/>
  <c r="H329" i="3"/>
  <c r="I329" i="3"/>
  <c r="J329" i="3"/>
  <c r="C330" i="3"/>
  <c r="D330" i="3"/>
  <c r="E330" i="3"/>
  <c r="F330" i="3"/>
  <c r="G330" i="3"/>
  <c r="H330" i="3"/>
  <c r="I330" i="3"/>
  <c r="J330" i="3"/>
  <c r="C331" i="3"/>
  <c r="D331" i="3"/>
  <c r="E331" i="3"/>
  <c r="F331" i="3"/>
  <c r="G331" i="3"/>
  <c r="H331" i="3"/>
  <c r="I331" i="3"/>
  <c r="J331" i="3"/>
  <c r="C332" i="3"/>
  <c r="D332" i="3"/>
  <c r="E332" i="3"/>
  <c r="F332" i="3"/>
  <c r="G332" i="3"/>
  <c r="H332" i="3"/>
  <c r="I332" i="3"/>
  <c r="J332" i="3"/>
  <c r="C333" i="3"/>
  <c r="D333" i="3"/>
  <c r="E333" i="3"/>
  <c r="F333" i="3"/>
  <c r="G333" i="3"/>
  <c r="H333" i="3"/>
  <c r="I333" i="3"/>
  <c r="J333" i="3"/>
  <c r="C334" i="3"/>
  <c r="D334" i="3"/>
  <c r="E334" i="3"/>
  <c r="F334" i="3"/>
  <c r="G334" i="3"/>
  <c r="H334" i="3"/>
  <c r="I334" i="3"/>
  <c r="J334" i="3"/>
  <c r="C335" i="3"/>
  <c r="D335" i="3"/>
  <c r="E335" i="3"/>
  <c r="F335" i="3"/>
  <c r="G335" i="3"/>
  <c r="H335" i="3"/>
  <c r="I335" i="3"/>
  <c r="J335" i="3"/>
  <c r="C336" i="3"/>
  <c r="D336" i="3"/>
  <c r="E336" i="3"/>
  <c r="F336" i="3"/>
  <c r="G336" i="3"/>
  <c r="H336" i="3"/>
  <c r="I336" i="3"/>
  <c r="J336" i="3"/>
  <c r="C337" i="3"/>
  <c r="D337" i="3"/>
  <c r="E337" i="3"/>
  <c r="F337" i="3"/>
  <c r="G337" i="3"/>
  <c r="H337" i="3"/>
  <c r="I337" i="3"/>
  <c r="J337" i="3"/>
  <c r="C338" i="3"/>
  <c r="D338" i="3"/>
  <c r="E338" i="3"/>
  <c r="F338" i="3"/>
  <c r="G338" i="3"/>
  <c r="H338" i="3"/>
  <c r="I338" i="3"/>
  <c r="J338" i="3"/>
  <c r="C339" i="3"/>
  <c r="D339" i="3"/>
  <c r="E339" i="3"/>
  <c r="F339" i="3"/>
  <c r="G339" i="3"/>
  <c r="H339" i="3"/>
  <c r="I339" i="3"/>
  <c r="J339" i="3"/>
  <c r="C340" i="3"/>
  <c r="D340" i="3"/>
  <c r="E340" i="3"/>
  <c r="F340" i="3"/>
  <c r="G340" i="3"/>
  <c r="H340" i="3"/>
  <c r="I340" i="3"/>
  <c r="J340" i="3"/>
  <c r="C341" i="3"/>
  <c r="D341" i="3"/>
  <c r="E341" i="3"/>
  <c r="F341" i="3"/>
  <c r="G341" i="3"/>
  <c r="H341" i="3"/>
  <c r="I341" i="3"/>
  <c r="J341" i="3"/>
  <c r="C342" i="3"/>
  <c r="D342" i="3"/>
  <c r="E342" i="3"/>
  <c r="F342" i="3"/>
  <c r="G342" i="3"/>
  <c r="H342" i="3"/>
  <c r="I342" i="3"/>
  <c r="J342" i="3"/>
  <c r="C343" i="3"/>
  <c r="D343" i="3"/>
  <c r="E343" i="3"/>
  <c r="F343" i="3"/>
  <c r="G343" i="3"/>
  <c r="H343" i="3"/>
  <c r="I343" i="3"/>
  <c r="J343" i="3"/>
  <c r="C344" i="3"/>
  <c r="D344" i="3"/>
  <c r="E344" i="3"/>
  <c r="F344" i="3"/>
  <c r="G344" i="3"/>
  <c r="H344" i="3"/>
  <c r="I344" i="3"/>
  <c r="J344" i="3"/>
  <c r="C345" i="3"/>
  <c r="D345" i="3"/>
  <c r="E345" i="3"/>
  <c r="F345" i="3"/>
  <c r="G345" i="3"/>
  <c r="H345" i="3"/>
  <c r="I345" i="3"/>
  <c r="J345" i="3"/>
  <c r="C346" i="3"/>
  <c r="D346" i="3"/>
  <c r="E346" i="3"/>
  <c r="F346" i="3"/>
  <c r="G346" i="3"/>
  <c r="H346" i="3"/>
  <c r="I346" i="3"/>
  <c r="J346" i="3"/>
  <c r="C347" i="3"/>
  <c r="D347" i="3"/>
  <c r="E347" i="3"/>
  <c r="F347" i="3"/>
  <c r="G347" i="3"/>
  <c r="H347" i="3"/>
  <c r="I347" i="3"/>
  <c r="J347" i="3"/>
  <c r="C348" i="3"/>
  <c r="D348" i="3"/>
  <c r="E348" i="3"/>
  <c r="F348" i="3"/>
  <c r="G348" i="3"/>
  <c r="H348" i="3"/>
  <c r="I348" i="3"/>
  <c r="J348" i="3"/>
  <c r="C349" i="3"/>
  <c r="D349" i="3"/>
  <c r="E349" i="3"/>
  <c r="F349" i="3"/>
  <c r="G349" i="3"/>
  <c r="H349" i="3"/>
  <c r="I349" i="3"/>
  <c r="J349" i="3"/>
  <c r="C350" i="3"/>
  <c r="D350" i="3"/>
  <c r="E350" i="3"/>
  <c r="F350" i="3"/>
  <c r="G350" i="3"/>
  <c r="H350" i="3"/>
  <c r="I350" i="3"/>
  <c r="J350" i="3"/>
  <c r="C351" i="3"/>
  <c r="D351" i="3"/>
  <c r="E351" i="3"/>
  <c r="F351" i="3"/>
  <c r="G351" i="3"/>
  <c r="H351" i="3"/>
  <c r="I351" i="3"/>
  <c r="J351" i="3"/>
  <c r="C352" i="3"/>
  <c r="D352" i="3"/>
  <c r="E352" i="3"/>
  <c r="F352" i="3"/>
  <c r="G352" i="3"/>
  <c r="H352" i="3"/>
  <c r="I352" i="3"/>
  <c r="J352" i="3"/>
  <c r="C353" i="3"/>
  <c r="D353" i="3"/>
  <c r="E353" i="3"/>
  <c r="F353" i="3"/>
  <c r="G353" i="3"/>
  <c r="H353" i="3"/>
  <c r="I353" i="3"/>
  <c r="J353" i="3"/>
  <c r="C354" i="3"/>
  <c r="D354" i="3"/>
  <c r="E354" i="3"/>
  <c r="F354" i="3"/>
  <c r="G354" i="3"/>
  <c r="H354" i="3"/>
  <c r="I354" i="3"/>
  <c r="J354" i="3"/>
  <c r="C355" i="3"/>
  <c r="D355" i="3"/>
  <c r="E355" i="3"/>
  <c r="F355" i="3"/>
  <c r="G355" i="3"/>
  <c r="H355" i="3"/>
  <c r="I355" i="3"/>
  <c r="J355" i="3"/>
  <c r="C356" i="3"/>
  <c r="D356" i="3"/>
  <c r="E356" i="3"/>
  <c r="F356" i="3"/>
  <c r="G356" i="3"/>
  <c r="H356" i="3"/>
  <c r="I356" i="3"/>
  <c r="J356" i="3"/>
  <c r="C357" i="3"/>
  <c r="D357" i="3"/>
  <c r="E357" i="3"/>
  <c r="F357" i="3"/>
  <c r="G357" i="3"/>
  <c r="H357" i="3"/>
  <c r="I357" i="3"/>
  <c r="J357" i="3"/>
  <c r="C358" i="3"/>
  <c r="D358" i="3"/>
  <c r="E358" i="3"/>
  <c r="F358" i="3"/>
  <c r="G358" i="3"/>
  <c r="H358" i="3"/>
  <c r="I358" i="3"/>
  <c r="J358" i="3"/>
  <c r="C359" i="3"/>
  <c r="D359" i="3"/>
  <c r="E359" i="3"/>
  <c r="F359" i="3"/>
  <c r="G359" i="3"/>
  <c r="H359" i="3"/>
  <c r="I359" i="3"/>
  <c r="J359" i="3"/>
  <c r="C360" i="3"/>
  <c r="D360" i="3"/>
  <c r="E360" i="3"/>
  <c r="F360" i="3"/>
  <c r="G360" i="3"/>
  <c r="H360" i="3"/>
  <c r="I360" i="3"/>
  <c r="J360" i="3"/>
  <c r="C361" i="3"/>
  <c r="D361" i="3"/>
  <c r="E361" i="3"/>
  <c r="F361" i="3"/>
  <c r="G361" i="3"/>
  <c r="H361" i="3"/>
  <c r="I361" i="3"/>
  <c r="J361" i="3"/>
  <c r="C362" i="3"/>
  <c r="D362" i="3"/>
  <c r="E362" i="3"/>
  <c r="F362" i="3"/>
  <c r="G362" i="3"/>
  <c r="H362" i="3"/>
  <c r="I362" i="3"/>
  <c r="J362" i="3"/>
  <c r="C363" i="3"/>
  <c r="D363" i="3"/>
  <c r="E363" i="3"/>
  <c r="F363" i="3"/>
  <c r="G363" i="3"/>
  <c r="H363" i="3"/>
  <c r="I363" i="3"/>
  <c r="J363" i="3"/>
  <c r="C364" i="3"/>
  <c r="D364" i="3"/>
  <c r="E364" i="3"/>
  <c r="F364" i="3"/>
  <c r="G364" i="3"/>
  <c r="H364" i="3"/>
  <c r="I364" i="3"/>
  <c r="J364" i="3"/>
  <c r="C365" i="3"/>
  <c r="D365" i="3"/>
  <c r="E365" i="3"/>
  <c r="F365" i="3"/>
  <c r="G365" i="3"/>
  <c r="H365" i="3"/>
  <c r="I365" i="3"/>
  <c r="J365" i="3"/>
  <c r="C366" i="3"/>
  <c r="D366" i="3"/>
  <c r="E366" i="3"/>
  <c r="F366" i="3"/>
  <c r="G366" i="3"/>
  <c r="H366" i="3"/>
  <c r="I366" i="3"/>
  <c r="J366" i="3"/>
  <c r="C367" i="3"/>
  <c r="D367" i="3"/>
  <c r="E367" i="3"/>
  <c r="F367" i="3"/>
  <c r="G367" i="3"/>
  <c r="H367" i="3"/>
  <c r="I367" i="3"/>
  <c r="J367" i="3"/>
  <c r="C368" i="3"/>
  <c r="D368" i="3"/>
  <c r="E368" i="3"/>
  <c r="F368" i="3"/>
  <c r="G368" i="3"/>
  <c r="H368" i="3"/>
  <c r="I368" i="3"/>
  <c r="J368" i="3"/>
  <c r="C369" i="3"/>
  <c r="D369" i="3"/>
  <c r="E369" i="3"/>
  <c r="F369" i="3"/>
  <c r="G369" i="3"/>
  <c r="H369" i="3"/>
  <c r="I369" i="3"/>
  <c r="J369" i="3"/>
  <c r="C370" i="3"/>
  <c r="D370" i="3"/>
  <c r="E370" i="3"/>
  <c r="F370" i="3"/>
  <c r="G370" i="3"/>
  <c r="H370" i="3"/>
  <c r="I370" i="3"/>
  <c r="J370" i="3"/>
  <c r="C371" i="3"/>
  <c r="D371" i="3"/>
  <c r="E371" i="3"/>
  <c r="F371" i="3"/>
  <c r="G371" i="3"/>
  <c r="H371" i="3"/>
  <c r="I371" i="3"/>
  <c r="J371" i="3"/>
  <c r="C372" i="3"/>
  <c r="D372" i="3"/>
  <c r="E372" i="3"/>
  <c r="F372" i="3"/>
  <c r="G372" i="3"/>
  <c r="H372" i="3"/>
  <c r="I372" i="3"/>
  <c r="J372" i="3"/>
  <c r="C373" i="3"/>
  <c r="D373" i="3"/>
  <c r="E373" i="3"/>
  <c r="F373" i="3"/>
  <c r="G373" i="3"/>
  <c r="H373" i="3"/>
  <c r="I373" i="3"/>
  <c r="J373" i="3"/>
  <c r="C374" i="3"/>
  <c r="D374" i="3"/>
  <c r="E374" i="3"/>
  <c r="F374" i="3"/>
  <c r="G374" i="3"/>
  <c r="H374" i="3"/>
  <c r="I374" i="3"/>
  <c r="J374" i="3"/>
  <c r="C375" i="3"/>
  <c r="D375" i="3"/>
  <c r="E375" i="3"/>
  <c r="F375" i="3"/>
  <c r="G375" i="3"/>
  <c r="H375" i="3"/>
  <c r="I375" i="3"/>
  <c r="J375" i="3"/>
  <c r="C376" i="3"/>
  <c r="D376" i="3"/>
  <c r="E376" i="3"/>
  <c r="F376" i="3"/>
  <c r="G376" i="3"/>
  <c r="H376" i="3"/>
  <c r="I376" i="3"/>
  <c r="J376" i="3"/>
  <c r="C377" i="3"/>
  <c r="D377" i="3"/>
  <c r="E377" i="3"/>
  <c r="F377" i="3"/>
  <c r="G377" i="3"/>
  <c r="H377" i="3"/>
  <c r="I377" i="3"/>
  <c r="J377" i="3"/>
  <c r="C378" i="3"/>
  <c r="D378" i="3"/>
  <c r="E378" i="3"/>
  <c r="F378" i="3"/>
  <c r="G378" i="3"/>
  <c r="H378" i="3"/>
  <c r="I378" i="3"/>
  <c r="J378" i="3"/>
  <c r="C379" i="3"/>
  <c r="D379" i="3"/>
  <c r="E379" i="3"/>
  <c r="F379" i="3"/>
  <c r="G379" i="3"/>
  <c r="H379" i="3"/>
  <c r="I379" i="3"/>
  <c r="J379" i="3"/>
  <c r="C380" i="3"/>
  <c r="D380" i="3"/>
  <c r="E380" i="3"/>
  <c r="F380" i="3"/>
  <c r="G380" i="3"/>
  <c r="H380" i="3"/>
  <c r="I380" i="3"/>
  <c r="J380" i="3"/>
  <c r="C381" i="3"/>
  <c r="D381" i="3"/>
  <c r="E381" i="3"/>
  <c r="F381" i="3"/>
  <c r="G381" i="3"/>
  <c r="H381" i="3"/>
  <c r="I381" i="3"/>
  <c r="J381" i="3"/>
  <c r="C382" i="3"/>
  <c r="D382" i="3"/>
  <c r="E382" i="3"/>
  <c r="F382" i="3"/>
  <c r="G382" i="3"/>
  <c r="H382" i="3"/>
  <c r="I382" i="3"/>
  <c r="J382" i="3"/>
  <c r="C383" i="3"/>
  <c r="D383" i="3"/>
  <c r="E383" i="3"/>
  <c r="F383" i="3"/>
  <c r="G383" i="3"/>
  <c r="H383" i="3"/>
  <c r="I383" i="3"/>
  <c r="J383" i="3"/>
  <c r="C384" i="3"/>
  <c r="D384" i="3"/>
  <c r="E384" i="3"/>
  <c r="F384" i="3"/>
  <c r="G384" i="3"/>
  <c r="H384" i="3"/>
  <c r="I384" i="3"/>
  <c r="J384" i="3"/>
  <c r="C385" i="3"/>
  <c r="D385" i="3"/>
  <c r="E385" i="3"/>
  <c r="F385" i="3"/>
  <c r="G385" i="3"/>
  <c r="H385" i="3"/>
  <c r="I385" i="3"/>
  <c r="J385" i="3"/>
  <c r="C386" i="3"/>
  <c r="D386" i="3"/>
  <c r="E386" i="3"/>
  <c r="F386" i="3"/>
  <c r="G386" i="3"/>
  <c r="H386" i="3"/>
  <c r="I386" i="3"/>
  <c r="J386" i="3"/>
  <c r="C387" i="3"/>
  <c r="D387" i="3"/>
  <c r="E387" i="3"/>
  <c r="F387" i="3"/>
  <c r="G387" i="3"/>
  <c r="H387" i="3"/>
  <c r="I387" i="3"/>
  <c r="J387" i="3"/>
  <c r="C388" i="3"/>
  <c r="D388" i="3"/>
  <c r="E388" i="3"/>
  <c r="F388" i="3"/>
  <c r="G388" i="3"/>
  <c r="H388" i="3"/>
  <c r="I388" i="3"/>
  <c r="J388" i="3"/>
  <c r="C389" i="3"/>
  <c r="D389" i="3"/>
  <c r="E389" i="3"/>
  <c r="F389" i="3"/>
  <c r="G389" i="3"/>
  <c r="H389" i="3"/>
  <c r="I389" i="3"/>
  <c r="J389" i="3"/>
  <c r="C390" i="3"/>
  <c r="D390" i="3"/>
  <c r="E390" i="3"/>
  <c r="F390" i="3"/>
  <c r="G390" i="3"/>
  <c r="H390" i="3"/>
  <c r="I390" i="3"/>
  <c r="J390" i="3"/>
  <c r="C391" i="3"/>
  <c r="D391" i="3"/>
  <c r="E391" i="3"/>
  <c r="F391" i="3"/>
  <c r="G391" i="3"/>
  <c r="H391" i="3"/>
  <c r="I391" i="3"/>
  <c r="J391" i="3"/>
  <c r="C392" i="3"/>
  <c r="D392" i="3"/>
  <c r="E392" i="3"/>
  <c r="F392" i="3"/>
  <c r="G392" i="3"/>
  <c r="H392" i="3"/>
  <c r="I392" i="3"/>
  <c r="J392" i="3"/>
  <c r="C393" i="3"/>
  <c r="D393" i="3"/>
  <c r="E393" i="3"/>
  <c r="F393" i="3"/>
  <c r="G393" i="3"/>
  <c r="H393" i="3"/>
  <c r="I393" i="3"/>
  <c r="J393" i="3"/>
  <c r="C394" i="3"/>
  <c r="D394" i="3"/>
  <c r="E394" i="3"/>
  <c r="F394" i="3"/>
  <c r="G394" i="3"/>
  <c r="H394" i="3"/>
  <c r="I394" i="3"/>
  <c r="J394" i="3"/>
  <c r="C395" i="3"/>
  <c r="D395" i="3"/>
  <c r="E395" i="3"/>
  <c r="F395" i="3"/>
  <c r="G395" i="3"/>
  <c r="H395" i="3"/>
  <c r="I395" i="3"/>
  <c r="J395" i="3"/>
  <c r="C396" i="3"/>
  <c r="D396" i="3"/>
  <c r="E396" i="3"/>
  <c r="F396" i="3"/>
  <c r="G396" i="3"/>
  <c r="H396" i="3"/>
  <c r="I396" i="3"/>
  <c r="J396" i="3"/>
  <c r="C397" i="3"/>
  <c r="D397" i="3"/>
  <c r="E397" i="3"/>
  <c r="F397" i="3"/>
  <c r="G397" i="3"/>
  <c r="H397" i="3"/>
  <c r="I397" i="3"/>
  <c r="J397" i="3"/>
  <c r="C398" i="3"/>
  <c r="D398" i="3"/>
  <c r="E398" i="3"/>
  <c r="F398" i="3"/>
  <c r="G398" i="3"/>
  <c r="H398" i="3"/>
  <c r="I398" i="3"/>
  <c r="J398" i="3"/>
  <c r="C399" i="3"/>
  <c r="D399" i="3"/>
  <c r="E399" i="3"/>
  <c r="F399" i="3"/>
  <c r="G399" i="3"/>
  <c r="H399" i="3"/>
  <c r="I399" i="3"/>
  <c r="J399" i="3"/>
  <c r="C400" i="3"/>
  <c r="D400" i="3"/>
  <c r="E400" i="3"/>
  <c r="F400" i="3"/>
  <c r="G400" i="3"/>
  <c r="H400" i="3"/>
  <c r="I400" i="3"/>
  <c r="J400" i="3"/>
  <c r="C401" i="3"/>
  <c r="D401" i="3"/>
  <c r="E401" i="3"/>
  <c r="F401" i="3"/>
  <c r="G401" i="3"/>
  <c r="H401" i="3"/>
  <c r="I401" i="3"/>
  <c r="J401" i="3"/>
  <c r="C402" i="3"/>
  <c r="D402" i="3"/>
  <c r="E402" i="3"/>
  <c r="F402" i="3"/>
  <c r="G402" i="3"/>
  <c r="H402" i="3"/>
  <c r="I402" i="3"/>
  <c r="J402" i="3"/>
  <c r="C403" i="3"/>
  <c r="D403" i="3"/>
  <c r="E403" i="3"/>
  <c r="F403" i="3"/>
  <c r="G403" i="3"/>
  <c r="H403" i="3"/>
  <c r="I403" i="3"/>
  <c r="J403" i="3"/>
  <c r="C404" i="3"/>
  <c r="D404" i="3"/>
  <c r="E404" i="3"/>
  <c r="F404" i="3"/>
  <c r="G404" i="3"/>
  <c r="H404" i="3"/>
  <c r="I404" i="3"/>
  <c r="J404" i="3"/>
  <c r="C405" i="3"/>
  <c r="D405" i="3"/>
  <c r="E405" i="3"/>
  <c r="F405" i="3"/>
  <c r="G405" i="3"/>
  <c r="H405" i="3"/>
  <c r="I405" i="3"/>
  <c r="J405" i="3"/>
  <c r="C406" i="3"/>
  <c r="D406" i="3"/>
  <c r="E406" i="3"/>
  <c r="F406" i="3"/>
  <c r="G406" i="3"/>
  <c r="H406" i="3"/>
  <c r="I406" i="3"/>
  <c r="J406" i="3"/>
  <c r="C407" i="3"/>
  <c r="D407" i="3"/>
  <c r="E407" i="3"/>
  <c r="F407" i="3"/>
  <c r="G407" i="3"/>
  <c r="H407" i="3"/>
  <c r="I407" i="3"/>
  <c r="J407" i="3"/>
  <c r="C408" i="3"/>
  <c r="D408" i="3"/>
  <c r="E408" i="3"/>
  <c r="F408" i="3"/>
  <c r="G408" i="3"/>
  <c r="H408" i="3"/>
  <c r="I408" i="3"/>
  <c r="J408" i="3"/>
  <c r="C409" i="3"/>
  <c r="D409" i="3"/>
  <c r="E409" i="3"/>
  <c r="F409" i="3"/>
  <c r="G409" i="3"/>
  <c r="H409" i="3"/>
  <c r="I409" i="3"/>
  <c r="J409" i="3"/>
  <c r="C410" i="3"/>
  <c r="D410" i="3"/>
  <c r="E410" i="3"/>
  <c r="F410" i="3"/>
  <c r="G410" i="3"/>
  <c r="H410" i="3"/>
  <c r="I410" i="3"/>
  <c r="J410" i="3"/>
  <c r="C411" i="3"/>
  <c r="D411" i="3"/>
  <c r="E411" i="3"/>
  <c r="F411" i="3"/>
  <c r="G411" i="3"/>
  <c r="H411" i="3"/>
  <c r="I411" i="3"/>
  <c r="J411" i="3"/>
  <c r="C412" i="3"/>
  <c r="D412" i="3"/>
  <c r="E412" i="3"/>
  <c r="F412" i="3"/>
  <c r="G412" i="3"/>
  <c r="H412" i="3"/>
  <c r="I412" i="3"/>
  <c r="J412" i="3"/>
  <c r="C413" i="3"/>
  <c r="D413" i="3"/>
  <c r="E413" i="3"/>
  <c r="F413" i="3"/>
  <c r="G413" i="3"/>
  <c r="H413" i="3"/>
  <c r="I413" i="3"/>
  <c r="J413" i="3"/>
  <c r="C414" i="3"/>
  <c r="D414" i="3"/>
  <c r="E414" i="3"/>
  <c r="F414" i="3"/>
  <c r="G414" i="3"/>
  <c r="H414" i="3"/>
  <c r="I414" i="3"/>
  <c r="J414" i="3"/>
  <c r="C415" i="3"/>
  <c r="D415" i="3"/>
  <c r="E415" i="3"/>
  <c r="F415" i="3"/>
  <c r="G415" i="3"/>
  <c r="H415" i="3"/>
  <c r="I415" i="3"/>
  <c r="J415" i="3"/>
  <c r="C416" i="3"/>
  <c r="D416" i="3"/>
  <c r="E416" i="3"/>
  <c r="F416" i="3"/>
  <c r="G416" i="3"/>
  <c r="H416" i="3"/>
  <c r="I416" i="3"/>
  <c r="J416" i="3"/>
  <c r="C417" i="3"/>
  <c r="D417" i="3"/>
  <c r="E417" i="3"/>
  <c r="F417" i="3"/>
  <c r="G417" i="3"/>
  <c r="H417" i="3"/>
  <c r="I417" i="3"/>
  <c r="J417" i="3"/>
  <c r="C418" i="3"/>
  <c r="D418" i="3"/>
  <c r="E418" i="3"/>
  <c r="F418" i="3"/>
  <c r="G418" i="3"/>
  <c r="H418" i="3"/>
  <c r="I418" i="3"/>
  <c r="J418" i="3"/>
  <c r="C419" i="3"/>
  <c r="D419" i="3"/>
  <c r="E419" i="3"/>
  <c r="F419" i="3"/>
  <c r="G419" i="3"/>
  <c r="H419" i="3"/>
  <c r="I419" i="3"/>
  <c r="J419" i="3"/>
  <c r="C420" i="3"/>
  <c r="D420" i="3"/>
  <c r="E420" i="3"/>
  <c r="F420" i="3"/>
  <c r="G420" i="3"/>
  <c r="H420" i="3"/>
  <c r="I420" i="3"/>
  <c r="J420" i="3"/>
  <c r="C421" i="3"/>
  <c r="D421" i="3"/>
  <c r="E421" i="3"/>
  <c r="F421" i="3"/>
  <c r="G421" i="3"/>
  <c r="H421" i="3"/>
  <c r="I421" i="3"/>
  <c r="J421" i="3"/>
  <c r="C422" i="3"/>
  <c r="D422" i="3"/>
  <c r="E422" i="3"/>
  <c r="F422" i="3"/>
  <c r="G422" i="3"/>
  <c r="H422" i="3"/>
  <c r="I422" i="3"/>
  <c r="J422" i="3"/>
  <c r="C423" i="3"/>
  <c r="D423" i="3"/>
  <c r="E423" i="3"/>
  <c r="F423" i="3"/>
  <c r="G423" i="3"/>
  <c r="H423" i="3"/>
  <c r="I423" i="3"/>
  <c r="J423" i="3"/>
  <c r="C424" i="3"/>
  <c r="D424" i="3"/>
  <c r="E424" i="3"/>
  <c r="F424" i="3"/>
  <c r="G424" i="3"/>
  <c r="H424" i="3"/>
  <c r="I424" i="3"/>
  <c r="J424" i="3"/>
  <c r="C425" i="3"/>
  <c r="D425" i="3"/>
  <c r="E425" i="3"/>
  <c r="F425" i="3"/>
  <c r="G425" i="3"/>
  <c r="H425" i="3"/>
  <c r="I425" i="3"/>
  <c r="J425" i="3"/>
  <c r="C426" i="3"/>
  <c r="D426" i="3"/>
  <c r="E426" i="3"/>
  <c r="F426" i="3"/>
  <c r="G426" i="3"/>
  <c r="H426" i="3"/>
  <c r="I426" i="3"/>
  <c r="J426" i="3"/>
  <c r="C427" i="3"/>
  <c r="D427" i="3"/>
  <c r="E427" i="3"/>
  <c r="F427" i="3"/>
  <c r="G427" i="3"/>
  <c r="H427" i="3"/>
  <c r="I427" i="3"/>
  <c r="J427" i="3"/>
  <c r="C428" i="3"/>
  <c r="D428" i="3"/>
  <c r="E428" i="3"/>
  <c r="F428" i="3"/>
  <c r="G428" i="3"/>
  <c r="H428" i="3"/>
  <c r="I428" i="3"/>
  <c r="J428" i="3"/>
  <c r="C429" i="3"/>
  <c r="D429" i="3"/>
  <c r="E429" i="3"/>
  <c r="F429" i="3"/>
  <c r="G429" i="3"/>
  <c r="H429" i="3"/>
  <c r="I429" i="3"/>
  <c r="J429" i="3"/>
  <c r="C430" i="3"/>
  <c r="D430" i="3"/>
  <c r="E430" i="3"/>
  <c r="F430" i="3"/>
  <c r="G430" i="3"/>
  <c r="H430" i="3"/>
  <c r="I430" i="3"/>
  <c r="J430" i="3"/>
  <c r="C431" i="3"/>
  <c r="D431" i="3"/>
  <c r="E431" i="3"/>
  <c r="F431" i="3"/>
  <c r="G431" i="3"/>
  <c r="H431" i="3"/>
  <c r="I431" i="3"/>
  <c r="J431" i="3"/>
  <c r="C432" i="3"/>
  <c r="D432" i="3"/>
  <c r="E432" i="3"/>
  <c r="F432" i="3"/>
  <c r="G432" i="3"/>
  <c r="H432" i="3"/>
  <c r="I432" i="3"/>
  <c r="J432" i="3"/>
  <c r="C433" i="3"/>
  <c r="D433" i="3"/>
  <c r="E433" i="3"/>
  <c r="F433" i="3"/>
  <c r="G433" i="3"/>
  <c r="H433" i="3"/>
  <c r="I433" i="3"/>
  <c r="J433" i="3"/>
  <c r="C434" i="3"/>
  <c r="D434" i="3"/>
  <c r="E434" i="3"/>
  <c r="F434" i="3"/>
  <c r="G434" i="3"/>
  <c r="H434" i="3"/>
  <c r="I434" i="3"/>
  <c r="J434" i="3"/>
  <c r="C435" i="3"/>
  <c r="D435" i="3"/>
  <c r="E435" i="3"/>
  <c r="F435" i="3"/>
  <c r="G435" i="3"/>
  <c r="H435" i="3"/>
  <c r="I435" i="3"/>
  <c r="J435" i="3"/>
  <c r="C436" i="3"/>
  <c r="D436" i="3"/>
  <c r="E436" i="3"/>
  <c r="F436" i="3"/>
  <c r="G436" i="3"/>
  <c r="H436" i="3"/>
  <c r="I436" i="3"/>
  <c r="J436" i="3"/>
  <c r="C437" i="3"/>
  <c r="D437" i="3"/>
  <c r="E437" i="3"/>
  <c r="F437" i="3"/>
  <c r="G437" i="3"/>
  <c r="H437" i="3"/>
  <c r="I437" i="3"/>
  <c r="J437" i="3"/>
  <c r="C438" i="3"/>
  <c r="D438" i="3"/>
  <c r="E438" i="3"/>
  <c r="F438" i="3"/>
  <c r="G438" i="3"/>
  <c r="H438" i="3"/>
  <c r="I438" i="3"/>
  <c r="J438" i="3"/>
  <c r="C439" i="3"/>
  <c r="D439" i="3"/>
  <c r="E439" i="3"/>
  <c r="F439" i="3"/>
  <c r="G439" i="3"/>
  <c r="H439" i="3"/>
  <c r="I439" i="3"/>
  <c r="J439" i="3"/>
  <c r="C440" i="3"/>
  <c r="D440" i="3"/>
  <c r="E440" i="3"/>
  <c r="F440" i="3"/>
  <c r="G440" i="3"/>
  <c r="H440" i="3"/>
  <c r="I440" i="3"/>
  <c r="J440" i="3"/>
  <c r="C441" i="3"/>
  <c r="D441" i="3"/>
  <c r="E441" i="3"/>
  <c r="F441" i="3"/>
  <c r="G441" i="3"/>
  <c r="H441" i="3"/>
  <c r="I441" i="3"/>
  <c r="J441" i="3"/>
  <c r="C442" i="3"/>
  <c r="D442" i="3"/>
  <c r="E442" i="3"/>
  <c r="F442" i="3"/>
  <c r="G442" i="3"/>
  <c r="H442" i="3"/>
  <c r="I442" i="3"/>
  <c r="J442" i="3"/>
  <c r="C443" i="3"/>
  <c r="D443" i="3"/>
  <c r="E443" i="3"/>
  <c r="F443" i="3"/>
  <c r="G443" i="3"/>
  <c r="H443" i="3"/>
  <c r="I443" i="3"/>
  <c r="J443" i="3"/>
  <c r="C444" i="3"/>
  <c r="D444" i="3"/>
  <c r="E444" i="3"/>
  <c r="F444" i="3"/>
  <c r="G444" i="3"/>
  <c r="H444" i="3"/>
  <c r="I444" i="3"/>
  <c r="J444" i="3"/>
  <c r="C445" i="3"/>
  <c r="D445" i="3"/>
  <c r="E445" i="3"/>
  <c r="F445" i="3"/>
  <c r="G445" i="3"/>
  <c r="H445" i="3"/>
  <c r="I445" i="3"/>
  <c r="J445" i="3"/>
  <c r="C446" i="3"/>
  <c r="D446" i="3"/>
  <c r="E446" i="3"/>
  <c r="F446" i="3"/>
  <c r="G446" i="3"/>
  <c r="H446" i="3"/>
  <c r="I446" i="3"/>
  <c r="J446" i="3"/>
  <c r="C447" i="3"/>
  <c r="D447" i="3"/>
  <c r="E447" i="3"/>
  <c r="F447" i="3"/>
  <c r="G447" i="3"/>
  <c r="H447" i="3"/>
  <c r="I447" i="3"/>
  <c r="J447" i="3"/>
  <c r="C448" i="3"/>
  <c r="D448" i="3"/>
  <c r="E448" i="3"/>
  <c r="F448" i="3"/>
  <c r="G448" i="3"/>
  <c r="H448" i="3"/>
  <c r="I448" i="3"/>
  <c r="J448" i="3"/>
  <c r="C449" i="3"/>
  <c r="D449" i="3"/>
  <c r="E449" i="3"/>
  <c r="F449" i="3"/>
  <c r="G449" i="3"/>
  <c r="H449" i="3"/>
  <c r="I449" i="3"/>
  <c r="J449" i="3"/>
  <c r="C450" i="3"/>
  <c r="D450" i="3"/>
  <c r="E450" i="3"/>
  <c r="F450" i="3"/>
  <c r="G450" i="3"/>
  <c r="H450" i="3"/>
  <c r="I450" i="3"/>
  <c r="J450" i="3"/>
  <c r="C451" i="3"/>
  <c r="D451" i="3"/>
  <c r="E451" i="3"/>
  <c r="F451" i="3"/>
  <c r="G451" i="3"/>
  <c r="H451" i="3"/>
  <c r="I451" i="3"/>
  <c r="J451" i="3"/>
  <c r="C452" i="3"/>
  <c r="D452" i="3"/>
  <c r="E452" i="3"/>
  <c r="F452" i="3"/>
  <c r="G452" i="3"/>
  <c r="H452" i="3"/>
  <c r="I452" i="3"/>
  <c r="J452" i="3"/>
  <c r="C453" i="3"/>
  <c r="D453" i="3"/>
  <c r="E453" i="3"/>
  <c r="F453" i="3"/>
  <c r="G453" i="3"/>
  <c r="H453" i="3"/>
  <c r="I453" i="3"/>
  <c r="J453" i="3"/>
  <c r="C454" i="3"/>
  <c r="D454" i="3"/>
  <c r="E454" i="3"/>
  <c r="F454" i="3"/>
  <c r="G454" i="3"/>
  <c r="H454" i="3"/>
  <c r="I454" i="3"/>
  <c r="J454" i="3"/>
  <c r="C455" i="3"/>
  <c r="D455" i="3"/>
  <c r="E455" i="3"/>
  <c r="F455" i="3"/>
  <c r="G455" i="3"/>
  <c r="H455" i="3"/>
  <c r="I455" i="3"/>
  <c r="J455" i="3"/>
  <c r="C456" i="3"/>
  <c r="D456" i="3"/>
  <c r="E456" i="3"/>
  <c r="F456" i="3"/>
  <c r="G456" i="3"/>
  <c r="H456" i="3"/>
  <c r="I456" i="3"/>
  <c r="J456" i="3"/>
  <c r="C457" i="3"/>
  <c r="D457" i="3"/>
  <c r="E457" i="3"/>
  <c r="F457" i="3"/>
  <c r="G457" i="3"/>
  <c r="H457" i="3"/>
  <c r="I457" i="3"/>
  <c r="J457" i="3"/>
  <c r="C458" i="3"/>
  <c r="D458" i="3"/>
  <c r="E458" i="3"/>
  <c r="F458" i="3"/>
  <c r="G458" i="3"/>
  <c r="H458" i="3"/>
  <c r="I458" i="3"/>
  <c r="J458" i="3"/>
  <c r="C459" i="3"/>
  <c r="D459" i="3"/>
  <c r="E459" i="3"/>
  <c r="F459" i="3"/>
  <c r="G459" i="3"/>
  <c r="H459" i="3"/>
  <c r="I459" i="3"/>
  <c r="J459" i="3"/>
  <c r="C460" i="3"/>
  <c r="D460" i="3"/>
  <c r="E460" i="3"/>
  <c r="F460" i="3"/>
  <c r="G460" i="3"/>
  <c r="H460" i="3"/>
  <c r="I460" i="3"/>
  <c r="J460" i="3"/>
  <c r="C461" i="3"/>
  <c r="D461" i="3"/>
  <c r="E461" i="3"/>
  <c r="F461" i="3"/>
  <c r="G461" i="3"/>
  <c r="H461" i="3"/>
  <c r="I461" i="3"/>
  <c r="J461" i="3"/>
  <c r="C462" i="3"/>
  <c r="D462" i="3"/>
  <c r="E462" i="3"/>
  <c r="F462" i="3"/>
  <c r="G462" i="3"/>
  <c r="H462" i="3"/>
  <c r="I462" i="3"/>
  <c r="J462" i="3"/>
  <c r="C463" i="3"/>
  <c r="D463" i="3"/>
  <c r="E463" i="3"/>
  <c r="F463" i="3"/>
  <c r="G463" i="3"/>
  <c r="H463" i="3"/>
  <c r="I463" i="3"/>
  <c r="J463" i="3"/>
  <c r="C464" i="3"/>
  <c r="D464" i="3"/>
  <c r="E464" i="3"/>
  <c r="F464" i="3"/>
  <c r="G464" i="3"/>
  <c r="H464" i="3"/>
  <c r="I464" i="3"/>
  <c r="J464" i="3"/>
  <c r="C465" i="3"/>
  <c r="D465" i="3"/>
  <c r="E465" i="3"/>
  <c r="F465" i="3"/>
  <c r="G465" i="3"/>
  <c r="H465" i="3"/>
  <c r="I465" i="3"/>
  <c r="J465" i="3"/>
  <c r="C466" i="3"/>
  <c r="D466" i="3"/>
  <c r="E466" i="3"/>
  <c r="F466" i="3"/>
  <c r="G466" i="3"/>
  <c r="H466" i="3"/>
  <c r="I466" i="3"/>
  <c r="J466" i="3"/>
  <c r="C467" i="3"/>
  <c r="D467" i="3"/>
  <c r="E467" i="3"/>
  <c r="F467" i="3"/>
  <c r="G467" i="3"/>
  <c r="H467" i="3"/>
  <c r="I467" i="3"/>
  <c r="J467" i="3"/>
  <c r="C468" i="3"/>
  <c r="D468" i="3"/>
  <c r="E468" i="3"/>
  <c r="F468" i="3"/>
  <c r="G468" i="3"/>
  <c r="H468" i="3"/>
  <c r="I468" i="3"/>
  <c r="J468" i="3"/>
  <c r="C469" i="3"/>
  <c r="D469" i="3"/>
  <c r="E469" i="3"/>
  <c r="F469" i="3"/>
  <c r="G469" i="3"/>
  <c r="H469" i="3"/>
  <c r="I469" i="3"/>
  <c r="J469" i="3"/>
  <c r="C470" i="3"/>
  <c r="D470" i="3"/>
  <c r="E470" i="3"/>
  <c r="F470" i="3"/>
  <c r="G470" i="3"/>
  <c r="H470" i="3"/>
  <c r="I470" i="3"/>
  <c r="J470" i="3"/>
  <c r="C471" i="3"/>
  <c r="D471" i="3"/>
  <c r="E471" i="3"/>
  <c r="F471" i="3"/>
  <c r="G471" i="3"/>
  <c r="H471" i="3"/>
  <c r="I471" i="3"/>
  <c r="J471" i="3"/>
  <c r="C472" i="3"/>
  <c r="D472" i="3"/>
  <c r="E472" i="3"/>
  <c r="F472" i="3"/>
  <c r="G472" i="3"/>
  <c r="H472" i="3"/>
  <c r="I472" i="3"/>
  <c r="J472" i="3"/>
  <c r="C473" i="3"/>
  <c r="D473" i="3"/>
  <c r="E473" i="3"/>
  <c r="F473" i="3"/>
  <c r="G473" i="3"/>
  <c r="H473" i="3"/>
  <c r="I473" i="3"/>
  <c r="J473" i="3"/>
  <c r="C474" i="3"/>
  <c r="D474" i="3"/>
  <c r="E474" i="3"/>
  <c r="F474" i="3"/>
  <c r="G474" i="3"/>
  <c r="H474" i="3"/>
  <c r="I474" i="3"/>
  <c r="J474" i="3"/>
  <c r="C475" i="3"/>
  <c r="D475" i="3"/>
  <c r="E475" i="3"/>
  <c r="F475" i="3"/>
  <c r="G475" i="3"/>
  <c r="H475" i="3"/>
  <c r="I475" i="3"/>
  <c r="J475" i="3"/>
  <c r="C476" i="3"/>
  <c r="D476" i="3"/>
  <c r="E476" i="3"/>
  <c r="F476" i="3"/>
  <c r="G476" i="3"/>
  <c r="H476" i="3"/>
  <c r="I476" i="3"/>
  <c r="J476" i="3"/>
  <c r="C477" i="3"/>
  <c r="D477" i="3"/>
  <c r="E477" i="3"/>
  <c r="F477" i="3"/>
  <c r="G477" i="3"/>
  <c r="H477" i="3"/>
  <c r="I477" i="3"/>
  <c r="J477" i="3"/>
  <c r="C478" i="3"/>
  <c r="D478" i="3"/>
  <c r="E478" i="3"/>
  <c r="F478" i="3"/>
  <c r="G478" i="3"/>
  <c r="H478" i="3"/>
  <c r="I478" i="3"/>
  <c r="J478" i="3"/>
  <c r="C479" i="3"/>
  <c r="D479" i="3"/>
  <c r="E479" i="3"/>
  <c r="F479" i="3"/>
  <c r="G479" i="3"/>
  <c r="H479" i="3"/>
  <c r="I479" i="3"/>
  <c r="J479" i="3"/>
  <c r="C480" i="3"/>
  <c r="D480" i="3"/>
  <c r="E480" i="3"/>
  <c r="F480" i="3"/>
  <c r="G480" i="3"/>
  <c r="H480" i="3"/>
  <c r="I480" i="3"/>
  <c r="J480" i="3"/>
  <c r="C481" i="3"/>
  <c r="D481" i="3"/>
  <c r="E481" i="3"/>
  <c r="F481" i="3"/>
  <c r="G481" i="3"/>
  <c r="H481" i="3"/>
  <c r="I481" i="3"/>
  <c r="J481" i="3"/>
  <c r="C482" i="3"/>
  <c r="D482" i="3"/>
  <c r="E482" i="3"/>
  <c r="F482" i="3"/>
  <c r="G482" i="3"/>
  <c r="H482" i="3"/>
  <c r="I482" i="3"/>
  <c r="J482" i="3"/>
  <c r="C483" i="3"/>
  <c r="D483" i="3"/>
  <c r="E483" i="3"/>
  <c r="F483" i="3"/>
  <c r="G483" i="3"/>
  <c r="H483" i="3"/>
  <c r="I483" i="3"/>
  <c r="J483" i="3"/>
  <c r="C484" i="3"/>
  <c r="D484" i="3"/>
  <c r="E484" i="3"/>
  <c r="F484" i="3"/>
  <c r="G484" i="3"/>
  <c r="H484" i="3"/>
  <c r="I484" i="3"/>
  <c r="J484" i="3"/>
  <c r="C485" i="3"/>
  <c r="D485" i="3"/>
  <c r="E485" i="3"/>
  <c r="F485" i="3"/>
  <c r="G485" i="3"/>
  <c r="H485" i="3"/>
  <c r="I485" i="3"/>
  <c r="J485" i="3"/>
  <c r="C486" i="3"/>
  <c r="D486" i="3"/>
  <c r="E486" i="3"/>
  <c r="F486" i="3"/>
  <c r="G486" i="3"/>
  <c r="H486" i="3"/>
  <c r="I486" i="3"/>
  <c r="J486" i="3"/>
  <c r="C487" i="3"/>
  <c r="D487" i="3"/>
  <c r="E487" i="3"/>
  <c r="F487" i="3"/>
  <c r="G487" i="3"/>
  <c r="H487" i="3"/>
  <c r="I487" i="3"/>
  <c r="J487" i="3"/>
  <c r="C488" i="3"/>
  <c r="D488" i="3"/>
  <c r="E488" i="3"/>
  <c r="F488" i="3"/>
  <c r="G488" i="3"/>
  <c r="H488" i="3"/>
  <c r="I488" i="3"/>
  <c r="J488" i="3"/>
  <c r="C489" i="3"/>
  <c r="D489" i="3"/>
  <c r="E489" i="3"/>
  <c r="F489" i="3"/>
  <c r="G489" i="3"/>
  <c r="H489" i="3"/>
  <c r="I489" i="3"/>
  <c r="J489" i="3"/>
  <c r="C490" i="3"/>
  <c r="D490" i="3"/>
  <c r="E490" i="3"/>
  <c r="F490" i="3"/>
  <c r="G490" i="3"/>
  <c r="H490" i="3"/>
  <c r="I490" i="3"/>
  <c r="J490" i="3"/>
  <c r="C491" i="3"/>
  <c r="D491" i="3"/>
  <c r="E491" i="3"/>
  <c r="F491" i="3"/>
  <c r="G491" i="3"/>
  <c r="H491" i="3"/>
  <c r="I491" i="3"/>
  <c r="J491" i="3"/>
  <c r="C492" i="3"/>
  <c r="D492" i="3"/>
  <c r="E492" i="3"/>
  <c r="F492" i="3"/>
  <c r="G492" i="3"/>
  <c r="H492" i="3"/>
  <c r="I492" i="3"/>
  <c r="J492" i="3"/>
  <c r="C493" i="3"/>
  <c r="D493" i="3"/>
  <c r="E493" i="3"/>
  <c r="F493" i="3"/>
  <c r="G493" i="3"/>
  <c r="H493" i="3"/>
  <c r="I493" i="3"/>
  <c r="J493" i="3"/>
  <c r="C494" i="3"/>
  <c r="D494" i="3"/>
  <c r="E494" i="3"/>
  <c r="F494" i="3"/>
  <c r="G494" i="3"/>
  <c r="H494" i="3"/>
  <c r="I494" i="3"/>
  <c r="J494" i="3"/>
  <c r="C495" i="3"/>
  <c r="D495" i="3"/>
  <c r="E495" i="3"/>
  <c r="F495" i="3"/>
  <c r="G495" i="3"/>
  <c r="H495" i="3"/>
  <c r="I495" i="3"/>
  <c r="J495" i="3"/>
  <c r="C496" i="3"/>
  <c r="D496" i="3"/>
  <c r="E496" i="3"/>
  <c r="F496" i="3"/>
  <c r="G496" i="3"/>
  <c r="H496" i="3"/>
  <c r="I496" i="3"/>
  <c r="J496" i="3"/>
  <c r="C497" i="3"/>
  <c r="D497" i="3"/>
  <c r="E497" i="3"/>
  <c r="F497" i="3"/>
  <c r="G497" i="3"/>
  <c r="H497" i="3"/>
  <c r="I497" i="3"/>
  <c r="J497" i="3"/>
  <c r="C498" i="3"/>
  <c r="D498" i="3"/>
  <c r="E498" i="3"/>
  <c r="F498" i="3"/>
  <c r="G498" i="3"/>
  <c r="H498" i="3"/>
  <c r="I498" i="3"/>
  <c r="J498" i="3"/>
  <c r="C499" i="3"/>
  <c r="D499" i="3"/>
  <c r="E499" i="3"/>
  <c r="F499" i="3"/>
  <c r="G499" i="3"/>
  <c r="H499" i="3"/>
  <c r="I499" i="3"/>
  <c r="J499" i="3"/>
  <c r="C500" i="3"/>
  <c r="D500" i="3"/>
  <c r="E500" i="3"/>
  <c r="F500" i="3"/>
  <c r="G500" i="3"/>
  <c r="H500" i="3"/>
  <c r="I500" i="3"/>
  <c r="J500" i="3"/>
  <c r="C501" i="3"/>
  <c r="D501" i="3"/>
  <c r="E501" i="3"/>
  <c r="F501" i="3"/>
  <c r="G501" i="3"/>
  <c r="H501" i="3"/>
  <c r="I501" i="3"/>
  <c r="J501" i="3"/>
  <c r="C502" i="3"/>
  <c r="D502" i="3"/>
  <c r="E502" i="3"/>
  <c r="F502" i="3"/>
  <c r="G502" i="3"/>
  <c r="H502" i="3"/>
  <c r="I502" i="3"/>
  <c r="J502" i="3"/>
  <c r="C503" i="3"/>
  <c r="D503" i="3"/>
  <c r="E503" i="3"/>
  <c r="F503" i="3"/>
  <c r="G503" i="3"/>
  <c r="H503" i="3"/>
  <c r="I503" i="3"/>
  <c r="J503" i="3"/>
  <c r="C504" i="3"/>
  <c r="D504" i="3"/>
  <c r="E504" i="3"/>
  <c r="F504" i="3"/>
  <c r="G504" i="3"/>
  <c r="H504" i="3"/>
  <c r="I504" i="3"/>
  <c r="J504" i="3"/>
  <c r="C505" i="3"/>
  <c r="D505" i="3"/>
  <c r="E505" i="3"/>
  <c r="F505" i="3"/>
  <c r="G505" i="3"/>
  <c r="H505" i="3"/>
  <c r="I505" i="3"/>
  <c r="J505" i="3"/>
  <c r="C506" i="3"/>
  <c r="D506" i="3"/>
  <c r="E506" i="3"/>
  <c r="F506" i="3"/>
  <c r="G506" i="3"/>
  <c r="H506" i="3"/>
  <c r="I506" i="3"/>
  <c r="J506" i="3"/>
  <c r="C507" i="3"/>
  <c r="D507" i="3"/>
  <c r="E507" i="3"/>
  <c r="F507" i="3"/>
  <c r="G507" i="3"/>
  <c r="H507" i="3"/>
  <c r="I507" i="3"/>
  <c r="J507" i="3"/>
  <c r="C508" i="3"/>
  <c r="D508" i="3"/>
  <c r="E508" i="3"/>
  <c r="F508" i="3"/>
  <c r="G508" i="3"/>
  <c r="H508" i="3"/>
  <c r="I508" i="3"/>
  <c r="J508" i="3"/>
  <c r="C509" i="3"/>
  <c r="D509" i="3"/>
  <c r="E509" i="3"/>
  <c r="F509" i="3"/>
  <c r="G509" i="3"/>
  <c r="H509" i="3"/>
  <c r="I509" i="3"/>
  <c r="J509" i="3"/>
  <c r="C510" i="3"/>
  <c r="D510" i="3"/>
  <c r="E510" i="3"/>
  <c r="F510" i="3"/>
  <c r="G510" i="3"/>
  <c r="H510" i="3"/>
  <c r="I510" i="3"/>
  <c r="J510" i="3"/>
  <c r="C511" i="3"/>
  <c r="D511" i="3"/>
  <c r="E511" i="3"/>
  <c r="F511" i="3"/>
  <c r="G511" i="3"/>
  <c r="H511" i="3"/>
  <c r="I511" i="3"/>
  <c r="J511" i="3"/>
  <c r="C512" i="3"/>
  <c r="D512" i="3"/>
  <c r="E512" i="3"/>
  <c r="F512" i="3"/>
  <c r="G512" i="3"/>
  <c r="H512" i="3"/>
  <c r="I512" i="3"/>
  <c r="J512" i="3"/>
  <c r="C513" i="3"/>
  <c r="D513" i="3"/>
  <c r="E513" i="3"/>
  <c r="F513" i="3"/>
  <c r="G513" i="3"/>
  <c r="H513" i="3"/>
  <c r="I513" i="3"/>
  <c r="J513" i="3"/>
  <c r="C514" i="3"/>
  <c r="D514" i="3"/>
  <c r="E514" i="3"/>
  <c r="F514" i="3"/>
  <c r="G514" i="3"/>
  <c r="H514" i="3"/>
  <c r="I514" i="3"/>
  <c r="J514" i="3"/>
  <c r="C515" i="3"/>
  <c r="D515" i="3"/>
  <c r="E515" i="3"/>
  <c r="F515" i="3"/>
  <c r="G515" i="3"/>
  <c r="H515" i="3"/>
  <c r="I515" i="3"/>
  <c r="J515" i="3"/>
  <c r="C516" i="3"/>
  <c r="D516" i="3"/>
  <c r="E516" i="3"/>
  <c r="F516" i="3"/>
  <c r="G516" i="3"/>
  <c r="H516" i="3"/>
  <c r="I516" i="3"/>
  <c r="J516" i="3"/>
  <c r="C517" i="3"/>
  <c r="D517" i="3"/>
  <c r="E517" i="3"/>
  <c r="F517" i="3"/>
  <c r="G517" i="3"/>
  <c r="H517" i="3"/>
  <c r="I517" i="3"/>
  <c r="J517" i="3"/>
  <c r="C518" i="3"/>
  <c r="D518" i="3"/>
  <c r="E518" i="3"/>
  <c r="F518" i="3"/>
  <c r="G518" i="3"/>
  <c r="H518" i="3"/>
  <c r="I518" i="3"/>
  <c r="J518" i="3"/>
  <c r="C519" i="3"/>
  <c r="D519" i="3"/>
  <c r="E519" i="3"/>
  <c r="F519" i="3"/>
  <c r="G519" i="3"/>
  <c r="H519" i="3"/>
  <c r="I519" i="3"/>
  <c r="J519" i="3"/>
  <c r="C520" i="3"/>
  <c r="D520" i="3"/>
  <c r="E520" i="3"/>
  <c r="F520" i="3"/>
  <c r="G520" i="3"/>
  <c r="H520" i="3"/>
  <c r="I520" i="3"/>
  <c r="J520" i="3"/>
  <c r="C521" i="3"/>
  <c r="D521" i="3"/>
  <c r="E521" i="3"/>
  <c r="F521" i="3"/>
  <c r="G521" i="3"/>
  <c r="H521" i="3"/>
  <c r="I521" i="3"/>
  <c r="J521" i="3"/>
  <c r="C522" i="3"/>
  <c r="D522" i="3"/>
  <c r="E522" i="3"/>
  <c r="F522" i="3"/>
  <c r="G522" i="3"/>
  <c r="H522" i="3"/>
  <c r="I522" i="3"/>
  <c r="J522" i="3"/>
  <c r="C523" i="3"/>
  <c r="D523" i="3"/>
  <c r="E523" i="3"/>
  <c r="F523" i="3"/>
  <c r="G523" i="3"/>
  <c r="H523" i="3"/>
  <c r="I523" i="3"/>
  <c r="J523" i="3"/>
  <c r="C524" i="3"/>
  <c r="D524" i="3"/>
  <c r="E524" i="3"/>
  <c r="F524" i="3"/>
  <c r="G524" i="3"/>
  <c r="H524" i="3"/>
  <c r="I524" i="3"/>
  <c r="J524" i="3"/>
  <c r="C525" i="3"/>
  <c r="D525" i="3"/>
  <c r="E525" i="3"/>
  <c r="F525" i="3"/>
  <c r="G525" i="3"/>
  <c r="H525" i="3"/>
  <c r="I525" i="3"/>
  <c r="J525" i="3"/>
  <c r="C526" i="3"/>
  <c r="D526" i="3"/>
  <c r="E526" i="3"/>
  <c r="F526" i="3"/>
  <c r="G526" i="3"/>
  <c r="H526" i="3"/>
  <c r="I526" i="3"/>
  <c r="J526" i="3"/>
  <c r="C527" i="3"/>
  <c r="D527" i="3"/>
  <c r="E527" i="3"/>
  <c r="F527" i="3"/>
  <c r="G527" i="3"/>
  <c r="H527" i="3"/>
  <c r="I527" i="3"/>
  <c r="J527" i="3"/>
  <c r="C528" i="3"/>
  <c r="D528" i="3"/>
  <c r="E528" i="3"/>
  <c r="F528" i="3"/>
  <c r="G528" i="3"/>
  <c r="H528" i="3"/>
  <c r="I528" i="3"/>
  <c r="J528" i="3"/>
  <c r="C529" i="3"/>
  <c r="D529" i="3"/>
  <c r="E529" i="3"/>
  <c r="F529" i="3"/>
  <c r="G529" i="3"/>
  <c r="H529" i="3"/>
  <c r="I529" i="3"/>
  <c r="J529" i="3"/>
  <c r="C530" i="3"/>
  <c r="D530" i="3"/>
  <c r="E530" i="3"/>
  <c r="F530" i="3"/>
  <c r="G530" i="3"/>
  <c r="H530" i="3"/>
  <c r="I530" i="3"/>
  <c r="J530" i="3"/>
  <c r="C531" i="3"/>
  <c r="D531" i="3"/>
  <c r="E531" i="3"/>
  <c r="F531" i="3"/>
  <c r="G531" i="3"/>
  <c r="H531" i="3"/>
  <c r="I531" i="3"/>
  <c r="J531" i="3"/>
  <c r="C532" i="3"/>
  <c r="D532" i="3"/>
  <c r="E532" i="3"/>
  <c r="F532" i="3"/>
  <c r="G532" i="3"/>
  <c r="H532" i="3"/>
  <c r="I532" i="3"/>
  <c r="J532" i="3"/>
  <c r="C533" i="3"/>
  <c r="D533" i="3"/>
  <c r="E533" i="3"/>
  <c r="F533" i="3"/>
  <c r="G533" i="3"/>
  <c r="H533" i="3"/>
  <c r="I533" i="3"/>
  <c r="J533" i="3"/>
  <c r="C534" i="3"/>
  <c r="D534" i="3"/>
  <c r="E534" i="3"/>
  <c r="F534" i="3"/>
  <c r="G534" i="3"/>
  <c r="H534" i="3"/>
  <c r="I534" i="3"/>
  <c r="J534" i="3"/>
  <c r="C535" i="3"/>
  <c r="D535" i="3"/>
  <c r="E535" i="3"/>
  <c r="F535" i="3"/>
  <c r="G535" i="3"/>
  <c r="H535" i="3"/>
  <c r="I535" i="3"/>
  <c r="J535" i="3"/>
  <c r="C536" i="3"/>
  <c r="D536" i="3"/>
  <c r="E536" i="3"/>
  <c r="F536" i="3"/>
  <c r="G536" i="3"/>
  <c r="H536" i="3"/>
  <c r="I536" i="3"/>
  <c r="J536" i="3"/>
  <c r="C537" i="3"/>
  <c r="D537" i="3"/>
  <c r="E537" i="3"/>
  <c r="F537" i="3"/>
  <c r="G537" i="3"/>
  <c r="H537" i="3"/>
  <c r="I537" i="3"/>
  <c r="J537" i="3"/>
  <c r="C538" i="3"/>
  <c r="D538" i="3"/>
  <c r="E538" i="3"/>
  <c r="F538" i="3"/>
  <c r="G538" i="3"/>
  <c r="H538" i="3"/>
  <c r="I538" i="3"/>
  <c r="J538" i="3"/>
  <c r="C539" i="3"/>
  <c r="D539" i="3"/>
  <c r="E539" i="3"/>
  <c r="F539" i="3"/>
  <c r="G539" i="3"/>
  <c r="H539" i="3"/>
  <c r="I539" i="3"/>
  <c r="J539" i="3"/>
  <c r="C540" i="3"/>
  <c r="D540" i="3"/>
  <c r="E540" i="3"/>
  <c r="F540" i="3"/>
  <c r="G540" i="3"/>
  <c r="H540" i="3"/>
  <c r="I540" i="3"/>
  <c r="J540" i="3"/>
  <c r="C541" i="3"/>
  <c r="D541" i="3"/>
  <c r="E541" i="3"/>
  <c r="F541" i="3"/>
  <c r="G541" i="3"/>
  <c r="H541" i="3"/>
  <c r="I541" i="3"/>
  <c r="J541" i="3"/>
  <c r="C542" i="3"/>
  <c r="D542" i="3"/>
  <c r="E542" i="3"/>
  <c r="F542" i="3"/>
  <c r="G542" i="3"/>
  <c r="H542" i="3"/>
  <c r="I542" i="3"/>
  <c r="J542" i="3"/>
  <c r="C543" i="3"/>
  <c r="D543" i="3"/>
  <c r="E543" i="3"/>
  <c r="F543" i="3"/>
  <c r="G543" i="3"/>
  <c r="H543" i="3"/>
  <c r="I543" i="3"/>
  <c r="J543" i="3"/>
  <c r="C544" i="3"/>
  <c r="D544" i="3"/>
  <c r="E544" i="3"/>
  <c r="F544" i="3"/>
  <c r="G544" i="3"/>
  <c r="H544" i="3"/>
  <c r="I544" i="3"/>
  <c r="J544" i="3"/>
  <c r="C545" i="3"/>
  <c r="D545" i="3"/>
  <c r="E545" i="3"/>
  <c r="F545" i="3"/>
  <c r="G545" i="3"/>
  <c r="H545" i="3"/>
  <c r="I545" i="3"/>
  <c r="J545" i="3"/>
  <c r="C546" i="3"/>
  <c r="D546" i="3"/>
  <c r="E546" i="3"/>
  <c r="F546" i="3"/>
  <c r="G546" i="3"/>
  <c r="H546" i="3"/>
  <c r="I546" i="3"/>
  <c r="J546" i="3"/>
  <c r="C547" i="3"/>
  <c r="D547" i="3"/>
  <c r="E547" i="3"/>
  <c r="F547" i="3"/>
  <c r="G547" i="3"/>
  <c r="H547" i="3"/>
  <c r="I547" i="3"/>
  <c r="J547" i="3"/>
  <c r="C548" i="3"/>
  <c r="D548" i="3"/>
  <c r="E548" i="3"/>
  <c r="F548" i="3"/>
  <c r="G548" i="3"/>
  <c r="H548" i="3"/>
  <c r="I548" i="3"/>
  <c r="J548" i="3"/>
  <c r="C549" i="3"/>
  <c r="D549" i="3"/>
  <c r="E549" i="3"/>
  <c r="F549" i="3"/>
  <c r="G549" i="3"/>
  <c r="H549" i="3"/>
  <c r="I549" i="3"/>
  <c r="J549" i="3"/>
  <c r="C550" i="3"/>
  <c r="D550" i="3"/>
  <c r="E550" i="3"/>
  <c r="F550" i="3"/>
  <c r="G550" i="3"/>
  <c r="H550" i="3"/>
  <c r="I550" i="3"/>
  <c r="J550" i="3"/>
  <c r="C551" i="3"/>
  <c r="D551" i="3"/>
  <c r="E551" i="3"/>
  <c r="F551" i="3"/>
  <c r="G551" i="3"/>
  <c r="H551" i="3"/>
  <c r="I551" i="3"/>
  <c r="J551" i="3"/>
  <c r="C552" i="3"/>
  <c r="D552" i="3"/>
  <c r="E552" i="3"/>
  <c r="F552" i="3"/>
  <c r="G552" i="3"/>
  <c r="H552" i="3"/>
  <c r="I552" i="3"/>
  <c r="J552" i="3"/>
  <c r="C553" i="3"/>
  <c r="D553" i="3"/>
  <c r="E553" i="3"/>
  <c r="F553" i="3"/>
  <c r="G553" i="3"/>
  <c r="H553" i="3"/>
  <c r="I553" i="3"/>
  <c r="J553" i="3"/>
  <c r="C554" i="3"/>
  <c r="D554" i="3"/>
  <c r="E554" i="3"/>
  <c r="F554" i="3"/>
  <c r="G554" i="3"/>
  <c r="H554" i="3"/>
  <c r="I554" i="3"/>
  <c r="J554" i="3"/>
  <c r="C555" i="3"/>
  <c r="D555" i="3"/>
  <c r="E555" i="3"/>
  <c r="F555" i="3"/>
  <c r="G555" i="3"/>
  <c r="H555" i="3"/>
  <c r="I555" i="3"/>
  <c r="J555" i="3"/>
  <c r="C556" i="3"/>
  <c r="D556" i="3"/>
  <c r="E556" i="3"/>
  <c r="F556" i="3"/>
  <c r="G556" i="3"/>
  <c r="H556" i="3"/>
  <c r="I556" i="3"/>
  <c r="J556" i="3"/>
  <c r="C557" i="3"/>
  <c r="D557" i="3"/>
  <c r="E557" i="3"/>
  <c r="F557" i="3"/>
  <c r="G557" i="3"/>
  <c r="H557" i="3"/>
  <c r="I557" i="3"/>
  <c r="J557" i="3"/>
  <c r="C558" i="3"/>
  <c r="D558" i="3"/>
  <c r="E558" i="3"/>
  <c r="F558" i="3"/>
  <c r="G558" i="3"/>
  <c r="H558" i="3"/>
  <c r="I558" i="3"/>
  <c r="J558" i="3"/>
  <c r="C559" i="3"/>
  <c r="D559" i="3"/>
  <c r="E559" i="3"/>
  <c r="F559" i="3"/>
  <c r="G559" i="3"/>
  <c r="H559" i="3"/>
  <c r="I559" i="3"/>
  <c r="J559" i="3"/>
  <c r="C560" i="3"/>
  <c r="D560" i="3"/>
  <c r="E560" i="3"/>
  <c r="F560" i="3"/>
  <c r="G560" i="3"/>
  <c r="H560" i="3"/>
  <c r="I560" i="3"/>
  <c r="J560" i="3"/>
  <c r="C561" i="3"/>
  <c r="D561" i="3"/>
  <c r="E561" i="3"/>
  <c r="F561" i="3"/>
  <c r="G561" i="3"/>
  <c r="H561" i="3"/>
  <c r="I561" i="3"/>
  <c r="J561" i="3"/>
  <c r="C562" i="3"/>
  <c r="D562" i="3"/>
  <c r="E562" i="3"/>
  <c r="F562" i="3"/>
  <c r="G562" i="3"/>
  <c r="H562" i="3"/>
  <c r="I562" i="3"/>
  <c r="J562" i="3"/>
  <c r="C563" i="3"/>
  <c r="D563" i="3"/>
  <c r="E563" i="3"/>
  <c r="F563" i="3"/>
  <c r="G563" i="3"/>
  <c r="H563" i="3"/>
  <c r="I563" i="3"/>
  <c r="J563" i="3"/>
  <c r="C564" i="3"/>
  <c r="D564" i="3"/>
  <c r="E564" i="3"/>
  <c r="F564" i="3"/>
  <c r="G564" i="3"/>
  <c r="H564" i="3"/>
  <c r="I564" i="3"/>
  <c r="J564" i="3"/>
  <c r="C565" i="3"/>
  <c r="D565" i="3"/>
  <c r="E565" i="3"/>
  <c r="F565" i="3"/>
  <c r="G565" i="3"/>
  <c r="H565" i="3"/>
  <c r="I565" i="3"/>
  <c r="J565" i="3"/>
  <c r="C566" i="3"/>
  <c r="D566" i="3"/>
  <c r="E566" i="3"/>
  <c r="F566" i="3"/>
  <c r="G566" i="3"/>
  <c r="H566" i="3"/>
  <c r="I566" i="3"/>
  <c r="J566" i="3"/>
  <c r="C567" i="3"/>
  <c r="D567" i="3"/>
  <c r="E567" i="3"/>
  <c r="F567" i="3"/>
  <c r="G567" i="3"/>
  <c r="H567" i="3"/>
  <c r="I567" i="3"/>
  <c r="J567" i="3"/>
  <c r="C568" i="3"/>
  <c r="D568" i="3"/>
  <c r="E568" i="3"/>
  <c r="F568" i="3"/>
  <c r="G568" i="3"/>
  <c r="H568" i="3"/>
  <c r="I568" i="3"/>
  <c r="J568" i="3"/>
  <c r="C569" i="3"/>
  <c r="D569" i="3"/>
  <c r="E569" i="3"/>
  <c r="F569" i="3"/>
  <c r="G569" i="3"/>
  <c r="H569" i="3"/>
  <c r="I569" i="3"/>
  <c r="J569" i="3"/>
  <c r="C570" i="3"/>
  <c r="D570" i="3"/>
  <c r="E570" i="3"/>
  <c r="F570" i="3"/>
  <c r="G570" i="3"/>
  <c r="H570" i="3"/>
  <c r="I570" i="3"/>
  <c r="J570" i="3"/>
  <c r="C571" i="3"/>
  <c r="D571" i="3"/>
  <c r="E571" i="3"/>
  <c r="F571" i="3"/>
  <c r="G571" i="3"/>
  <c r="H571" i="3"/>
  <c r="I571" i="3"/>
  <c r="J571" i="3"/>
  <c r="C572" i="3"/>
  <c r="D572" i="3"/>
  <c r="E572" i="3"/>
  <c r="F572" i="3"/>
  <c r="G572" i="3"/>
  <c r="H572" i="3"/>
  <c r="I572" i="3"/>
  <c r="J572" i="3"/>
  <c r="C573" i="3"/>
  <c r="D573" i="3"/>
  <c r="E573" i="3"/>
  <c r="F573" i="3"/>
  <c r="G573" i="3"/>
  <c r="H573" i="3"/>
  <c r="I573" i="3"/>
  <c r="J573" i="3"/>
  <c r="C574" i="3"/>
  <c r="D574" i="3"/>
  <c r="E574" i="3"/>
  <c r="F574" i="3"/>
  <c r="G574" i="3"/>
  <c r="H574" i="3"/>
  <c r="I574" i="3"/>
  <c r="J574" i="3"/>
  <c r="C575" i="3"/>
  <c r="D575" i="3"/>
  <c r="E575" i="3"/>
  <c r="F575" i="3"/>
  <c r="G575" i="3"/>
  <c r="H575" i="3"/>
  <c r="I575" i="3"/>
  <c r="J575" i="3"/>
  <c r="C576" i="3"/>
  <c r="D576" i="3"/>
  <c r="E576" i="3"/>
  <c r="F576" i="3"/>
  <c r="G576" i="3"/>
  <c r="H576" i="3"/>
  <c r="I576" i="3"/>
  <c r="J576" i="3"/>
  <c r="C577" i="3"/>
  <c r="D577" i="3"/>
  <c r="E577" i="3"/>
  <c r="F577" i="3"/>
  <c r="G577" i="3"/>
  <c r="H577" i="3"/>
  <c r="I577" i="3"/>
  <c r="J577" i="3"/>
  <c r="C578" i="3"/>
  <c r="D578" i="3"/>
  <c r="E578" i="3"/>
  <c r="F578" i="3"/>
  <c r="G578" i="3"/>
  <c r="H578" i="3"/>
  <c r="I578" i="3"/>
  <c r="J578" i="3"/>
  <c r="C579" i="3"/>
  <c r="D579" i="3"/>
  <c r="E579" i="3"/>
  <c r="F579" i="3"/>
  <c r="G579" i="3"/>
  <c r="H579" i="3"/>
  <c r="I579" i="3"/>
  <c r="J579" i="3"/>
  <c r="C580" i="3"/>
  <c r="D580" i="3"/>
  <c r="E580" i="3"/>
  <c r="F580" i="3"/>
  <c r="G580" i="3"/>
  <c r="H580" i="3"/>
  <c r="I580" i="3"/>
  <c r="J580" i="3"/>
  <c r="C581" i="3"/>
  <c r="D581" i="3"/>
  <c r="E581" i="3"/>
  <c r="F581" i="3"/>
  <c r="G581" i="3"/>
  <c r="H581" i="3"/>
  <c r="I581" i="3"/>
  <c r="J581" i="3"/>
  <c r="C582" i="3"/>
  <c r="D582" i="3"/>
  <c r="E582" i="3"/>
  <c r="F582" i="3"/>
  <c r="G582" i="3"/>
  <c r="H582" i="3"/>
  <c r="I582" i="3"/>
  <c r="J582" i="3"/>
  <c r="C583" i="3"/>
  <c r="D583" i="3"/>
  <c r="E583" i="3"/>
  <c r="F583" i="3"/>
  <c r="G583" i="3"/>
  <c r="H583" i="3"/>
  <c r="I583" i="3"/>
  <c r="J583" i="3"/>
  <c r="C584" i="3"/>
  <c r="D584" i="3"/>
  <c r="E584" i="3"/>
  <c r="F584" i="3"/>
  <c r="G584" i="3"/>
  <c r="H584" i="3"/>
  <c r="I584" i="3"/>
  <c r="J584" i="3"/>
  <c r="C585" i="3"/>
  <c r="D585" i="3"/>
  <c r="E585" i="3"/>
  <c r="F585" i="3"/>
  <c r="G585" i="3"/>
  <c r="H585" i="3"/>
  <c r="I585" i="3"/>
  <c r="J585" i="3"/>
  <c r="C586" i="3"/>
  <c r="D586" i="3"/>
  <c r="E586" i="3"/>
  <c r="F586" i="3"/>
  <c r="G586" i="3"/>
  <c r="H586" i="3"/>
  <c r="I586" i="3"/>
  <c r="J586" i="3"/>
  <c r="C587" i="3"/>
  <c r="D587" i="3"/>
  <c r="E587" i="3"/>
  <c r="F587" i="3"/>
  <c r="G587" i="3"/>
  <c r="H587" i="3"/>
  <c r="I587" i="3"/>
  <c r="J587" i="3"/>
  <c r="C588" i="3"/>
  <c r="D588" i="3"/>
  <c r="E588" i="3"/>
  <c r="F588" i="3"/>
  <c r="G588" i="3"/>
  <c r="H588" i="3"/>
  <c r="I588" i="3"/>
  <c r="J588" i="3"/>
  <c r="C589" i="3"/>
  <c r="D589" i="3"/>
  <c r="E589" i="3"/>
  <c r="F589" i="3"/>
  <c r="G589" i="3"/>
  <c r="H589" i="3"/>
  <c r="I589" i="3"/>
  <c r="J589" i="3"/>
  <c r="C590" i="3"/>
  <c r="D590" i="3"/>
  <c r="E590" i="3"/>
  <c r="F590" i="3"/>
  <c r="G590" i="3"/>
  <c r="H590" i="3"/>
  <c r="I590" i="3"/>
  <c r="J590" i="3"/>
  <c r="C591" i="3"/>
  <c r="D591" i="3"/>
  <c r="E591" i="3"/>
  <c r="F591" i="3"/>
  <c r="G591" i="3"/>
  <c r="H591" i="3"/>
  <c r="I591" i="3"/>
  <c r="J591" i="3"/>
  <c r="C592" i="3"/>
  <c r="D592" i="3"/>
  <c r="E592" i="3"/>
  <c r="F592" i="3"/>
  <c r="G592" i="3"/>
  <c r="H592" i="3"/>
  <c r="I592" i="3"/>
  <c r="J592" i="3"/>
  <c r="C593" i="3"/>
  <c r="D593" i="3"/>
  <c r="E593" i="3"/>
  <c r="F593" i="3"/>
  <c r="G593" i="3"/>
  <c r="H593" i="3"/>
  <c r="I593" i="3"/>
  <c r="J593" i="3"/>
  <c r="C594" i="3"/>
  <c r="D594" i="3"/>
  <c r="E594" i="3"/>
  <c r="F594" i="3"/>
  <c r="G594" i="3"/>
  <c r="H594" i="3"/>
  <c r="I594" i="3"/>
  <c r="J594" i="3"/>
  <c r="C595" i="3"/>
  <c r="D595" i="3"/>
  <c r="E595" i="3"/>
  <c r="F595" i="3"/>
  <c r="G595" i="3"/>
  <c r="H595" i="3"/>
  <c r="I595" i="3"/>
  <c r="J595" i="3"/>
  <c r="C596" i="3"/>
  <c r="D596" i="3"/>
  <c r="E596" i="3"/>
  <c r="F596" i="3"/>
  <c r="G596" i="3"/>
  <c r="H596" i="3"/>
  <c r="I596" i="3"/>
  <c r="J596" i="3"/>
  <c r="C597" i="3"/>
  <c r="D597" i="3"/>
  <c r="E597" i="3"/>
  <c r="F597" i="3"/>
  <c r="G597" i="3"/>
  <c r="H597" i="3"/>
  <c r="I597" i="3"/>
  <c r="J597" i="3"/>
  <c r="C598" i="3"/>
  <c r="D598" i="3"/>
  <c r="E598" i="3"/>
  <c r="F598" i="3"/>
  <c r="G598" i="3"/>
  <c r="H598" i="3"/>
  <c r="I598" i="3"/>
  <c r="J598" i="3"/>
  <c r="C599" i="3"/>
  <c r="D599" i="3"/>
  <c r="E599" i="3"/>
  <c r="F599" i="3"/>
  <c r="G599" i="3"/>
  <c r="H599" i="3"/>
  <c r="I599" i="3"/>
  <c r="J599" i="3"/>
  <c r="C600" i="3"/>
  <c r="D600" i="3"/>
  <c r="E600" i="3"/>
  <c r="F600" i="3"/>
  <c r="G600" i="3"/>
  <c r="H600" i="3"/>
  <c r="I600" i="3"/>
  <c r="J600" i="3"/>
  <c r="C601" i="3"/>
  <c r="D601" i="3"/>
  <c r="E601" i="3"/>
  <c r="F601" i="3"/>
  <c r="G601" i="3"/>
  <c r="H601" i="3"/>
  <c r="I601" i="3"/>
  <c r="J601" i="3"/>
  <c r="C602" i="3"/>
  <c r="D602" i="3"/>
  <c r="E602" i="3"/>
  <c r="F602" i="3"/>
  <c r="G602" i="3"/>
  <c r="H602" i="3"/>
  <c r="I602" i="3"/>
  <c r="J602" i="3"/>
  <c r="C603" i="3"/>
  <c r="D603" i="3"/>
  <c r="E603" i="3"/>
  <c r="F603" i="3"/>
  <c r="G603" i="3"/>
  <c r="H603" i="3"/>
  <c r="I603" i="3"/>
  <c r="J603" i="3"/>
  <c r="C604" i="3"/>
  <c r="D604" i="3"/>
  <c r="E604" i="3"/>
  <c r="F604" i="3"/>
  <c r="G604" i="3"/>
  <c r="H604" i="3"/>
  <c r="I604" i="3"/>
  <c r="J604" i="3"/>
  <c r="C605" i="3"/>
  <c r="D605" i="3"/>
  <c r="E605" i="3"/>
  <c r="F605" i="3"/>
  <c r="G605" i="3"/>
  <c r="H605" i="3"/>
  <c r="I605" i="3"/>
  <c r="J605" i="3"/>
  <c r="C606" i="3"/>
  <c r="D606" i="3"/>
  <c r="E606" i="3"/>
  <c r="F606" i="3"/>
  <c r="G606" i="3"/>
  <c r="H606" i="3"/>
  <c r="I606" i="3"/>
  <c r="J606" i="3"/>
  <c r="C607" i="3"/>
  <c r="D607" i="3"/>
  <c r="E607" i="3"/>
  <c r="F607" i="3"/>
  <c r="G607" i="3"/>
  <c r="H607" i="3"/>
  <c r="I607" i="3"/>
  <c r="J607" i="3"/>
  <c r="C608" i="3"/>
  <c r="D608" i="3"/>
  <c r="E608" i="3"/>
  <c r="F608" i="3"/>
  <c r="G608" i="3"/>
  <c r="H608" i="3"/>
  <c r="I608" i="3"/>
  <c r="J608" i="3"/>
  <c r="C609" i="3"/>
  <c r="D609" i="3"/>
  <c r="E609" i="3"/>
  <c r="F609" i="3"/>
  <c r="G609" i="3"/>
  <c r="H609" i="3"/>
  <c r="I609" i="3"/>
  <c r="J609" i="3"/>
  <c r="C610" i="3"/>
  <c r="D610" i="3"/>
  <c r="E610" i="3"/>
  <c r="F610" i="3"/>
  <c r="G610" i="3"/>
  <c r="H610" i="3"/>
  <c r="I610" i="3"/>
  <c r="J610" i="3"/>
  <c r="C611" i="3"/>
  <c r="D611" i="3"/>
  <c r="E611" i="3"/>
  <c r="F611" i="3"/>
  <c r="G611" i="3"/>
  <c r="H611" i="3"/>
  <c r="I611" i="3"/>
  <c r="J611" i="3"/>
  <c r="C612" i="3"/>
  <c r="D612" i="3"/>
  <c r="E612" i="3"/>
  <c r="F612" i="3"/>
  <c r="G612" i="3"/>
  <c r="H612" i="3"/>
  <c r="I612" i="3"/>
  <c r="J612" i="3"/>
  <c r="C613" i="3"/>
  <c r="D613" i="3"/>
  <c r="E613" i="3"/>
  <c r="F613" i="3"/>
  <c r="G613" i="3"/>
  <c r="H613" i="3"/>
  <c r="I613" i="3"/>
  <c r="J613" i="3"/>
  <c r="C614" i="3"/>
  <c r="D614" i="3"/>
  <c r="E614" i="3"/>
  <c r="F614" i="3"/>
  <c r="G614" i="3"/>
  <c r="H614" i="3"/>
  <c r="I614" i="3"/>
  <c r="J614" i="3"/>
  <c r="C615" i="3"/>
  <c r="D615" i="3"/>
  <c r="E615" i="3"/>
  <c r="F615" i="3"/>
  <c r="G615" i="3"/>
  <c r="H615" i="3"/>
  <c r="I615" i="3"/>
  <c r="J615" i="3"/>
  <c r="C616" i="3"/>
  <c r="D616" i="3"/>
  <c r="E616" i="3"/>
  <c r="F616" i="3"/>
  <c r="G616" i="3"/>
  <c r="H616" i="3"/>
  <c r="I616" i="3"/>
  <c r="J616" i="3"/>
  <c r="C617" i="3"/>
  <c r="D617" i="3"/>
  <c r="E617" i="3"/>
  <c r="F617" i="3"/>
  <c r="G617" i="3"/>
  <c r="H617" i="3"/>
  <c r="I617" i="3"/>
  <c r="J617" i="3"/>
  <c r="C618" i="3"/>
  <c r="D618" i="3"/>
  <c r="E618" i="3"/>
  <c r="F618" i="3"/>
  <c r="G618" i="3"/>
  <c r="H618" i="3"/>
  <c r="I618" i="3"/>
  <c r="J618" i="3"/>
  <c r="C619" i="3"/>
  <c r="D619" i="3"/>
  <c r="E619" i="3"/>
  <c r="F619" i="3"/>
  <c r="G619" i="3"/>
  <c r="H619" i="3"/>
  <c r="I619" i="3"/>
  <c r="J619" i="3"/>
  <c r="C620" i="3"/>
  <c r="D620" i="3"/>
  <c r="E620" i="3"/>
  <c r="F620" i="3"/>
  <c r="G620" i="3"/>
  <c r="H620" i="3"/>
  <c r="I620" i="3"/>
  <c r="J620" i="3"/>
  <c r="C621" i="3"/>
  <c r="D621" i="3"/>
  <c r="E621" i="3"/>
  <c r="F621" i="3"/>
  <c r="G621" i="3"/>
  <c r="H621" i="3"/>
  <c r="I621" i="3"/>
  <c r="J621" i="3"/>
  <c r="C622" i="3"/>
  <c r="D622" i="3"/>
  <c r="E622" i="3"/>
  <c r="F622" i="3"/>
  <c r="G622" i="3"/>
  <c r="H622" i="3"/>
  <c r="I622" i="3"/>
  <c r="J622" i="3"/>
  <c r="C623" i="3"/>
  <c r="D623" i="3"/>
  <c r="E623" i="3"/>
  <c r="F623" i="3"/>
  <c r="G623" i="3"/>
  <c r="H623" i="3"/>
  <c r="I623" i="3"/>
  <c r="J623" i="3"/>
  <c r="C624" i="3"/>
  <c r="D624" i="3"/>
  <c r="E624" i="3"/>
  <c r="F624" i="3"/>
  <c r="G624" i="3"/>
  <c r="H624" i="3"/>
  <c r="I624" i="3"/>
  <c r="J624" i="3"/>
  <c r="C625" i="3"/>
  <c r="D625" i="3"/>
  <c r="E625" i="3"/>
  <c r="F625" i="3"/>
  <c r="G625" i="3"/>
  <c r="H625" i="3"/>
  <c r="I625" i="3"/>
  <c r="J625" i="3"/>
  <c r="C626" i="3"/>
  <c r="D626" i="3"/>
  <c r="E626" i="3"/>
  <c r="F626" i="3"/>
  <c r="G626" i="3"/>
  <c r="H626" i="3"/>
  <c r="I626" i="3"/>
  <c r="J626" i="3"/>
  <c r="C627" i="3"/>
  <c r="D627" i="3"/>
  <c r="E627" i="3"/>
  <c r="F627" i="3"/>
  <c r="G627" i="3"/>
  <c r="H627" i="3"/>
  <c r="I627" i="3"/>
  <c r="J627" i="3"/>
  <c r="C628" i="3"/>
  <c r="D628" i="3"/>
  <c r="E628" i="3"/>
  <c r="F628" i="3"/>
  <c r="G628" i="3"/>
  <c r="H628" i="3"/>
  <c r="I628" i="3"/>
  <c r="J628" i="3"/>
  <c r="C629" i="3"/>
  <c r="D629" i="3"/>
  <c r="E629" i="3"/>
  <c r="F629" i="3"/>
  <c r="G629" i="3"/>
  <c r="H629" i="3"/>
  <c r="I629" i="3"/>
  <c r="J629" i="3"/>
  <c r="C630" i="3"/>
  <c r="D630" i="3"/>
  <c r="E630" i="3"/>
  <c r="F630" i="3"/>
  <c r="G630" i="3"/>
  <c r="H630" i="3"/>
  <c r="I630" i="3"/>
  <c r="J630" i="3"/>
  <c r="C631" i="3"/>
  <c r="D631" i="3"/>
  <c r="E631" i="3"/>
  <c r="F631" i="3"/>
  <c r="G631" i="3"/>
  <c r="H631" i="3"/>
  <c r="I631" i="3"/>
  <c r="J631" i="3"/>
  <c r="C632" i="3"/>
  <c r="D632" i="3"/>
  <c r="E632" i="3"/>
  <c r="F632" i="3"/>
  <c r="G632" i="3"/>
  <c r="H632" i="3"/>
  <c r="I632" i="3"/>
  <c r="J632" i="3"/>
  <c r="C633" i="3"/>
  <c r="D633" i="3"/>
  <c r="E633" i="3"/>
  <c r="F633" i="3"/>
  <c r="G633" i="3"/>
  <c r="H633" i="3"/>
  <c r="I633" i="3"/>
  <c r="J633" i="3"/>
  <c r="C634" i="3"/>
  <c r="D634" i="3"/>
  <c r="E634" i="3"/>
  <c r="F634" i="3"/>
  <c r="G634" i="3"/>
  <c r="H634" i="3"/>
  <c r="I634" i="3"/>
  <c r="J634" i="3"/>
  <c r="C635" i="3"/>
  <c r="D635" i="3"/>
  <c r="E635" i="3"/>
  <c r="F635" i="3"/>
  <c r="G635" i="3"/>
  <c r="H635" i="3"/>
  <c r="I635" i="3"/>
  <c r="J635" i="3"/>
  <c r="C636" i="3"/>
  <c r="D636" i="3"/>
  <c r="E636" i="3"/>
  <c r="F636" i="3"/>
  <c r="G636" i="3"/>
  <c r="H636" i="3"/>
  <c r="I636" i="3"/>
  <c r="J636" i="3"/>
  <c r="C637" i="3"/>
  <c r="D637" i="3"/>
  <c r="E637" i="3"/>
  <c r="F637" i="3"/>
  <c r="G637" i="3"/>
  <c r="H637" i="3"/>
  <c r="I637" i="3"/>
  <c r="J637" i="3"/>
  <c r="C638" i="3"/>
  <c r="D638" i="3"/>
  <c r="E638" i="3"/>
  <c r="F638" i="3"/>
  <c r="G638" i="3"/>
  <c r="H638" i="3"/>
  <c r="I638" i="3"/>
  <c r="J638" i="3"/>
  <c r="C639" i="3"/>
  <c r="D639" i="3"/>
  <c r="E639" i="3"/>
  <c r="F639" i="3"/>
  <c r="G639" i="3"/>
  <c r="H639" i="3"/>
  <c r="I639" i="3"/>
  <c r="J639" i="3"/>
  <c r="C640" i="3"/>
  <c r="D640" i="3"/>
  <c r="E640" i="3"/>
  <c r="F640" i="3"/>
  <c r="G640" i="3"/>
  <c r="H640" i="3"/>
  <c r="I640" i="3"/>
  <c r="J640" i="3"/>
  <c r="C641" i="3"/>
  <c r="D641" i="3"/>
  <c r="E641" i="3"/>
  <c r="F641" i="3"/>
  <c r="G641" i="3"/>
  <c r="H641" i="3"/>
  <c r="I641" i="3"/>
  <c r="J641" i="3"/>
  <c r="C642" i="3"/>
  <c r="D642" i="3"/>
  <c r="E642" i="3"/>
  <c r="F642" i="3"/>
  <c r="G642" i="3"/>
  <c r="H642" i="3"/>
  <c r="I642" i="3"/>
  <c r="J642" i="3"/>
  <c r="C643" i="3"/>
  <c r="D643" i="3"/>
  <c r="E643" i="3"/>
  <c r="F643" i="3"/>
  <c r="G643" i="3"/>
  <c r="H643" i="3"/>
  <c r="I643" i="3"/>
  <c r="J643" i="3"/>
  <c r="C644" i="3"/>
  <c r="D644" i="3"/>
  <c r="E644" i="3"/>
  <c r="F644" i="3"/>
  <c r="G644" i="3"/>
  <c r="H644" i="3"/>
  <c r="I644" i="3"/>
  <c r="J644" i="3"/>
  <c r="C645" i="3"/>
  <c r="D645" i="3"/>
  <c r="E645" i="3"/>
  <c r="F645" i="3"/>
  <c r="G645" i="3"/>
  <c r="H645" i="3"/>
  <c r="I645" i="3"/>
  <c r="J645" i="3"/>
  <c r="C646" i="3"/>
  <c r="D646" i="3"/>
  <c r="E646" i="3"/>
  <c r="F646" i="3"/>
  <c r="G646" i="3"/>
  <c r="H646" i="3"/>
  <c r="I646" i="3"/>
  <c r="J646" i="3"/>
  <c r="C647" i="3"/>
  <c r="D647" i="3"/>
  <c r="E647" i="3"/>
  <c r="F647" i="3"/>
  <c r="G647" i="3"/>
  <c r="H647" i="3"/>
  <c r="I647" i="3"/>
  <c r="J647" i="3"/>
  <c r="C648" i="3"/>
  <c r="D648" i="3"/>
  <c r="E648" i="3"/>
  <c r="F648" i="3"/>
  <c r="G648" i="3"/>
  <c r="H648" i="3"/>
  <c r="I648" i="3"/>
  <c r="J648" i="3"/>
  <c r="C649" i="3"/>
  <c r="D649" i="3"/>
  <c r="E649" i="3"/>
  <c r="F649" i="3"/>
  <c r="G649" i="3"/>
  <c r="H649" i="3"/>
  <c r="I649" i="3"/>
  <c r="J649" i="3"/>
  <c r="C650" i="3"/>
  <c r="D650" i="3"/>
  <c r="E650" i="3"/>
  <c r="F650" i="3"/>
  <c r="G650" i="3"/>
  <c r="H650" i="3"/>
  <c r="I650" i="3"/>
  <c r="J650" i="3"/>
  <c r="C651" i="3"/>
  <c r="D651" i="3"/>
  <c r="E651" i="3"/>
  <c r="F651" i="3"/>
  <c r="G651" i="3"/>
  <c r="H651" i="3"/>
  <c r="I651" i="3"/>
  <c r="J651" i="3"/>
  <c r="C652" i="3"/>
  <c r="D652" i="3"/>
  <c r="E652" i="3"/>
  <c r="F652" i="3"/>
  <c r="G652" i="3"/>
  <c r="H652" i="3"/>
  <c r="I652" i="3"/>
  <c r="J652" i="3"/>
  <c r="C653" i="3"/>
  <c r="D653" i="3"/>
  <c r="E653" i="3"/>
  <c r="F653" i="3"/>
  <c r="G653" i="3"/>
  <c r="H653" i="3"/>
  <c r="I653" i="3"/>
  <c r="J653" i="3"/>
  <c r="C654" i="3"/>
  <c r="D654" i="3"/>
  <c r="E654" i="3"/>
  <c r="F654" i="3"/>
  <c r="G654" i="3"/>
  <c r="H654" i="3"/>
  <c r="I654" i="3"/>
  <c r="J654" i="3"/>
  <c r="C655" i="3"/>
  <c r="D655" i="3"/>
  <c r="E655" i="3"/>
  <c r="F655" i="3"/>
  <c r="G655" i="3"/>
  <c r="H655" i="3"/>
  <c r="I655" i="3"/>
  <c r="J655" i="3"/>
  <c r="C656" i="3"/>
  <c r="D656" i="3"/>
  <c r="E656" i="3"/>
  <c r="F656" i="3"/>
  <c r="G656" i="3"/>
  <c r="H656" i="3"/>
  <c r="I656" i="3"/>
  <c r="J656" i="3"/>
  <c r="C657" i="3"/>
  <c r="D657" i="3"/>
  <c r="E657" i="3"/>
  <c r="F657" i="3"/>
  <c r="G657" i="3"/>
  <c r="H657" i="3"/>
  <c r="I657" i="3"/>
  <c r="J657" i="3"/>
  <c r="C658" i="3"/>
  <c r="D658" i="3"/>
  <c r="E658" i="3"/>
  <c r="F658" i="3"/>
  <c r="G658" i="3"/>
  <c r="H658" i="3"/>
  <c r="I658" i="3"/>
  <c r="J658" i="3"/>
  <c r="C659" i="3"/>
  <c r="D659" i="3"/>
  <c r="E659" i="3"/>
  <c r="F659" i="3"/>
  <c r="G659" i="3"/>
  <c r="H659" i="3"/>
  <c r="I659" i="3"/>
  <c r="J659" i="3"/>
  <c r="C660" i="3"/>
  <c r="D660" i="3"/>
  <c r="E660" i="3"/>
  <c r="F660" i="3"/>
  <c r="G660" i="3"/>
  <c r="H660" i="3"/>
  <c r="I660" i="3"/>
  <c r="J660" i="3"/>
  <c r="C661" i="3"/>
  <c r="D661" i="3"/>
  <c r="E661" i="3"/>
  <c r="F661" i="3"/>
  <c r="G661" i="3"/>
  <c r="H661" i="3"/>
  <c r="I661" i="3"/>
  <c r="J661" i="3"/>
  <c r="C662" i="3"/>
  <c r="D662" i="3"/>
  <c r="E662" i="3"/>
  <c r="F662" i="3"/>
  <c r="G662" i="3"/>
  <c r="H662" i="3"/>
  <c r="I662" i="3"/>
  <c r="J662" i="3"/>
  <c r="C663" i="3"/>
  <c r="D663" i="3"/>
  <c r="E663" i="3"/>
  <c r="F663" i="3"/>
  <c r="G663" i="3"/>
  <c r="H663" i="3"/>
  <c r="I663" i="3"/>
  <c r="J663" i="3"/>
  <c r="C664" i="3"/>
  <c r="D664" i="3"/>
  <c r="E664" i="3"/>
  <c r="F664" i="3"/>
  <c r="G664" i="3"/>
  <c r="H664" i="3"/>
  <c r="I664" i="3"/>
  <c r="J664" i="3"/>
  <c r="C665" i="3"/>
  <c r="D665" i="3"/>
  <c r="E665" i="3"/>
  <c r="F665" i="3"/>
  <c r="G665" i="3"/>
  <c r="H665" i="3"/>
  <c r="I665" i="3"/>
  <c r="J665" i="3"/>
  <c r="C666" i="3"/>
  <c r="D666" i="3"/>
  <c r="E666" i="3"/>
  <c r="F666" i="3"/>
  <c r="G666" i="3"/>
  <c r="H666" i="3"/>
  <c r="I666" i="3"/>
  <c r="J666" i="3"/>
  <c r="C667" i="3"/>
  <c r="D667" i="3"/>
  <c r="E667" i="3"/>
  <c r="F667" i="3"/>
  <c r="G667" i="3"/>
  <c r="H667" i="3"/>
  <c r="I667" i="3"/>
  <c r="J667" i="3"/>
  <c r="C668" i="3"/>
  <c r="D668" i="3"/>
  <c r="E668" i="3"/>
  <c r="F668" i="3"/>
  <c r="G668" i="3"/>
  <c r="H668" i="3"/>
  <c r="I668" i="3"/>
  <c r="J668" i="3"/>
  <c r="C669" i="3"/>
  <c r="D669" i="3"/>
  <c r="E669" i="3"/>
  <c r="F669" i="3"/>
  <c r="G669" i="3"/>
  <c r="H669" i="3"/>
  <c r="I669" i="3"/>
  <c r="J669" i="3"/>
  <c r="C670" i="3"/>
  <c r="D670" i="3"/>
  <c r="E670" i="3"/>
  <c r="F670" i="3"/>
  <c r="G670" i="3"/>
  <c r="H670" i="3"/>
  <c r="I670" i="3"/>
  <c r="J670" i="3"/>
  <c r="C671" i="3"/>
  <c r="D671" i="3"/>
  <c r="E671" i="3"/>
  <c r="F671" i="3"/>
  <c r="G671" i="3"/>
  <c r="H671" i="3"/>
  <c r="I671" i="3"/>
  <c r="J671" i="3"/>
  <c r="C672" i="3"/>
  <c r="D672" i="3"/>
  <c r="E672" i="3"/>
  <c r="F672" i="3"/>
  <c r="G672" i="3"/>
  <c r="H672" i="3"/>
  <c r="I672" i="3"/>
  <c r="J672" i="3"/>
  <c r="C673" i="3"/>
  <c r="D673" i="3"/>
  <c r="E673" i="3"/>
  <c r="F673" i="3"/>
  <c r="G673" i="3"/>
  <c r="H673" i="3"/>
  <c r="I673" i="3"/>
  <c r="J673" i="3"/>
  <c r="C674" i="3"/>
  <c r="D674" i="3"/>
  <c r="E674" i="3"/>
  <c r="F674" i="3"/>
  <c r="G674" i="3"/>
  <c r="H674" i="3"/>
  <c r="I674" i="3"/>
  <c r="J674" i="3"/>
  <c r="C675" i="3"/>
  <c r="D675" i="3"/>
  <c r="E675" i="3"/>
  <c r="F675" i="3"/>
  <c r="G675" i="3"/>
  <c r="H675" i="3"/>
  <c r="I675" i="3"/>
  <c r="J675" i="3"/>
  <c r="C676" i="3"/>
  <c r="D676" i="3"/>
  <c r="E676" i="3"/>
  <c r="F676" i="3"/>
  <c r="G676" i="3"/>
  <c r="H676" i="3"/>
  <c r="I676" i="3"/>
  <c r="J676" i="3"/>
  <c r="C677" i="3"/>
  <c r="D677" i="3"/>
  <c r="E677" i="3"/>
  <c r="F677" i="3"/>
  <c r="G677" i="3"/>
  <c r="H677" i="3"/>
  <c r="I677" i="3"/>
  <c r="J677" i="3"/>
  <c r="C678" i="3"/>
  <c r="D678" i="3"/>
  <c r="E678" i="3"/>
  <c r="F678" i="3"/>
  <c r="G678" i="3"/>
  <c r="H678" i="3"/>
  <c r="I678" i="3"/>
  <c r="J678" i="3"/>
  <c r="C679" i="3"/>
  <c r="D679" i="3"/>
  <c r="E679" i="3"/>
  <c r="F679" i="3"/>
  <c r="G679" i="3"/>
  <c r="H679" i="3"/>
  <c r="I679" i="3"/>
  <c r="J679" i="3"/>
  <c r="C680" i="3"/>
  <c r="D680" i="3"/>
  <c r="E680" i="3"/>
  <c r="F680" i="3"/>
  <c r="G680" i="3"/>
  <c r="H680" i="3"/>
  <c r="I680" i="3"/>
  <c r="J680" i="3"/>
  <c r="C681" i="3"/>
  <c r="D681" i="3"/>
  <c r="E681" i="3"/>
  <c r="F681" i="3"/>
  <c r="G681" i="3"/>
  <c r="H681" i="3"/>
  <c r="I681" i="3"/>
  <c r="J681" i="3"/>
  <c r="C682" i="3"/>
  <c r="D682" i="3"/>
  <c r="E682" i="3"/>
  <c r="F682" i="3"/>
  <c r="G682" i="3"/>
  <c r="H682" i="3"/>
  <c r="I682" i="3"/>
  <c r="J682" i="3"/>
  <c r="C683" i="3"/>
  <c r="D683" i="3"/>
  <c r="E683" i="3"/>
  <c r="F683" i="3"/>
  <c r="G683" i="3"/>
  <c r="H683" i="3"/>
  <c r="I683" i="3"/>
  <c r="J683" i="3"/>
  <c r="C684" i="3"/>
  <c r="D684" i="3"/>
  <c r="E684" i="3"/>
  <c r="F684" i="3"/>
  <c r="G684" i="3"/>
  <c r="H684" i="3"/>
  <c r="I684" i="3"/>
  <c r="J684" i="3"/>
  <c r="C685" i="3"/>
  <c r="D685" i="3"/>
  <c r="E685" i="3"/>
  <c r="F685" i="3"/>
  <c r="G685" i="3"/>
  <c r="H685" i="3"/>
  <c r="I685" i="3"/>
  <c r="J685" i="3"/>
  <c r="C686" i="3"/>
  <c r="D686" i="3"/>
  <c r="E686" i="3"/>
  <c r="F686" i="3"/>
  <c r="G686" i="3"/>
  <c r="H686" i="3"/>
  <c r="I686" i="3"/>
  <c r="J686" i="3"/>
  <c r="C687" i="3"/>
  <c r="D687" i="3"/>
  <c r="E687" i="3"/>
  <c r="F687" i="3"/>
  <c r="G687" i="3"/>
  <c r="H687" i="3"/>
  <c r="I687" i="3"/>
  <c r="J687" i="3"/>
  <c r="C688" i="3"/>
  <c r="D688" i="3"/>
  <c r="E688" i="3"/>
  <c r="F688" i="3"/>
  <c r="G688" i="3"/>
  <c r="H688" i="3"/>
  <c r="I688" i="3"/>
  <c r="J688" i="3"/>
  <c r="C689" i="3"/>
  <c r="D689" i="3"/>
  <c r="E689" i="3"/>
  <c r="F689" i="3"/>
  <c r="G689" i="3"/>
  <c r="H689" i="3"/>
  <c r="I689" i="3"/>
  <c r="J689" i="3"/>
  <c r="C690" i="3"/>
  <c r="D690" i="3"/>
  <c r="E690" i="3"/>
  <c r="F690" i="3"/>
  <c r="G690" i="3"/>
  <c r="H690" i="3"/>
  <c r="I690" i="3"/>
  <c r="J690" i="3"/>
  <c r="C691" i="3"/>
  <c r="D691" i="3"/>
  <c r="E691" i="3"/>
  <c r="F691" i="3"/>
  <c r="G691" i="3"/>
  <c r="H691" i="3"/>
  <c r="I691" i="3"/>
  <c r="J691" i="3"/>
  <c r="C692" i="3"/>
  <c r="D692" i="3"/>
  <c r="E692" i="3"/>
  <c r="F692" i="3"/>
  <c r="G692" i="3"/>
  <c r="H692" i="3"/>
  <c r="I692" i="3"/>
  <c r="J692" i="3"/>
  <c r="C693" i="3"/>
  <c r="D693" i="3"/>
  <c r="E693" i="3"/>
  <c r="F693" i="3"/>
  <c r="G693" i="3"/>
  <c r="H693" i="3"/>
  <c r="I693" i="3"/>
  <c r="J693" i="3"/>
  <c r="C694" i="3"/>
  <c r="D694" i="3"/>
  <c r="E694" i="3"/>
  <c r="F694" i="3"/>
  <c r="G694" i="3"/>
  <c r="H694" i="3"/>
  <c r="I694" i="3"/>
  <c r="J694" i="3"/>
  <c r="C695" i="3"/>
  <c r="D695" i="3"/>
  <c r="E695" i="3"/>
  <c r="F695" i="3"/>
  <c r="G695" i="3"/>
  <c r="H695" i="3"/>
  <c r="I695" i="3"/>
  <c r="J695" i="3"/>
  <c r="C696" i="3"/>
  <c r="D696" i="3"/>
  <c r="E696" i="3"/>
  <c r="F696" i="3"/>
  <c r="G696" i="3"/>
  <c r="H696" i="3"/>
  <c r="I696" i="3"/>
  <c r="J696" i="3"/>
  <c r="C697" i="3"/>
  <c r="D697" i="3"/>
  <c r="E697" i="3"/>
  <c r="F697" i="3"/>
  <c r="G697" i="3"/>
  <c r="H697" i="3"/>
  <c r="I697" i="3"/>
  <c r="J697" i="3"/>
  <c r="C698" i="3"/>
  <c r="D698" i="3"/>
  <c r="E698" i="3"/>
  <c r="F698" i="3"/>
  <c r="G698" i="3"/>
  <c r="H698" i="3"/>
  <c r="I698" i="3"/>
  <c r="J698" i="3"/>
  <c r="C699" i="3"/>
  <c r="D699" i="3"/>
  <c r="E699" i="3"/>
  <c r="F699" i="3"/>
  <c r="G699" i="3"/>
  <c r="H699" i="3"/>
  <c r="I699" i="3"/>
  <c r="J699" i="3"/>
  <c r="C700" i="3"/>
  <c r="D700" i="3"/>
  <c r="E700" i="3"/>
  <c r="F700" i="3"/>
  <c r="G700" i="3"/>
  <c r="H700" i="3"/>
  <c r="I700" i="3"/>
  <c r="J700" i="3"/>
  <c r="C701" i="3"/>
  <c r="D701" i="3"/>
  <c r="E701" i="3"/>
  <c r="F701" i="3"/>
  <c r="G701" i="3"/>
  <c r="H701" i="3"/>
  <c r="I701" i="3"/>
  <c r="J701" i="3"/>
  <c r="C702" i="3"/>
  <c r="D702" i="3"/>
  <c r="E702" i="3"/>
  <c r="F702" i="3"/>
  <c r="G702" i="3"/>
  <c r="H702" i="3"/>
  <c r="I702" i="3"/>
  <c r="J702" i="3"/>
  <c r="C703" i="3"/>
  <c r="D703" i="3"/>
  <c r="E703" i="3"/>
  <c r="F703" i="3"/>
  <c r="G703" i="3"/>
  <c r="H703" i="3"/>
  <c r="I703" i="3"/>
  <c r="J703" i="3"/>
  <c r="C704" i="3"/>
  <c r="D704" i="3"/>
  <c r="E704" i="3"/>
  <c r="F704" i="3"/>
  <c r="G704" i="3"/>
  <c r="H704" i="3"/>
  <c r="I704" i="3"/>
  <c r="J704" i="3"/>
  <c r="C705" i="3"/>
  <c r="D705" i="3"/>
  <c r="E705" i="3"/>
  <c r="F705" i="3"/>
  <c r="G705" i="3"/>
  <c r="H705" i="3"/>
  <c r="I705" i="3"/>
  <c r="J705" i="3"/>
  <c r="C706" i="3"/>
  <c r="D706" i="3"/>
  <c r="E706" i="3"/>
  <c r="F706" i="3"/>
  <c r="G706" i="3"/>
  <c r="H706" i="3"/>
  <c r="I706" i="3"/>
  <c r="J706" i="3"/>
  <c r="C707" i="3"/>
  <c r="D707" i="3"/>
  <c r="E707" i="3"/>
  <c r="F707" i="3"/>
  <c r="G707" i="3"/>
  <c r="H707" i="3"/>
  <c r="I707" i="3"/>
  <c r="J707" i="3"/>
  <c r="C708" i="3"/>
  <c r="D708" i="3"/>
  <c r="E708" i="3"/>
  <c r="F708" i="3"/>
  <c r="G708" i="3"/>
  <c r="H708" i="3"/>
  <c r="I708" i="3"/>
  <c r="J708" i="3"/>
  <c r="C709" i="3"/>
  <c r="D709" i="3"/>
  <c r="E709" i="3"/>
  <c r="F709" i="3"/>
  <c r="G709" i="3"/>
  <c r="H709" i="3"/>
  <c r="I709" i="3"/>
  <c r="J709" i="3"/>
  <c r="C710" i="3"/>
  <c r="D710" i="3"/>
  <c r="E710" i="3"/>
  <c r="F710" i="3"/>
  <c r="G710" i="3"/>
  <c r="H710" i="3"/>
  <c r="I710" i="3"/>
  <c r="J710" i="3"/>
  <c r="C711" i="3"/>
  <c r="D711" i="3"/>
  <c r="E711" i="3"/>
  <c r="F711" i="3"/>
  <c r="G711" i="3"/>
  <c r="H711" i="3"/>
  <c r="I711" i="3"/>
  <c r="J711" i="3"/>
  <c r="C712" i="3"/>
  <c r="D712" i="3"/>
  <c r="E712" i="3"/>
  <c r="F712" i="3"/>
  <c r="G712" i="3"/>
  <c r="H712" i="3"/>
  <c r="I712" i="3"/>
  <c r="J712" i="3"/>
  <c r="C713" i="3"/>
  <c r="D713" i="3"/>
  <c r="E713" i="3"/>
  <c r="F713" i="3"/>
  <c r="G713" i="3"/>
  <c r="H713" i="3"/>
  <c r="I713" i="3"/>
  <c r="J713" i="3"/>
  <c r="C714" i="3"/>
  <c r="D714" i="3"/>
  <c r="E714" i="3"/>
  <c r="F714" i="3"/>
  <c r="G714" i="3"/>
  <c r="H714" i="3"/>
  <c r="I714" i="3"/>
  <c r="J714" i="3"/>
  <c r="C715" i="3"/>
  <c r="D715" i="3"/>
  <c r="E715" i="3"/>
  <c r="F715" i="3"/>
  <c r="G715" i="3"/>
  <c r="H715" i="3"/>
  <c r="I715" i="3"/>
  <c r="J715" i="3"/>
  <c r="C716" i="3"/>
  <c r="D716" i="3"/>
  <c r="E716" i="3"/>
  <c r="F716" i="3"/>
  <c r="G716" i="3"/>
  <c r="H716" i="3"/>
  <c r="I716" i="3"/>
  <c r="J716" i="3"/>
  <c r="C717" i="3"/>
  <c r="D717" i="3"/>
  <c r="E717" i="3"/>
  <c r="F717" i="3"/>
  <c r="G717" i="3"/>
  <c r="H717" i="3"/>
  <c r="I717" i="3"/>
  <c r="J717" i="3"/>
  <c r="C718" i="3"/>
  <c r="D718" i="3"/>
  <c r="E718" i="3"/>
  <c r="F718" i="3"/>
  <c r="G718" i="3"/>
  <c r="H718" i="3"/>
  <c r="I718" i="3"/>
  <c r="J718" i="3"/>
  <c r="C719" i="3"/>
  <c r="D719" i="3"/>
  <c r="E719" i="3"/>
  <c r="F719" i="3"/>
  <c r="G719" i="3"/>
  <c r="H719" i="3"/>
  <c r="I719" i="3"/>
  <c r="J719" i="3"/>
  <c r="C720" i="3"/>
  <c r="D720" i="3"/>
  <c r="E720" i="3"/>
  <c r="F720" i="3"/>
  <c r="G720" i="3"/>
  <c r="H720" i="3"/>
  <c r="I720" i="3"/>
  <c r="J720" i="3"/>
  <c r="C721" i="3"/>
  <c r="D721" i="3"/>
  <c r="E721" i="3"/>
  <c r="F721" i="3"/>
  <c r="G721" i="3"/>
  <c r="H721" i="3"/>
  <c r="I721" i="3"/>
  <c r="J721" i="3"/>
  <c r="C722" i="3"/>
  <c r="D722" i="3"/>
  <c r="E722" i="3"/>
  <c r="F722" i="3"/>
  <c r="G722" i="3"/>
  <c r="H722" i="3"/>
  <c r="I722" i="3"/>
  <c r="J722" i="3"/>
  <c r="C723" i="3"/>
  <c r="D723" i="3"/>
  <c r="E723" i="3"/>
  <c r="F723" i="3"/>
  <c r="G723" i="3"/>
  <c r="H723" i="3"/>
  <c r="I723" i="3"/>
  <c r="J723" i="3"/>
  <c r="C724" i="3"/>
  <c r="D724" i="3"/>
  <c r="E724" i="3"/>
  <c r="F724" i="3"/>
  <c r="G724" i="3"/>
  <c r="H724" i="3"/>
  <c r="I724" i="3"/>
  <c r="J724" i="3"/>
  <c r="C725" i="3"/>
  <c r="D725" i="3"/>
  <c r="E725" i="3"/>
  <c r="F725" i="3"/>
  <c r="G725" i="3"/>
  <c r="H725" i="3"/>
  <c r="I725" i="3"/>
  <c r="J725" i="3"/>
  <c r="C726" i="3"/>
  <c r="D726" i="3"/>
  <c r="E726" i="3"/>
  <c r="F726" i="3"/>
  <c r="G726" i="3"/>
  <c r="H726" i="3"/>
  <c r="I726" i="3"/>
  <c r="J726" i="3"/>
  <c r="C727" i="3"/>
  <c r="D727" i="3"/>
  <c r="E727" i="3"/>
  <c r="F727" i="3"/>
  <c r="G727" i="3"/>
  <c r="H727" i="3"/>
  <c r="I727" i="3"/>
  <c r="J727" i="3"/>
  <c r="C728" i="3"/>
  <c r="D728" i="3"/>
  <c r="E728" i="3"/>
  <c r="F728" i="3"/>
  <c r="G728" i="3"/>
  <c r="H728" i="3"/>
  <c r="I728" i="3"/>
  <c r="J728" i="3"/>
  <c r="C729" i="3"/>
  <c r="D729" i="3"/>
  <c r="E729" i="3"/>
  <c r="F729" i="3"/>
  <c r="G729" i="3"/>
  <c r="H729" i="3"/>
  <c r="I729" i="3"/>
  <c r="J729" i="3"/>
  <c r="C730" i="3"/>
  <c r="D730" i="3"/>
  <c r="E730" i="3"/>
  <c r="F730" i="3"/>
  <c r="G730" i="3"/>
  <c r="H730" i="3"/>
  <c r="I730" i="3"/>
  <c r="J730" i="3"/>
  <c r="C731" i="3"/>
  <c r="D731" i="3"/>
  <c r="E731" i="3"/>
  <c r="F731" i="3"/>
  <c r="G731" i="3"/>
  <c r="H731" i="3"/>
  <c r="I731" i="3"/>
  <c r="J731" i="3"/>
  <c r="C732" i="3"/>
  <c r="D732" i="3"/>
  <c r="E732" i="3"/>
  <c r="F732" i="3"/>
  <c r="G732" i="3"/>
  <c r="H732" i="3"/>
  <c r="I732" i="3"/>
  <c r="J732" i="3"/>
  <c r="C733" i="3"/>
  <c r="D733" i="3"/>
  <c r="E733" i="3"/>
  <c r="F733" i="3"/>
  <c r="G733" i="3"/>
  <c r="H733" i="3"/>
  <c r="I733" i="3"/>
  <c r="J733" i="3"/>
  <c r="C734" i="3"/>
  <c r="D734" i="3"/>
  <c r="E734" i="3"/>
  <c r="F734" i="3"/>
  <c r="G734" i="3"/>
  <c r="H734" i="3"/>
  <c r="I734" i="3"/>
  <c r="J734" i="3"/>
  <c r="C735" i="3"/>
  <c r="D735" i="3"/>
  <c r="E735" i="3"/>
  <c r="F735" i="3"/>
  <c r="G735" i="3"/>
  <c r="H735" i="3"/>
  <c r="I735" i="3"/>
  <c r="J735" i="3"/>
  <c r="C736" i="3"/>
  <c r="D736" i="3"/>
  <c r="E736" i="3"/>
  <c r="F736" i="3"/>
  <c r="G736" i="3"/>
  <c r="H736" i="3"/>
  <c r="I736" i="3"/>
  <c r="J736" i="3"/>
  <c r="C737" i="3"/>
  <c r="D737" i="3"/>
  <c r="E737" i="3"/>
  <c r="F737" i="3"/>
  <c r="G737" i="3"/>
  <c r="H737" i="3"/>
  <c r="I737" i="3"/>
  <c r="J737" i="3"/>
  <c r="C738" i="3"/>
  <c r="D738" i="3"/>
  <c r="E738" i="3"/>
  <c r="F738" i="3"/>
  <c r="G738" i="3"/>
  <c r="H738" i="3"/>
  <c r="I738" i="3"/>
  <c r="J738" i="3"/>
  <c r="C739" i="3"/>
  <c r="D739" i="3"/>
  <c r="E739" i="3"/>
  <c r="F739" i="3"/>
  <c r="G739" i="3"/>
  <c r="H739" i="3"/>
  <c r="I739" i="3"/>
  <c r="J739" i="3"/>
  <c r="C740" i="3"/>
  <c r="D740" i="3"/>
  <c r="E740" i="3"/>
  <c r="F740" i="3"/>
  <c r="G740" i="3"/>
  <c r="H740" i="3"/>
  <c r="I740" i="3"/>
  <c r="J740" i="3"/>
  <c r="C741" i="3"/>
  <c r="D741" i="3"/>
  <c r="E741" i="3"/>
  <c r="F741" i="3"/>
  <c r="G741" i="3"/>
  <c r="H741" i="3"/>
  <c r="I741" i="3"/>
  <c r="J741" i="3"/>
  <c r="C742" i="3"/>
  <c r="D742" i="3"/>
  <c r="E742" i="3"/>
  <c r="F742" i="3"/>
  <c r="G742" i="3"/>
  <c r="H742" i="3"/>
  <c r="I742" i="3"/>
  <c r="J742" i="3"/>
  <c r="C743" i="3"/>
  <c r="D743" i="3"/>
  <c r="E743" i="3"/>
  <c r="F743" i="3"/>
  <c r="G743" i="3"/>
  <c r="H743" i="3"/>
  <c r="I743" i="3"/>
  <c r="J743" i="3"/>
  <c r="C744" i="3"/>
  <c r="D744" i="3"/>
  <c r="E744" i="3"/>
  <c r="F744" i="3"/>
  <c r="G744" i="3"/>
  <c r="H744" i="3"/>
  <c r="I744" i="3"/>
  <c r="J744" i="3"/>
  <c r="C745" i="3"/>
  <c r="D745" i="3"/>
  <c r="E745" i="3"/>
  <c r="F745" i="3"/>
  <c r="G745" i="3"/>
  <c r="H745" i="3"/>
  <c r="I745" i="3"/>
  <c r="J745" i="3"/>
  <c r="C746" i="3"/>
  <c r="D746" i="3"/>
  <c r="E746" i="3"/>
  <c r="F746" i="3"/>
  <c r="G746" i="3"/>
  <c r="H746" i="3"/>
  <c r="I746" i="3"/>
  <c r="J746" i="3"/>
  <c r="C747" i="3"/>
  <c r="D747" i="3"/>
  <c r="E747" i="3"/>
  <c r="F747" i="3"/>
  <c r="G747" i="3"/>
  <c r="H747" i="3"/>
  <c r="I747" i="3"/>
  <c r="J747" i="3"/>
  <c r="C748" i="3"/>
  <c r="D748" i="3"/>
  <c r="E748" i="3"/>
  <c r="F748" i="3"/>
  <c r="G748" i="3"/>
  <c r="H748" i="3"/>
  <c r="I748" i="3"/>
  <c r="J748" i="3"/>
  <c r="C749" i="3"/>
  <c r="D749" i="3"/>
  <c r="E749" i="3"/>
  <c r="F749" i="3"/>
  <c r="G749" i="3"/>
  <c r="H749" i="3"/>
  <c r="I749" i="3"/>
  <c r="J749" i="3"/>
  <c r="C750" i="3"/>
  <c r="D750" i="3"/>
  <c r="E750" i="3"/>
  <c r="F750" i="3"/>
  <c r="G750" i="3"/>
  <c r="H750" i="3"/>
  <c r="I750" i="3"/>
  <c r="J750" i="3"/>
  <c r="C751" i="3"/>
  <c r="D751" i="3"/>
  <c r="E751" i="3"/>
  <c r="F751" i="3"/>
  <c r="G751" i="3"/>
  <c r="H751" i="3"/>
  <c r="I751" i="3"/>
  <c r="J751" i="3"/>
  <c r="C752" i="3"/>
  <c r="D752" i="3"/>
  <c r="E752" i="3"/>
  <c r="F752" i="3"/>
  <c r="G752" i="3"/>
  <c r="H752" i="3"/>
  <c r="I752" i="3"/>
  <c r="J752" i="3"/>
  <c r="C753" i="3"/>
  <c r="D753" i="3"/>
  <c r="E753" i="3"/>
  <c r="F753" i="3"/>
  <c r="G753" i="3"/>
  <c r="H753" i="3"/>
  <c r="I753" i="3"/>
  <c r="J753" i="3"/>
  <c r="C754" i="3"/>
  <c r="D754" i="3"/>
  <c r="E754" i="3"/>
  <c r="F754" i="3"/>
  <c r="G754" i="3"/>
  <c r="H754" i="3"/>
  <c r="I754" i="3"/>
  <c r="J754" i="3"/>
  <c r="C755" i="3"/>
  <c r="D755" i="3"/>
  <c r="E755" i="3"/>
  <c r="F755" i="3"/>
  <c r="G755" i="3"/>
  <c r="H755" i="3"/>
  <c r="I755" i="3"/>
  <c r="J755" i="3"/>
  <c r="C756" i="3"/>
  <c r="D756" i="3"/>
  <c r="E756" i="3"/>
  <c r="F756" i="3"/>
  <c r="G756" i="3"/>
  <c r="H756" i="3"/>
  <c r="I756" i="3"/>
  <c r="J756" i="3"/>
  <c r="C757" i="3"/>
  <c r="D757" i="3"/>
  <c r="E757" i="3"/>
  <c r="F757" i="3"/>
  <c r="G757" i="3"/>
  <c r="H757" i="3"/>
  <c r="I757" i="3"/>
  <c r="J757" i="3"/>
  <c r="C758" i="3"/>
  <c r="D758" i="3"/>
  <c r="E758" i="3"/>
  <c r="F758" i="3"/>
  <c r="G758" i="3"/>
  <c r="H758" i="3"/>
  <c r="I758" i="3"/>
  <c r="J758" i="3"/>
  <c r="C759" i="3"/>
  <c r="D759" i="3"/>
  <c r="E759" i="3"/>
  <c r="F759" i="3"/>
  <c r="G759" i="3"/>
  <c r="H759" i="3"/>
  <c r="I759" i="3"/>
  <c r="J759" i="3"/>
  <c r="C760" i="3"/>
  <c r="D760" i="3"/>
  <c r="E760" i="3"/>
  <c r="F760" i="3"/>
  <c r="G760" i="3"/>
  <c r="H760" i="3"/>
  <c r="I760" i="3"/>
  <c r="J760" i="3"/>
  <c r="C761" i="3"/>
  <c r="D761" i="3"/>
  <c r="E761" i="3"/>
  <c r="F761" i="3"/>
  <c r="G761" i="3"/>
  <c r="H761" i="3"/>
  <c r="I761" i="3"/>
  <c r="J761" i="3"/>
  <c r="C762" i="3"/>
  <c r="D762" i="3"/>
  <c r="E762" i="3"/>
  <c r="F762" i="3"/>
  <c r="G762" i="3"/>
  <c r="H762" i="3"/>
  <c r="I762" i="3"/>
  <c r="J762" i="3"/>
  <c r="C763" i="3"/>
  <c r="D763" i="3"/>
  <c r="E763" i="3"/>
  <c r="F763" i="3"/>
  <c r="G763" i="3"/>
  <c r="H763" i="3"/>
  <c r="I763" i="3"/>
  <c r="J763" i="3"/>
  <c r="C764" i="3"/>
  <c r="D764" i="3"/>
  <c r="E764" i="3"/>
  <c r="F764" i="3"/>
  <c r="G764" i="3"/>
  <c r="H764" i="3"/>
  <c r="I764" i="3"/>
  <c r="J764" i="3"/>
  <c r="C765" i="3"/>
  <c r="D765" i="3"/>
  <c r="E765" i="3"/>
  <c r="F765" i="3"/>
  <c r="G765" i="3"/>
  <c r="H765" i="3"/>
  <c r="I765" i="3"/>
  <c r="J765" i="3"/>
  <c r="C766" i="3"/>
  <c r="D766" i="3"/>
  <c r="E766" i="3"/>
  <c r="F766" i="3"/>
  <c r="G766" i="3"/>
  <c r="H766" i="3"/>
  <c r="I766" i="3"/>
  <c r="J766" i="3"/>
  <c r="C767" i="3"/>
  <c r="D767" i="3"/>
  <c r="E767" i="3"/>
  <c r="F767" i="3"/>
  <c r="G767" i="3"/>
  <c r="H767" i="3"/>
  <c r="I767" i="3"/>
  <c r="J767" i="3"/>
  <c r="C768" i="3"/>
  <c r="D768" i="3"/>
  <c r="E768" i="3"/>
  <c r="F768" i="3"/>
  <c r="G768" i="3"/>
  <c r="H768" i="3"/>
  <c r="I768" i="3"/>
  <c r="J768" i="3"/>
  <c r="C769" i="3"/>
  <c r="D769" i="3"/>
  <c r="E769" i="3"/>
  <c r="F769" i="3"/>
  <c r="G769" i="3"/>
  <c r="H769" i="3"/>
  <c r="I769" i="3"/>
  <c r="J769" i="3"/>
  <c r="C770" i="3"/>
  <c r="D770" i="3"/>
  <c r="E770" i="3"/>
  <c r="F770" i="3"/>
  <c r="G770" i="3"/>
  <c r="H770" i="3"/>
  <c r="I770" i="3"/>
  <c r="J770" i="3"/>
  <c r="C771" i="3"/>
  <c r="D771" i="3"/>
  <c r="E771" i="3"/>
  <c r="F771" i="3"/>
  <c r="G771" i="3"/>
  <c r="H771" i="3"/>
  <c r="I771" i="3"/>
  <c r="J771" i="3"/>
  <c r="C772" i="3"/>
  <c r="D772" i="3"/>
  <c r="E772" i="3"/>
  <c r="F772" i="3"/>
  <c r="G772" i="3"/>
  <c r="H772" i="3"/>
  <c r="I772" i="3"/>
  <c r="J772" i="3"/>
  <c r="C773" i="3"/>
  <c r="D773" i="3"/>
  <c r="E773" i="3"/>
  <c r="F773" i="3"/>
  <c r="G773" i="3"/>
  <c r="H773" i="3"/>
  <c r="I773" i="3"/>
  <c r="J773" i="3"/>
  <c r="C774" i="3"/>
  <c r="D774" i="3"/>
  <c r="E774" i="3"/>
  <c r="F774" i="3"/>
  <c r="G774" i="3"/>
  <c r="H774" i="3"/>
  <c r="I774" i="3"/>
  <c r="J774" i="3"/>
  <c r="C775" i="3"/>
  <c r="D775" i="3"/>
  <c r="E775" i="3"/>
  <c r="F775" i="3"/>
  <c r="G775" i="3"/>
  <c r="H775" i="3"/>
  <c r="I775" i="3"/>
  <c r="J775" i="3"/>
  <c r="C776" i="3"/>
  <c r="D776" i="3"/>
  <c r="E776" i="3"/>
  <c r="F776" i="3"/>
  <c r="G776" i="3"/>
  <c r="H776" i="3"/>
  <c r="I776" i="3"/>
  <c r="J776" i="3"/>
  <c r="C777" i="3"/>
  <c r="D777" i="3"/>
  <c r="E777" i="3"/>
  <c r="F777" i="3"/>
  <c r="G777" i="3"/>
  <c r="H777" i="3"/>
  <c r="I777" i="3"/>
  <c r="J777" i="3"/>
  <c r="C778" i="3"/>
  <c r="D778" i="3"/>
  <c r="E778" i="3"/>
  <c r="F778" i="3"/>
  <c r="G778" i="3"/>
  <c r="H778" i="3"/>
  <c r="I778" i="3"/>
  <c r="J778" i="3"/>
  <c r="C779" i="3"/>
  <c r="D779" i="3"/>
  <c r="E779" i="3"/>
  <c r="F779" i="3"/>
  <c r="G779" i="3"/>
  <c r="H779" i="3"/>
  <c r="I779" i="3"/>
  <c r="J779" i="3"/>
  <c r="C780" i="3"/>
  <c r="D780" i="3"/>
  <c r="E780" i="3"/>
  <c r="F780" i="3"/>
  <c r="G780" i="3"/>
  <c r="H780" i="3"/>
  <c r="I780" i="3"/>
  <c r="J780" i="3"/>
  <c r="C781" i="3"/>
  <c r="D781" i="3"/>
  <c r="E781" i="3"/>
  <c r="F781" i="3"/>
  <c r="G781" i="3"/>
  <c r="H781" i="3"/>
  <c r="I781" i="3"/>
  <c r="J781" i="3"/>
  <c r="C782" i="3"/>
  <c r="D782" i="3"/>
  <c r="E782" i="3"/>
  <c r="F782" i="3"/>
  <c r="G782" i="3"/>
  <c r="H782" i="3"/>
  <c r="I782" i="3"/>
  <c r="J782" i="3"/>
  <c r="C783" i="3"/>
  <c r="D783" i="3"/>
  <c r="E783" i="3"/>
  <c r="F783" i="3"/>
  <c r="G783" i="3"/>
  <c r="H783" i="3"/>
  <c r="I783" i="3"/>
  <c r="J783" i="3"/>
  <c r="C784" i="3"/>
  <c r="D784" i="3"/>
  <c r="E784" i="3"/>
  <c r="F784" i="3"/>
  <c r="G784" i="3"/>
  <c r="H784" i="3"/>
  <c r="I784" i="3"/>
  <c r="J784" i="3"/>
  <c r="C785" i="3"/>
  <c r="D785" i="3"/>
  <c r="E785" i="3"/>
  <c r="F785" i="3"/>
  <c r="G785" i="3"/>
  <c r="H785" i="3"/>
  <c r="I785" i="3"/>
  <c r="J785" i="3"/>
  <c r="C786" i="3"/>
  <c r="D786" i="3"/>
  <c r="E786" i="3"/>
  <c r="F786" i="3"/>
  <c r="G786" i="3"/>
  <c r="H786" i="3"/>
  <c r="I786" i="3"/>
  <c r="J786" i="3"/>
  <c r="C787" i="3"/>
  <c r="D787" i="3"/>
  <c r="E787" i="3"/>
  <c r="F787" i="3"/>
  <c r="G787" i="3"/>
  <c r="H787" i="3"/>
  <c r="I787" i="3"/>
  <c r="J787" i="3"/>
  <c r="C788" i="3"/>
  <c r="D788" i="3"/>
  <c r="E788" i="3"/>
  <c r="F788" i="3"/>
  <c r="G788" i="3"/>
  <c r="H788" i="3"/>
  <c r="I788" i="3"/>
  <c r="J788" i="3"/>
  <c r="C789" i="3"/>
  <c r="D789" i="3"/>
  <c r="E789" i="3"/>
  <c r="F789" i="3"/>
  <c r="G789" i="3"/>
  <c r="H789" i="3"/>
  <c r="I789" i="3"/>
  <c r="J789" i="3"/>
  <c r="C790" i="3"/>
  <c r="D790" i="3"/>
  <c r="E790" i="3"/>
  <c r="F790" i="3"/>
  <c r="G790" i="3"/>
  <c r="H790" i="3"/>
  <c r="I790" i="3"/>
  <c r="J790" i="3"/>
  <c r="C791" i="3"/>
  <c r="D791" i="3"/>
  <c r="E791" i="3"/>
  <c r="F791" i="3"/>
  <c r="G791" i="3"/>
  <c r="H791" i="3"/>
  <c r="I791" i="3"/>
  <c r="J791" i="3"/>
  <c r="C792" i="3"/>
  <c r="D792" i="3"/>
  <c r="E792" i="3"/>
  <c r="F792" i="3"/>
  <c r="G792" i="3"/>
  <c r="H792" i="3"/>
  <c r="I792" i="3"/>
  <c r="J792" i="3"/>
  <c r="C793" i="3"/>
  <c r="D793" i="3"/>
  <c r="E793" i="3"/>
  <c r="F793" i="3"/>
  <c r="G793" i="3"/>
  <c r="H793" i="3"/>
  <c r="I793" i="3"/>
  <c r="J793" i="3"/>
  <c r="C794" i="3"/>
  <c r="D794" i="3"/>
  <c r="E794" i="3"/>
  <c r="F794" i="3"/>
  <c r="G794" i="3"/>
  <c r="H794" i="3"/>
  <c r="I794" i="3"/>
  <c r="J794" i="3"/>
  <c r="C795" i="3"/>
  <c r="D795" i="3"/>
  <c r="E795" i="3"/>
  <c r="F795" i="3"/>
  <c r="G795" i="3"/>
  <c r="H795" i="3"/>
  <c r="I795" i="3"/>
  <c r="J795" i="3"/>
  <c r="C796" i="3"/>
  <c r="D796" i="3"/>
  <c r="E796" i="3"/>
  <c r="F796" i="3"/>
  <c r="G796" i="3"/>
  <c r="H796" i="3"/>
  <c r="I796" i="3"/>
  <c r="J796" i="3"/>
  <c r="C797" i="3"/>
  <c r="D797" i="3"/>
  <c r="E797" i="3"/>
  <c r="F797" i="3"/>
  <c r="G797" i="3"/>
  <c r="H797" i="3"/>
  <c r="I797" i="3"/>
  <c r="J797" i="3"/>
  <c r="C798" i="3"/>
  <c r="D798" i="3"/>
  <c r="E798" i="3"/>
  <c r="F798" i="3"/>
  <c r="G798" i="3"/>
  <c r="H798" i="3"/>
  <c r="I798" i="3"/>
  <c r="J798" i="3"/>
  <c r="C799" i="3"/>
  <c r="D799" i="3"/>
  <c r="E799" i="3"/>
  <c r="F799" i="3"/>
  <c r="G799" i="3"/>
  <c r="H799" i="3"/>
  <c r="I799" i="3"/>
  <c r="J799" i="3"/>
  <c r="C800" i="3"/>
  <c r="D800" i="3"/>
  <c r="E800" i="3"/>
  <c r="F800" i="3"/>
  <c r="G800" i="3"/>
  <c r="H800" i="3"/>
  <c r="I800" i="3"/>
  <c r="J800" i="3"/>
  <c r="C801" i="3"/>
  <c r="D801" i="3"/>
  <c r="E801" i="3"/>
  <c r="F801" i="3"/>
  <c r="G801" i="3"/>
  <c r="H801" i="3"/>
  <c r="I801" i="3"/>
  <c r="J801" i="3"/>
  <c r="C802" i="3"/>
  <c r="D802" i="3"/>
  <c r="E802" i="3"/>
  <c r="F802" i="3"/>
  <c r="G802" i="3"/>
  <c r="H802" i="3"/>
  <c r="I802" i="3"/>
  <c r="J802" i="3"/>
  <c r="C803" i="3"/>
  <c r="D803" i="3"/>
  <c r="E803" i="3"/>
  <c r="F803" i="3"/>
  <c r="G803" i="3"/>
  <c r="H803" i="3"/>
  <c r="I803" i="3"/>
  <c r="J803" i="3"/>
  <c r="C804" i="3"/>
  <c r="D804" i="3"/>
  <c r="E804" i="3"/>
  <c r="F804" i="3"/>
  <c r="G804" i="3"/>
  <c r="H804" i="3"/>
  <c r="I804" i="3"/>
  <c r="J804" i="3"/>
  <c r="C805" i="3"/>
  <c r="D805" i="3"/>
  <c r="E805" i="3"/>
  <c r="F805" i="3"/>
  <c r="G805" i="3"/>
  <c r="H805" i="3"/>
  <c r="I805" i="3"/>
  <c r="J805" i="3"/>
  <c r="C806" i="3"/>
  <c r="D806" i="3"/>
  <c r="E806" i="3"/>
  <c r="F806" i="3"/>
  <c r="G806" i="3"/>
  <c r="H806" i="3"/>
  <c r="I806" i="3"/>
  <c r="J806" i="3"/>
  <c r="C807" i="3"/>
  <c r="D807" i="3"/>
  <c r="E807" i="3"/>
  <c r="F807" i="3"/>
  <c r="G807" i="3"/>
  <c r="H807" i="3"/>
  <c r="I807" i="3"/>
  <c r="J807" i="3"/>
  <c r="C808" i="3"/>
  <c r="D808" i="3"/>
  <c r="E808" i="3"/>
  <c r="F808" i="3"/>
  <c r="G808" i="3"/>
  <c r="H808" i="3"/>
  <c r="I808" i="3"/>
  <c r="J808" i="3"/>
  <c r="C809" i="3"/>
  <c r="D809" i="3"/>
  <c r="E809" i="3"/>
  <c r="F809" i="3"/>
  <c r="G809" i="3"/>
  <c r="H809" i="3"/>
  <c r="I809" i="3"/>
  <c r="J809" i="3"/>
  <c r="C810" i="3"/>
  <c r="D810" i="3"/>
  <c r="E810" i="3"/>
  <c r="F810" i="3"/>
  <c r="G810" i="3"/>
  <c r="H810" i="3"/>
  <c r="I810" i="3"/>
  <c r="J810" i="3"/>
  <c r="C811" i="3"/>
  <c r="D811" i="3"/>
  <c r="E811" i="3"/>
  <c r="F811" i="3"/>
  <c r="G811" i="3"/>
  <c r="H811" i="3"/>
  <c r="I811" i="3"/>
  <c r="J811" i="3"/>
  <c r="C812" i="3"/>
  <c r="D812" i="3"/>
  <c r="E812" i="3"/>
  <c r="F812" i="3"/>
  <c r="G812" i="3"/>
  <c r="H812" i="3"/>
  <c r="I812" i="3"/>
  <c r="J812" i="3"/>
  <c r="C813" i="3"/>
  <c r="D813" i="3"/>
  <c r="E813" i="3"/>
  <c r="F813" i="3"/>
  <c r="G813" i="3"/>
  <c r="H813" i="3"/>
  <c r="I813" i="3"/>
  <c r="J813" i="3"/>
  <c r="C814" i="3"/>
  <c r="D814" i="3"/>
  <c r="E814" i="3"/>
  <c r="F814" i="3"/>
  <c r="G814" i="3"/>
  <c r="H814" i="3"/>
  <c r="I814" i="3"/>
  <c r="J814" i="3"/>
  <c r="C815" i="3"/>
  <c r="D815" i="3"/>
  <c r="E815" i="3"/>
  <c r="F815" i="3"/>
  <c r="G815" i="3"/>
  <c r="H815" i="3"/>
  <c r="I815" i="3"/>
  <c r="J815" i="3"/>
  <c r="C816" i="3"/>
  <c r="D816" i="3"/>
  <c r="E816" i="3"/>
  <c r="F816" i="3"/>
  <c r="G816" i="3"/>
  <c r="H816" i="3"/>
  <c r="I816" i="3"/>
  <c r="J816" i="3"/>
  <c r="C817" i="3"/>
  <c r="D817" i="3"/>
  <c r="E817" i="3"/>
  <c r="F817" i="3"/>
  <c r="G817" i="3"/>
  <c r="H817" i="3"/>
  <c r="I817" i="3"/>
  <c r="J817" i="3"/>
  <c r="C818" i="3"/>
  <c r="D818" i="3"/>
  <c r="E818" i="3"/>
  <c r="F818" i="3"/>
  <c r="G818" i="3"/>
  <c r="H818" i="3"/>
  <c r="I818" i="3"/>
  <c r="J818" i="3"/>
  <c r="C819" i="3"/>
  <c r="D819" i="3"/>
  <c r="E819" i="3"/>
  <c r="F819" i="3"/>
  <c r="G819" i="3"/>
  <c r="H819" i="3"/>
  <c r="I819" i="3"/>
  <c r="J819" i="3"/>
  <c r="C820" i="3"/>
  <c r="D820" i="3"/>
  <c r="E820" i="3"/>
  <c r="F820" i="3"/>
  <c r="G820" i="3"/>
  <c r="H820" i="3"/>
  <c r="I820" i="3"/>
  <c r="J820" i="3"/>
  <c r="C821" i="3"/>
  <c r="D821" i="3"/>
  <c r="E821" i="3"/>
  <c r="F821" i="3"/>
  <c r="G821" i="3"/>
  <c r="H821" i="3"/>
  <c r="I821" i="3"/>
  <c r="J821" i="3"/>
  <c r="C822" i="3"/>
  <c r="D822" i="3"/>
  <c r="E822" i="3"/>
  <c r="F822" i="3"/>
  <c r="G822" i="3"/>
  <c r="H822" i="3"/>
  <c r="I822" i="3"/>
  <c r="J822" i="3"/>
  <c r="C823" i="3"/>
  <c r="D823" i="3"/>
  <c r="E823" i="3"/>
  <c r="F823" i="3"/>
  <c r="G823" i="3"/>
  <c r="H823" i="3"/>
  <c r="I823" i="3"/>
  <c r="J823" i="3"/>
  <c r="C824" i="3"/>
  <c r="D824" i="3"/>
  <c r="E824" i="3"/>
  <c r="F824" i="3"/>
  <c r="G824" i="3"/>
  <c r="H824" i="3"/>
  <c r="I824" i="3"/>
  <c r="J824" i="3"/>
  <c r="C825" i="3"/>
  <c r="D825" i="3"/>
  <c r="E825" i="3"/>
  <c r="F825" i="3"/>
  <c r="G825" i="3"/>
  <c r="H825" i="3"/>
  <c r="I825" i="3"/>
  <c r="J825" i="3"/>
  <c r="C826" i="3"/>
  <c r="D826" i="3"/>
  <c r="E826" i="3"/>
  <c r="F826" i="3"/>
  <c r="G826" i="3"/>
  <c r="H826" i="3"/>
  <c r="I826" i="3"/>
  <c r="J826" i="3"/>
  <c r="C827" i="3"/>
  <c r="D827" i="3"/>
  <c r="E827" i="3"/>
  <c r="F827" i="3"/>
  <c r="G827" i="3"/>
  <c r="H827" i="3"/>
  <c r="I827" i="3"/>
  <c r="J827" i="3"/>
  <c r="C828" i="3"/>
  <c r="D828" i="3"/>
  <c r="E828" i="3"/>
  <c r="F828" i="3"/>
  <c r="G828" i="3"/>
  <c r="H828" i="3"/>
  <c r="I828" i="3"/>
  <c r="J828" i="3"/>
  <c r="C829" i="3"/>
  <c r="D829" i="3"/>
  <c r="E829" i="3"/>
  <c r="F829" i="3"/>
  <c r="G829" i="3"/>
  <c r="H829" i="3"/>
  <c r="I829" i="3"/>
  <c r="J829" i="3"/>
  <c r="C830" i="3"/>
  <c r="D830" i="3"/>
  <c r="E830" i="3"/>
  <c r="F830" i="3"/>
  <c r="G830" i="3"/>
  <c r="H830" i="3"/>
  <c r="I830" i="3"/>
  <c r="J830" i="3"/>
  <c r="C831" i="3"/>
  <c r="D831" i="3"/>
  <c r="E831" i="3"/>
  <c r="F831" i="3"/>
  <c r="G831" i="3"/>
  <c r="H831" i="3"/>
  <c r="I831" i="3"/>
  <c r="J831" i="3"/>
  <c r="C832" i="3"/>
  <c r="D832" i="3"/>
  <c r="E832" i="3"/>
  <c r="F832" i="3"/>
  <c r="G832" i="3"/>
  <c r="H832" i="3"/>
  <c r="I832" i="3"/>
  <c r="J832" i="3"/>
  <c r="C833" i="3"/>
  <c r="D833" i="3"/>
  <c r="E833" i="3"/>
  <c r="F833" i="3"/>
  <c r="G833" i="3"/>
  <c r="H833" i="3"/>
  <c r="I833" i="3"/>
  <c r="J833" i="3"/>
  <c r="C834" i="3"/>
  <c r="D834" i="3"/>
  <c r="E834" i="3"/>
  <c r="F834" i="3"/>
  <c r="G834" i="3"/>
  <c r="H834" i="3"/>
  <c r="I834" i="3"/>
  <c r="J834" i="3"/>
  <c r="C835" i="3"/>
  <c r="D835" i="3"/>
  <c r="E835" i="3"/>
  <c r="F835" i="3"/>
  <c r="G835" i="3"/>
  <c r="H835" i="3"/>
  <c r="I835" i="3"/>
  <c r="J835" i="3"/>
  <c r="C836" i="3"/>
  <c r="D836" i="3"/>
  <c r="E836" i="3"/>
  <c r="F836" i="3"/>
  <c r="G836" i="3"/>
  <c r="H836" i="3"/>
  <c r="I836" i="3"/>
  <c r="J836" i="3"/>
  <c r="C837" i="3"/>
  <c r="D837" i="3"/>
  <c r="E837" i="3"/>
  <c r="F837" i="3"/>
  <c r="G837" i="3"/>
  <c r="H837" i="3"/>
  <c r="I837" i="3"/>
  <c r="J837" i="3"/>
  <c r="C838" i="3"/>
  <c r="D838" i="3"/>
  <c r="E838" i="3"/>
  <c r="F838" i="3"/>
  <c r="G838" i="3"/>
  <c r="H838" i="3"/>
  <c r="I838" i="3"/>
  <c r="J838" i="3"/>
  <c r="C839" i="3"/>
  <c r="D839" i="3"/>
  <c r="E839" i="3"/>
  <c r="F839" i="3"/>
  <c r="G839" i="3"/>
  <c r="H839" i="3"/>
  <c r="I839" i="3"/>
  <c r="J839" i="3"/>
  <c r="C840" i="3"/>
  <c r="D840" i="3"/>
  <c r="E840" i="3"/>
  <c r="F840" i="3"/>
  <c r="G840" i="3"/>
  <c r="H840" i="3"/>
  <c r="I840" i="3"/>
  <c r="J840" i="3"/>
  <c r="C841" i="3"/>
  <c r="D841" i="3"/>
  <c r="E841" i="3"/>
  <c r="F841" i="3"/>
  <c r="G841" i="3"/>
  <c r="H841" i="3"/>
  <c r="I841" i="3"/>
  <c r="J841" i="3"/>
  <c r="C842" i="3"/>
  <c r="D842" i="3"/>
  <c r="E842" i="3"/>
  <c r="F842" i="3"/>
  <c r="G842" i="3"/>
  <c r="H842" i="3"/>
  <c r="I842" i="3"/>
  <c r="J842" i="3"/>
  <c r="C843" i="3"/>
  <c r="D843" i="3"/>
  <c r="E843" i="3"/>
  <c r="F843" i="3"/>
  <c r="G843" i="3"/>
  <c r="H843" i="3"/>
  <c r="I843" i="3"/>
  <c r="J843" i="3"/>
  <c r="C844" i="3"/>
  <c r="D844" i="3"/>
  <c r="E844" i="3"/>
  <c r="F844" i="3"/>
  <c r="G844" i="3"/>
  <c r="H844" i="3"/>
  <c r="I844" i="3"/>
  <c r="J844" i="3"/>
  <c r="C845" i="3"/>
  <c r="D845" i="3"/>
  <c r="E845" i="3"/>
  <c r="F845" i="3"/>
  <c r="G845" i="3"/>
  <c r="H845" i="3"/>
  <c r="I845" i="3"/>
  <c r="J845" i="3"/>
  <c r="C846" i="3"/>
  <c r="D846" i="3"/>
  <c r="E846" i="3"/>
  <c r="F846" i="3"/>
  <c r="G846" i="3"/>
  <c r="H846" i="3"/>
  <c r="I846" i="3"/>
  <c r="J846" i="3"/>
  <c r="C847" i="3"/>
  <c r="D847" i="3"/>
  <c r="E847" i="3"/>
  <c r="F847" i="3"/>
  <c r="G847" i="3"/>
  <c r="H847" i="3"/>
  <c r="I847" i="3"/>
  <c r="J847" i="3"/>
  <c r="C848" i="3"/>
  <c r="D848" i="3"/>
  <c r="E848" i="3"/>
  <c r="F848" i="3"/>
  <c r="G848" i="3"/>
  <c r="H848" i="3"/>
  <c r="I848" i="3"/>
  <c r="J848" i="3"/>
  <c r="C849" i="3"/>
  <c r="D849" i="3"/>
  <c r="E849" i="3"/>
  <c r="F849" i="3"/>
  <c r="G849" i="3"/>
  <c r="H849" i="3"/>
  <c r="I849" i="3"/>
  <c r="J849" i="3"/>
  <c r="C850" i="3"/>
  <c r="D850" i="3"/>
  <c r="E850" i="3"/>
  <c r="F850" i="3"/>
  <c r="G850" i="3"/>
  <c r="H850" i="3"/>
  <c r="I850" i="3"/>
  <c r="J850" i="3"/>
  <c r="C851" i="3"/>
  <c r="D851" i="3"/>
  <c r="E851" i="3"/>
  <c r="F851" i="3"/>
  <c r="G851" i="3"/>
  <c r="H851" i="3"/>
  <c r="I851" i="3"/>
  <c r="J851" i="3"/>
  <c r="C852" i="3"/>
  <c r="D852" i="3"/>
  <c r="E852" i="3"/>
  <c r="F852" i="3"/>
  <c r="G852" i="3"/>
  <c r="H852" i="3"/>
  <c r="I852" i="3"/>
  <c r="J852" i="3"/>
  <c r="C853" i="3"/>
  <c r="D853" i="3"/>
  <c r="E853" i="3"/>
  <c r="F853" i="3"/>
  <c r="G853" i="3"/>
  <c r="H853" i="3"/>
  <c r="I853" i="3"/>
  <c r="J853" i="3"/>
  <c r="C854" i="3"/>
  <c r="D854" i="3"/>
  <c r="E854" i="3"/>
  <c r="F854" i="3"/>
  <c r="G854" i="3"/>
  <c r="H854" i="3"/>
  <c r="I854" i="3"/>
  <c r="J854" i="3"/>
  <c r="C855" i="3"/>
  <c r="D855" i="3"/>
  <c r="E855" i="3"/>
  <c r="F855" i="3"/>
  <c r="G855" i="3"/>
  <c r="H855" i="3"/>
  <c r="I855" i="3"/>
  <c r="J855" i="3"/>
  <c r="C856" i="3"/>
  <c r="D856" i="3"/>
  <c r="E856" i="3"/>
  <c r="F856" i="3"/>
  <c r="G856" i="3"/>
  <c r="H856" i="3"/>
  <c r="I856" i="3"/>
  <c r="J856" i="3"/>
  <c r="C857" i="3"/>
  <c r="D857" i="3"/>
  <c r="E857" i="3"/>
  <c r="F857" i="3"/>
  <c r="G857" i="3"/>
  <c r="H857" i="3"/>
  <c r="I857" i="3"/>
  <c r="J857" i="3"/>
  <c r="C858" i="3"/>
  <c r="D858" i="3"/>
  <c r="E858" i="3"/>
  <c r="F858" i="3"/>
  <c r="G858" i="3"/>
  <c r="H858" i="3"/>
  <c r="I858" i="3"/>
  <c r="J858" i="3"/>
  <c r="C859" i="3"/>
  <c r="D859" i="3"/>
  <c r="E859" i="3"/>
  <c r="F859" i="3"/>
  <c r="G859" i="3"/>
  <c r="H859" i="3"/>
  <c r="I859" i="3"/>
  <c r="J859" i="3"/>
  <c r="C860" i="3"/>
  <c r="D860" i="3"/>
  <c r="E860" i="3"/>
  <c r="F860" i="3"/>
  <c r="G860" i="3"/>
  <c r="H860" i="3"/>
  <c r="I860" i="3"/>
  <c r="J860" i="3"/>
  <c r="C861" i="3"/>
  <c r="D861" i="3"/>
  <c r="E861" i="3"/>
  <c r="F861" i="3"/>
  <c r="G861" i="3"/>
  <c r="H861" i="3"/>
  <c r="I861" i="3"/>
  <c r="J861" i="3"/>
  <c r="C862" i="3"/>
  <c r="D862" i="3"/>
  <c r="E862" i="3"/>
  <c r="F862" i="3"/>
  <c r="G862" i="3"/>
  <c r="H862" i="3"/>
  <c r="I862" i="3"/>
  <c r="J862" i="3"/>
  <c r="C863" i="3"/>
  <c r="D863" i="3"/>
  <c r="E863" i="3"/>
  <c r="F863" i="3"/>
  <c r="G863" i="3"/>
  <c r="H863" i="3"/>
  <c r="I863" i="3"/>
  <c r="J863" i="3"/>
  <c r="C864" i="3"/>
  <c r="D864" i="3"/>
  <c r="E864" i="3"/>
  <c r="F864" i="3"/>
  <c r="G864" i="3"/>
  <c r="H864" i="3"/>
  <c r="I864" i="3"/>
  <c r="J864" i="3"/>
  <c r="C865" i="3"/>
  <c r="D865" i="3"/>
  <c r="E865" i="3"/>
  <c r="F865" i="3"/>
  <c r="G865" i="3"/>
  <c r="H865" i="3"/>
  <c r="I865" i="3"/>
  <c r="J865" i="3"/>
  <c r="C866" i="3"/>
  <c r="D866" i="3"/>
  <c r="E866" i="3"/>
  <c r="F866" i="3"/>
  <c r="G866" i="3"/>
  <c r="H866" i="3"/>
  <c r="I866" i="3"/>
  <c r="J866" i="3"/>
  <c r="C867" i="3"/>
  <c r="D867" i="3"/>
  <c r="E867" i="3"/>
  <c r="F867" i="3"/>
  <c r="G867" i="3"/>
  <c r="H867" i="3"/>
  <c r="I867" i="3"/>
  <c r="J867" i="3"/>
  <c r="C868" i="3"/>
  <c r="D868" i="3"/>
  <c r="E868" i="3"/>
  <c r="F868" i="3"/>
  <c r="G868" i="3"/>
  <c r="H868" i="3"/>
  <c r="I868" i="3"/>
  <c r="J868" i="3"/>
  <c r="C869" i="3"/>
  <c r="D869" i="3"/>
  <c r="E869" i="3"/>
  <c r="F869" i="3"/>
  <c r="G869" i="3"/>
  <c r="H869" i="3"/>
  <c r="I869" i="3"/>
  <c r="J869" i="3"/>
  <c r="C870" i="3"/>
  <c r="D870" i="3"/>
  <c r="E870" i="3"/>
  <c r="F870" i="3"/>
  <c r="G870" i="3"/>
  <c r="H870" i="3"/>
  <c r="I870" i="3"/>
  <c r="J870" i="3"/>
  <c r="C871" i="3"/>
  <c r="D871" i="3"/>
  <c r="E871" i="3"/>
  <c r="F871" i="3"/>
  <c r="G871" i="3"/>
  <c r="H871" i="3"/>
  <c r="I871" i="3"/>
  <c r="J871" i="3"/>
  <c r="C872" i="3"/>
  <c r="D872" i="3"/>
  <c r="E872" i="3"/>
  <c r="F872" i="3"/>
  <c r="G872" i="3"/>
  <c r="H872" i="3"/>
  <c r="I872" i="3"/>
  <c r="J872" i="3"/>
  <c r="C873" i="3"/>
  <c r="D873" i="3"/>
  <c r="E873" i="3"/>
  <c r="F873" i="3"/>
  <c r="G873" i="3"/>
  <c r="H873" i="3"/>
  <c r="I873" i="3"/>
  <c r="J873" i="3"/>
  <c r="C874" i="3"/>
  <c r="D874" i="3"/>
  <c r="E874" i="3"/>
  <c r="F874" i="3"/>
  <c r="G874" i="3"/>
  <c r="H874" i="3"/>
  <c r="I874" i="3"/>
  <c r="J874" i="3"/>
  <c r="C875" i="3"/>
  <c r="D875" i="3"/>
  <c r="E875" i="3"/>
  <c r="F875" i="3"/>
  <c r="G875" i="3"/>
  <c r="H875" i="3"/>
  <c r="I875" i="3"/>
  <c r="J875" i="3"/>
  <c r="C876" i="3"/>
  <c r="D876" i="3"/>
  <c r="E876" i="3"/>
  <c r="F876" i="3"/>
  <c r="G876" i="3"/>
  <c r="H876" i="3"/>
  <c r="I876" i="3"/>
  <c r="J876" i="3"/>
  <c r="C877" i="3"/>
  <c r="D877" i="3"/>
  <c r="E877" i="3"/>
  <c r="F877" i="3"/>
  <c r="G877" i="3"/>
  <c r="H877" i="3"/>
  <c r="I877" i="3"/>
  <c r="J877" i="3"/>
  <c r="C878" i="3"/>
  <c r="D878" i="3"/>
  <c r="E878" i="3"/>
  <c r="F878" i="3"/>
  <c r="G878" i="3"/>
  <c r="H878" i="3"/>
  <c r="I878" i="3"/>
  <c r="J878" i="3"/>
  <c r="C879" i="3"/>
  <c r="D879" i="3"/>
  <c r="E879" i="3"/>
  <c r="F879" i="3"/>
  <c r="G879" i="3"/>
  <c r="H879" i="3"/>
  <c r="I879" i="3"/>
  <c r="J879" i="3"/>
  <c r="C880" i="3"/>
  <c r="D880" i="3"/>
  <c r="E880" i="3"/>
  <c r="F880" i="3"/>
  <c r="G880" i="3"/>
  <c r="H880" i="3"/>
  <c r="I880" i="3"/>
  <c r="J880" i="3"/>
  <c r="C881" i="3"/>
  <c r="D881" i="3"/>
  <c r="E881" i="3"/>
  <c r="F881" i="3"/>
  <c r="G881" i="3"/>
  <c r="H881" i="3"/>
  <c r="I881" i="3"/>
  <c r="J881" i="3"/>
  <c r="C882" i="3"/>
  <c r="D882" i="3"/>
  <c r="E882" i="3"/>
  <c r="F882" i="3"/>
  <c r="G882" i="3"/>
  <c r="H882" i="3"/>
  <c r="I882" i="3"/>
  <c r="J882" i="3"/>
  <c r="C883" i="3"/>
  <c r="D883" i="3"/>
  <c r="E883" i="3"/>
  <c r="F883" i="3"/>
  <c r="G883" i="3"/>
  <c r="H883" i="3"/>
  <c r="I883" i="3"/>
  <c r="J883" i="3"/>
  <c r="C884" i="3"/>
  <c r="D884" i="3"/>
  <c r="E884" i="3"/>
  <c r="F884" i="3"/>
  <c r="G884" i="3"/>
  <c r="H884" i="3"/>
  <c r="I884" i="3"/>
  <c r="J884" i="3"/>
  <c r="C885" i="3"/>
  <c r="D885" i="3"/>
  <c r="E885" i="3"/>
  <c r="F885" i="3"/>
  <c r="G885" i="3"/>
  <c r="H885" i="3"/>
  <c r="I885" i="3"/>
  <c r="J885" i="3"/>
  <c r="C886" i="3"/>
  <c r="D886" i="3"/>
  <c r="E886" i="3"/>
  <c r="F886" i="3"/>
  <c r="G886" i="3"/>
  <c r="H886" i="3"/>
  <c r="I886" i="3"/>
  <c r="J886" i="3"/>
  <c r="C887" i="3"/>
  <c r="D887" i="3"/>
  <c r="E887" i="3"/>
  <c r="F887" i="3"/>
  <c r="G887" i="3"/>
  <c r="H887" i="3"/>
  <c r="I887" i="3"/>
  <c r="J887" i="3"/>
  <c r="C888" i="3"/>
  <c r="D888" i="3"/>
  <c r="E888" i="3"/>
  <c r="F888" i="3"/>
  <c r="G888" i="3"/>
  <c r="H888" i="3"/>
  <c r="I888" i="3"/>
  <c r="J888" i="3"/>
  <c r="C889" i="3"/>
  <c r="D889" i="3"/>
  <c r="E889" i="3"/>
  <c r="F889" i="3"/>
  <c r="G889" i="3"/>
  <c r="H889" i="3"/>
  <c r="I889" i="3"/>
  <c r="J889" i="3"/>
  <c r="C890" i="3"/>
  <c r="D890" i="3"/>
  <c r="E890" i="3"/>
  <c r="F890" i="3"/>
  <c r="G890" i="3"/>
  <c r="H890" i="3"/>
  <c r="I890" i="3"/>
  <c r="J890" i="3"/>
  <c r="C891" i="3"/>
  <c r="D891" i="3"/>
  <c r="E891" i="3"/>
  <c r="F891" i="3"/>
  <c r="G891" i="3"/>
  <c r="H891" i="3"/>
  <c r="I891" i="3"/>
  <c r="J891" i="3"/>
  <c r="C892" i="3"/>
  <c r="D892" i="3"/>
  <c r="E892" i="3"/>
  <c r="F892" i="3"/>
  <c r="G892" i="3"/>
  <c r="H892" i="3"/>
  <c r="I892" i="3"/>
  <c r="J892" i="3"/>
  <c r="C893" i="3"/>
  <c r="D893" i="3"/>
  <c r="E893" i="3"/>
  <c r="F893" i="3"/>
  <c r="G893" i="3"/>
  <c r="H893" i="3"/>
  <c r="I893" i="3"/>
  <c r="J893" i="3"/>
  <c r="C894" i="3"/>
  <c r="D894" i="3"/>
  <c r="E894" i="3"/>
  <c r="F894" i="3"/>
  <c r="G894" i="3"/>
  <c r="H894" i="3"/>
  <c r="I894" i="3"/>
  <c r="J894" i="3"/>
  <c r="C895" i="3"/>
  <c r="D895" i="3"/>
  <c r="E895" i="3"/>
  <c r="F895" i="3"/>
  <c r="G895" i="3"/>
  <c r="H895" i="3"/>
  <c r="I895" i="3"/>
  <c r="J895" i="3"/>
  <c r="C896" i="3"/>
  <c r="D896" i="3"/>
  <c r="E896" i="3"/>
  <c r="F896" i="3"/>
  <c r="G896" i="3"/>
  <c r="H896" i="3"/>
  <c r="I896" i="3"/>
  <c r="J896" i="3"/>
  <c r="C897" i="3"/>
  <c r="D897" i="3"/>
  <c r="E897" i="3"/>
  <c r="F897" i="3"/>
  <c r="G897" i="3"/>
  <c r="H897" i="3"/>
  <c r="I897" i="3"/>
  <c r="J897" i="3"/>
  <c r="C898" i="3"/>
  <c r="D898" i="3"/>
  <c r="E898" i="3"/>
  <c r="F898" i="3"/>
  <c r="G898" i="3"/>
  <c r="H898" i="3"/>
  <c r="I898" i="3"/>
  <c r="J898" i="3"/>
  <c r="C899" i="3"/>
  <c r="D899" i="3"/>
  <c r="E899" i="3"/>
  <c r="F899" i="3"/>
  <c r="G899" i="3"/>
  <c r="H899" i="3"/>
  <c r="I899" i="3"/>
  <c r="J899" i="3"/>
  <c r="C900" i="3"/>
  <c r="D900" i="3"/>
  <c r="E900" i="3"/>
  <c r="F900" i="3"/>
  <c r="G900" i="3"/>
  <c r="H900" i="3"/>
  <c r="I900" i="3"/>
  <c r="J900" i="3"/>
  <c r="C901" i="3"/>
  <c r="D901" i="3"/>
  <c r="E901" i="3"/>
  <c r="F901" i="3"/>
  <c r="G901" i="3"/>
  <c r="H901" i="3"/>
  <c r="I901" i="3"/>
  <c r="J901" i="3"/>
  <c r="C902" i="3"/>
  <c r="D902" i="3"/>
  <c r="E902" i="3"/>
  <c r="F902" i="3"/>
  <c r="G902" i="3"/>
  <c r="H902" i="3"/>
  <c r="I902" i="3"/>
  <c r="J902" i="3"/>
  <c r="C903" i="3"/>
  <c r="D903" i="3"/>
  <c r="E903" i="3"/>
  <c r="F903" i="3"/>
  <c r="G903" i="3"/>
  <c r="H903" i="3"/>
  <c r="I903" i="3"/>
  <c r="J903" i="3"/>
  <c r="C904" i="3"/>
  <c r="D904" i="3"/>
  <c r="E904" i="3"/>
  <c r="F904" i="3"/>
  <c r="G904" i="3"/>
  <c r="H904" i="3"/>
  <c r="I904" i="3"/>
  <c r="J904" i="3"/>
  <c r="C905" i="3"/>
  <c r="D905" i="3"/>
  <c r="E905" i="3"/>
  <c r="F905" i="3"/>
  <c r="G905" i="3"/>
  <c r="H905" i="3"/>
  <c r="I905" i="3"/>
  <c r="J905" i="3"/>
  <c r="C906" i="3"/>
  <c r="D906" i="3"/>
  <c r="E906" i="3"/>
  <c r="F906" i="3"/>
  <c r="G906" i="3"/>
  <c r="H906" i="3"/>
  <c r="I906" i="3"/>
  <c r="J906" i="3"/>
  <c r="C907" i="3"/>
  <c r="D907" i="3"/>
  <c r="E907" i="3"/>
  <c r="F907" i="3"/>
  <c r="G907" i="3"/>
  <c r="H907" i="3"/>
  <c r="I907" i="3"/>
  <c r="J907" i="3"/>
  <c r="C908" i="3"/>
  <c r="D908" i="3"/>
  <c r="E908" i="3"/>
  <c r="F908" i="3"/>
  <c r="G908" i="3"/>
  <c r="H908" i="3"/>
  <c r="I908" i="3"/>
  <c r="J908" i="3"/>
  <c r="C909" i="3"/>
  <c r="D909" i="3"/>
  <c r="E909" i="3"/>
  <c r="F909" i="3"/>
  <c r="G909" i="3"/>
  <c r="H909" i="3"/>
  <c r="I909" i="3"/>
  <c r="J909" i="3"/>
  <c r="C910" i="3"/>
  <c r="D910" i="3"/>
  <c r="E910" i="3"/>
  <c r="F910" i="3"/>
  <c r="G910" i="3"/>
  <c r="H910" i="3"/>
  <c r="I910" i="3"/>
  <c r="J910" i="3"/>
  <c r="C911" i="3"/>
  <c r="D911" i="3"/>
  <c r="E911" i="3"/>
  <c r="F911" i="3"/>
  <c r="G911" i="3"/>
  <c r="H911" i="3"/>
  <c r="I911" i="3"/>
  <c r="J911" i="3"/>
  <c r="C912" i="3"/>
  <c r="D912" i="3"/>
  <c r="E912" i="3"/>
  <c r="F912" i="3"/>
  <c r="G912" i="3"/>
  <c r="H912" i="3"/>
  <c r="I912" i="3"/>
  <c r="J912" i="3"/>
  <c r="C913" i="3"/>
  <c r="D913" i="3"/>
  <c r="E913" i="3"/>
  <c r="F913" i="3"/>
  <c r="G913" i="3"/>
  <c r="H913" i="3"/>
  <c r="I913" i="3"/>
  <c r="J913" i="3"/>
  <c r="C914" i="3"/>
  <c r="D914" i="3"/>
  <c r="E914" i="3"/>
  <c r="F914" i="3"/>
  <c r="G914" i="3"/>
  <c r="H914" i="3"/>
  <c r="I914" i="3"/>
  <c r="J914" i="3"/>
  <c r="C915" i="3"/>
  <c r="D915" i="3"/>
  <c r="E915" i="3"/>
  <c r="F915" i="3"/>
  <c r="G915" i="3"/>
  <c r="H915" i="3"/>
  <c r="I915" i="3"/>
  <c r="J915" i="3"/>
  <c r="C916" i="3"/>
  <c r="D916" i="3"/>
  <c r="E916" i="3"/>
  <c r="F916" i="3"/>
  <c r="G916" i="3"/>
  <c r="H916" i="3"/>
  <c r="I916" i="3"/>
  <c r="J916" i="3"/>
  <c r="C917" i="3"/>
  <c r="D917" i="3"/>
  <c r="E917" i="3"/>
  <c r="F917" i="3"/>
  <c r="G917" i="3"/>
  <c r="H917" i="3"/>
  <c r="I917" i="3"/>
  <c r="J917" i="3"/>
  <c r="C918" i="3"/>
  <c r="D918" i="3"/>
  <c r="E918" i="3"/>
  <c r="F918" i="3"/>
  <c r="G918" i="3"/>
  <c r="H918" i="3"/>
  <c r="I918" i="3"/>
  <c r="J918" i="3"/>
  <c r="C919" i="3"/>
  <c r="D919" i="3"/>
  <c r="E919" i="3"/>
  <c r="F919" i="3"/>
  <c r="G919" i="3"/>
  <c r="H919" i="3"/>
  <c r="I919" i="3"/>
  <c r="J919" i="3"/>
  <c r="C920" i="3"/>
  <c r="D920" i="3"/>
  <c r="E920" i="3"/>
  <c r="F920" i="3"/>
  <c r="G920" i="3"/>
  <c r="H920" i="3"/>
  <c r="I920" i="3"/>
  <c r="J920" i="3"/>
  <c r="C921" i="3"/>
  <c r="D921" i="3"/>
  <c r="E921" i="3"/>
  <c r="F921" i="3"/>
  <c r="G921" i="3"/>
  <c r="H921" i="3"/>
  <c r="I921" i="3"/>
  <c r="J921" i="3"/>
  <c r="C922" i="3"/>
  <c r="D922" i="3"/>
  <c r="E922" i="3"/>
  <c r="F922" i="3"/>
  <c r="G922" i="3"/>
  <c r="H922" i="3"/>
  <c r="I922" i="3"/>
  <c r="J922" i="3"/>
  <c r="C923" i="3"/>
  <c r="D923" i="3"/>
  <c r="E923" i="3"/>
  <c r="F923" i="3"/>
  <c r="G923" i="3"/>
  <c r="H923" i="3"/>
  <c r="I923" i="3"/>
  <c r="J923" i="3"/>
  <c r="C924" i="3"/>
  <c r="D924" i="3"/>
  <c r="E924" i="3"/>
  <c r="F924" i="3"/>
  <c r="G924" i="3"/>
  <c r="H924" i="3"/>
  <c r="I924" i="3"/>
  <c r="J924" i="3"/>
  <c r="C925" i="3"/>
  <c r="D925" i="3"/>
  <c r="E925" i="3"/>
  <c r="F925" i="3"/>
  <c r="G925" i="3"/>
  <c r="H925" i="3"/>
  <c r="I925" i="3"/>
  <c r="J925" i="3"/>
  <c r="C926" i="3"/>
  <c r="D926" i="3"/>
  <c r="E926" i="3"/>
  <c r="F926" i="3"/>
  <c r="G926" i="3"/>
  <c r="H926" i="3"/>
  <c r="I926" i="3"/>
  <c r="J926" i="3"/>
  <c r="C927" i="3"/>
  <c r="D927" i="3"/>
  <c r="E927" i="3"/>
  <c r="F927" i="3"/>
  <c r="G927" i="3"/>
  <c r="H927" i="3"/>
  <c r="I927" i="3"/>
  <c r="J927" i="3"/>
  <c r="C928" i="3"/>
  <c r="D928" i="3"/>
  <c r="E928" i="3"/>
  <c r="F928" i="3"/>
  <c r="G928" i="3"/>
  <c r="H928" i="3"/>
  <c r="I928" i="3"/>
  <c r="J928" i="3"/>
  <c r="C929" i="3"/>
  <c r="D929" i="3"/>
  <c r="E929" i="3"/>
  <c r="F929" i="3"/>
  <c r="G929" i="3"/>
  <c r="H929" i="3"/>
  <c r="I929" i="3"/>
  <c r="J929" i="3"/>
  <c r="C930" i="3"/>
  <c r="D930" i="3"/>
  <c r="E930" i="3"/>
  <c r="F930" i="3"/>
  <c r="G930" i="3"/>
  <c r="H930" i="3"/>
  <c r="I930" i="3"/>
  <c r="J930" i="3"/>
  <c r="C931" i="3"/>
  <c r="D931" i="3"/>
  <c r="E931" i="3"/>
  <c r="F931" i="3"/>
  <c r="G931" i="3"/>
  <c r="H931" i="3"/>
  <c r="I931" i="3"/>
  <c r="J931" i="3"/>
  <c r="C932" i="3"/>
  <c r="D932" i="3"/>
  <c r="E932" i="3"/>
  <c r="F932" i="3"/>
  <c r="G932" i="3"/>
  <c r="H932" i="3"/>
  <c r="I932" i="3"/>
  <c r="J932" i="3"/>
  <c r="C933" i="3"/>
  <c r="D933" i="3"/>
  <c r="E933" i="3"/>
  <c r="F933" i="3"/>
  <c r="G933" i="3"/>
  <c r="H933" i="3"/>
  <c r="I933" i="3"/>
  <c r="J933" i="3"/>
  <c r="C934" i="3"/>
  <c r="D934" i="3"/>
  <c r="E934" i="3"/>
  <c r="F934" i="3"/>
  <c r="G934" i="3"/>
  <c r="H934" i="3"/>
  <c r="I934" i="3"/>
  <c r="J934" i="3"/>
  <c r="C935" i="3"/>
  <c r="D935" i="3"/>
  <c r="E935" i="3"/>
  <c r="F935" i="3"/>
  <c r="G935" i="3"/>
  <c r="H935" i="3"/>
  <c r="I935" i="3"/>
  <c r="J935" i="3"/>
  <c r="C936" i="3"/>
  <c r="D936" i="3"/>
  <c r="E936" i="3"/>
  <c r="F936" i="3"/>
  <c r="G936" i="3"/>
  <c r="H936" i="3"/>
  <c r="I936" i="3"/>
  <c r="J936" i="3"/>
  <c r="C937" i="3"/>
  <c r="D937" i="3"/>
  <c r="E937" i="3"/>
  <c r="F937" i="3"/>
  <c r="G937" i="3"/>
  <c r="H937" i="3"/>
  <c r="I937" i="3"/>
  <c r="J937" i="3"/>
  <c r="C938" i="3"/>
  <c r="D938" i="3"/>
  <c r="E938" i="3"/>
  <c r="F938" i="3"/>
  <c r="G938" i="3"/>
  <c r="H938" i="3"/>
  <c r="I938" i="3"/>
  <c r="J938" i="3"/>
  <c r="C939" i="3"/>
  <c r="D939" i="3"/>
  <c r="E939" i="3"/>
  <c r="F939" i="3"/>
  <c r="G939" i="3"/>
  <c r="H939" i="3"/>
  <c r="I939" i="3"/>
  <c r="J939" i="3"/>
  <c r="C940" i="3"/>
  <c r="D940" i="3"/>
  <c r="E940" i="3"/>
  <c r="F940" i="3"/>
  <c r="G940" i="3"/>
  <c r="H940" i="3"/>
  <c r="I940" i="3"/>
  <c r="J940" i="3"/>
  <c r="C941" i="3"/>
  <c r="D941" i="3"/>
  <c r="E941" i="3"/>
  <c r="F941" i="3"/>
  <c r="G941" i="3"/>
  <c r="H941" i="3"/>
  <c r="I941" i="3"/>
  <c r="J941" i="3"/>
  <c r="C942" i="3"/>
  <c r="D942" i="3"/>
  <c r="E942" i="3"/>
  <c r="F942" i="3"/>
  <c r="G942" i="3"/>
  <c r="H942" i="3"/>
  <c r="I942" i="3"/>
  <c r="J942" i="3"/>
  <c r="C943" i="3"/>
  <c r="D943" i="3"/>
  <c r="E943" i="3"/>
  <c r="F943" i="3"/>
  <c r="G943" i="3"/>
  <c r="H943" i="3"/>
  <c r="I943" i="3"/>
  <c r="J943" i="3"/>
  <c r="C944" i="3"/>
  <c r="D944" i="3"/>
  <c r="E944" i="3"/>
  <c r="F944" i="3"/>
  <c r="G944" i="3"/>
  <c r="H944" i="3"/>
  <c r="I944" i="3"/>
  <c r="J944" i="3"/>
  <c r="C945" i="3"/>
  <c r="D945" i="3"/>
  <c r="E945" i="3"/>
  <c r="F945" i="3"/>
  <c r="G945" i="3"/>
  <c r="H945" i="3"/>
  <c r="I945" i="3"/>
  <c r="J945" i="3"/>
  <c r="C946" i="3"/>
  <c r="D946" i="3"/>
  <c r="E946" i="3"/>
  <c r="F946" i="3"/>
  <c r="G946" i="3"/>
  <c r="H946" i="3"/>
  <c r="I946" i="3"/>
  <c r="J946" i="3"/>
  <c r="C947" i="3"/>
  <c r="D947" i="3"/>
  <c r="E947" i="3"/>
  <c r="F947" i="3"/>
  <c r="G947" i="3"/>
  <c r="H947" i="3"/>
  <c r="I947" i="3"/>
  <c r="J947" i="3"/>
  <c r="C948" i="3"/>
  <c r="D948" i="3"/>
  <c r="E948" i="3"/>
  <c r="F948" i="3"/>
  <c r="G948" i="3"/>
  <c r="H948" i="3"/>
  <c r="I948" i="3"/>
  <c r="J948" i="3"/>
  <c r="C949" i="3"/>
  <c r="D949" i="3"/>
  <c r="E949" i="3"/>
  <c r="F949" i="3"/>
  <c r="G949" i="3"/>
  <c r="H949" i="3"/>
  <c r="I949" i="3"/>
  <c r="J949" i="3"/>
  <c r="C950" i="3"/>
  <c r="D950" i="3"/>
  <c r="E950" i="3"/>
  <c r="F950" i="3"/>
  <c r="G950" i="3"/>
  <c r="H950" i="3"/>
  <c r="I950" i="3"/>
  <c r="J950" i="3"/>
  <c r="C951" i="3"/>
  <c r="D951" i="3"/>
  <c r="E951" i="3"/>
  <c r="F951" i="3"/>
  <c r="G951" i="3"/>
  <c r="H951" i="3"/>
  <c r="I951" i="3"/>
  <c r="J951" i="3"/>
  <c r="C952" i="3"/>
  <c r="D952" i="3"/>
  <c r="E952" i="3"/>
  <c r="F952" i="3"/>
  <c r="G952" i="3"/>
  <c r="H952" i="3"/>
  <c r="I952" i="3"/>
  <c r="J952" i="3"/>
  <c r="C953" i="3"/>
  <c r="D953" i="3"/>
  <c r="E953" i="3"/>
  <c r="F953" i="3"/>
  <c r="G953" i="3"/>
  <c r="H953" i="3"/>
  <c r="I953" i="3"/>
  <c r="J953" i="3"/>
  <c r="C954" i="3"/>
  <c r="D954" i="3"/>
  <c r="E954" i="3"/>
  <c r="F954" i="3"/>
  <c r="G954" i="3"/>
  <c r="H954" i="3"/>
  <c r="I954" i="3"/>
  <c r="J954" i="3"/>
  <c r="C955" i="3"/>
  <c r="D955" i="3"/>
  <c r="E955" i="3"/>
  <c r="F955" i="3"/>
  <c r="G955" i="3"/>
  <c r="H955" i="3"/>
  <c r="I955" i="3"/>
  <c r="J955" i="3"/>
  <c r="C956" i="3"/>
  <c r="D956" i="3"/>
  <c r="E956" i="3"/>
  <c r="F956" i="3"/>
  <c r="G956" i="3"/>
  <c r="H956" i="3"/>
  <c r="I956" i="3"/>
  <c r="J956" i="3"/>
  <c r="C957" i="3"/>
  <c r="D957" i="3"/>
  <c r="E957" i="3"/>
  <c r="F957" i="3"/>
  <c r="G957" i="3"/>
  <c r="H957" i="3"/>
  <c r="I957" i="3"/>
  <c r="J957" i="3"/>
  <c r="C958" i="3"/>
  <c r="D958" i="3"/>
  <c r="E958" i="3"/>
  <c r="F958" i="3"/>
  <c r="G958" i="3"/>
  <c r="H958" i="3"/>
  <c r="I958" i="3"/>
  <c r="J958" i="3"/>
  <c r="C959" i="3"/>
  <c r="D959" i="3"/>
  <c r="E959" i="3"/>
  <c r="F959" i="3"/>
  <c r="G959" i="3"/>
  <c r="H959" i="3"/>
  <c r="I959" i="3"/>
  <c r="J959" i="3"/>
  <c r="C960" i="3"/>
  <c r="D960" i="3"/>
  <c r="E960" i="3"/>
  <c r="F960" i="3"/>
  <c r="G960" i="3"/>
  <c r="H960" i="3"/>
  <c r="I960" i="3"/>
  <c r="J960" i="3"/>
  <c r="C961" i="3"/>
  <c r="D961" i="3"/>
  <c r="E961" i="3"/>
  <c r="F961" i="3"/>
  <c r="G961" i="3"/>
  <c r="H961" i="3"/>
  <c r="I961" i="3"/>
  <c r="J961" i="3"/>
  <c r="C962" i="3"/>
  <c r="D962" i="3"/>
  <c r="E962" i="3"/>
  <c r="F962" i="3"/>
  <c r="G962" i="3"/>
  <c r="H962" i="3"/>
  <c r="I962" i="3"/>
  <c r="J962" i="3"/>
  <c r="C963" i="3"/>
  <c r="D963" i="3"/>
  <c r="E963" i="3"/>
  <c r="F963" i="3"/>
  <c r="G963" i="3"/>
  <c r="H963" i="3"/>
  <c r="I963" i="3"/>
  <c r="J963" i="3"/>
  <c r="C964" i="3"/>
  <c r="D964" i="3"/>
  <c r="E964" i="3"/>
  <c r="F964" i="3"/>
  <c r="G964" i="3"/>
  <c r="H964" i="3"/>
  <c r="I964" i="3"/>
  <c r="J964" i="3"/>
  <c r="C965" i="3"/>
  <c r="D965" i="3"/>
  <c r="E965" i="3"/>
  <c r="F965" i="3"/>
  <c r="G965" i="3"/>
  <c r="H965" i="3"/>
  <c r="I965" i="3"/>
  <c r="J965" i="3"/>
  <c r="C966" i="3"/>
  <c r="D966" i="3"/>
  <c r="E966" i="3"/>
  <c r="F966" i="3"/>
  <c r="G966" i="3"/>
  <c r="H966" i="3"/>
  <c r="I966" i="3"/>
  <c r="J966" i="3"/>
  <c r="C967" i="3"/>
  <c r="D967" i="3"/>
  <c r="E967" i="3"/>
  <c r="F967" i="3"/>
  <c r="G967" i="3"/>
  <c r="H967" i="3"/>
  <c r="I967" i="3"/>
  <c r="J967" i="3"/>
  <c r="C968" i="3"/>
  <c r="D968" i="3"/>
  <c r="E968" i="3"/>
  <c r="F968" i="3"/>
  <c r="G968" i="3"/>
  <c r="H968" i="3"/>
  <c r="I968" i="3"/>
  <c r="J968" i="3"/>
  <c r="C969" i="3"/>
  <c r="D969" i="3"/>
  <c r="E969" i="3"/>
  <c r="F969" i="3"/>
  <c r="G969" i="3"/>
  <c r="H969" i="3"/>
  <c r="I969" i="3"/>
  <c r="J969" i="3"/>
  <c r="C970" i="3"/>
  <c r="D970" i="3"/>
  <c r="E970" i="3"/>
  <c r="F970" i="3"/>
  <c r="G970" i="3"/>
  <c r="H970" i="3"/>
  <c r="I970" i="3"/>
  <c r="J970" i="3"/>
  <c r="C971" i="3"/>
  <c r="D971" i="3"/>
  <c r="E971" i="3"/>
  <c r="F971" i="3"/>
  <c r="G971" i="3"/>
  <c r="H971" i="3"/>
  <c r="I971" i="3"/>
  <c r="J971" i="3"/>
  <c r="C972" i="3"/>
  <c r="D972" i="3"/>
  <c r="E972" i="3"/>
  <c r="F972" i="3"/>
  <c r="G972" i="3"/>
  <c r="H972" i="3"/>
  <c r="I972" i="3"/>
  <c r="J972" i="3"/>
  <c r="C973" i="3"/>
  <c r="D973" i="3"/>
  <c r="E973" i="3"/>
  <c r="F973" i="3"/>
  <c r="G973" i="3"/>
  <c r="H973" i="3"/>
  <c r="I973" i="3"/>
  <c r="J973" i="3"/>
  <c r="C974" i="3"/>
  <c r="D974" i="3"/>
  <c r="E974" i="3"/>
  <c r="F974" i="3"/>
  <c r="G974" i="3"/>
  <c r="H974" i="3"/>
  <c r="I974" i="3"/>
  <c r="J974" i="3"/>
  <c r="C975" i="3"/>
  <c r="D975" i="3"/>
  <c r="E975" i="3"/>
  <c r="F975" i="3"/>
  <c r="G975" i="3"/>
  <c r="H975" i="3"/>
  <c r="I975" i="3"/>
  <c r="J975" i="3"/>
  <c r="C976" i="3"/>
  <c r="D976" i="3"/>
  <c r="E976" i="3"/>
  <c r="F976" i="3"/>
  <c r="G976" i="3"/>
  <c r="H976" i="3"/>
  <c r="I976" i="3"/>
  <c r="J976" i="3"/>
  <c r="C977" i="3"/>
  <c r="D977" i="3"/>
  <c r="E977" i="3"/>
  <c r="F977" i="3"/>
  <c r="G977" i="3"/>
  <c r="H977" i="3"/>
  <c r="I977" i="3"/>
  <c r="J977" i="3"/>
  <c r="C978" i="3"/>
  <c r="D978" i="3"/>
  <c r="E978" i="3"/>
  <c r="F978" i="3"/>
  <c r="G978" i="3"/>
  <c r="H978" i="3"/>
  <c r="I978" i="3"/>
  <c r="J978" i="3"/>
  <c r="C979" i="3"/>
  <c r="D979" i="3"/>
  <c r="E979" i="3"/>
  <c r="F979" i="3"/>
  <c r="G979" i="3"/>
  <c r="H979" i="3"/>
  <c r="I979" i="3"/>
  <c r="J979" i="3"/>
  <c r="C980" i="3"/>
  <c r="D980" i="3"/>
  <c r="E980" i="3"/>
  <c r="F980" i="3"/>
  <c r="G980" i="3"/>
  <c r="H980" i="3"/>
  <c r="I980" i="3"/>
  <c r="J980" i="3"/>
  <c r="C981" i="3"/>
  <c r="D981" i="3"/>
  <c r="E981" i="3"/>
  <c r="F981" i="3"/>
  <c r="G981" i="3"/>
  <c r="H981" i="3"/>
  <c r="I981" i="3"/>
  <c r="J981" i="3"/>
  <c r="C982" i="3"/>
  <c r="D982" i="3"/>
  <c r="E982" i="3"/>
  <c r="F982" i="3"/>
  <c r="G982" i="3"/>
  <c r="H982" i="3"/>
  <c r="I982" i="3"/>
  <c r="J982" i="3"/>
  <c r="C983" i="3"/>
  <c r="D983" i="3"/>
  <c r="E983" i="3"/>
  <c r="F983" i="3"/>
  <c r="G983" i="3"/>
  <c r="H983" i="3"/>
  <c r="I983" i="3"/>
  <c r="J983" i="3"/>
  <c r="C984" i="3"/>
  <c r="D984" i="3"/>
  <c r="E984" i="3"/>
  <c r="F984" i="3"/>
  <c r="G984" i="3"/>
  <c r="H984" i="3"/>
  <c r="I984" i="3"/>
  <c r="J984" i="3"/>
  <c r="C985" i="3"/>
  <c r="D985" i="3"/>
  <c r="E985" i="3"/>
  <c r="F985" i="3"/>
  <c r="G985" i="3"/>
  <c r="H985" i="3"/>
  <c r="I985" i="3"/>
  <c r="J985" i="3"/>
  <c r="C986" i="3"/>
  <c r="D986" i="3"/>
  <c r="E986" i="3"/>
  <c r="F986" i="3"/>
  <c r="G986" i="3"/>
  <c r="H986" i="3"/>
  <c r="I986" i="3"/>
  <c r="J986" i="3"/>
  <c r="C987" i="3"/>
  <c r="D987" i="3"/>
  <c r="E987" i="3"/>
  <c r="F987" i="3"/>
  <c r="G987" i="3"/>
  <c r="H987" i="3"/>
  <c r="I987" i="3"/>
  <c r="J987" i="3"/>
  <c r="C988" i="3"/>
  <c r="D988" i="3"/>
  <c r="E988" i="3"/>
  <c r="F988" i="3"/>
  <c r="G988" i="3"/>
  <c r="H988" i="3"/>
  <c r="I988" i="3"/>
  <c r="J988" i="3"/>
  <c r="C989" i="3"/>
  <c r="D989" i="3"/>
  <c r="E989" i="3"/>
  <c r="F989" i="3"/>
  <c r="G989" i="3"/>
  <c r="H989" i="3"/>
  <c r="I989" i="3"/>
  <c r="J989" i="3"/>
  <c r="C990" i="3"/>
  <c r="D990" i="3"/>
  <c r="E990" i="3"/>
  <c r="F990" i="3"/>
  <c r="G990" i="3"/>
  <c r="H990" i="3"/>
  <c r="I990" i="3"/>
  <c r="J990" i="3"/>
  <c r="C991" i="3"/>
  <c r="D991" i="3"/>
  <c r="E991" i="3"/>
  <c r="F991" i="3"/>
  <c r="G991" i="3"/>
  <c r="H991" i="3"/>
  <c r="I991" i="3"/>
  <c r="J991" i="3"/>
  <c r="C992" i="3"/>
  <c r="D992" i="3"/>
  <c r="E992" i="3"/>
  <c r="F992" i="3"/>
  <c r="G992" i="3"/>
  <c r="H992" i="3"/>
  <c r="I992" i="3"/>
  <c r="J992" i="3"/>
  <c r="C993" i="3"/>
  <c r="D993" i="3"/>
  <c r="E993" i="3"/>
  <c r="F993" i="3"/>
  <c r="G993" i="3"/>
  <c r="H993" i="3"/>
  <c r="I993" i="3"/>
  <c r="J993" i="3"/>
  <c r="C994" i="3"/>
  <c r="D994" i="3"/>
  <c r="E994" i="3"/>
  <c r="F994" i="3"/>
  <c r="G994" i="3"/>
  <c r="H994" i="3"/>
  <c r="I994" i="3"/>
  <c r="J994" i="3"/>
  <c r="C995" i="3"/>
  <c r="D995" i="3"/>
  <c r="E995" i="3"/>
  <c r="F995" i="3"/>
  <c r="G995" i="3"/>
  <c r="H995" i="3"/>
  <c r="I995" i="3"/>
  <c r="J995" i="3"/>
  <c r="C996" i="3"/>
  <c r="D996" i="3"/>
  <c r="E996" i="3"/>
  <c r="F996" i="3"/>
  <c r="G996" i="3"/>
  <c r="H996" i="3"/>
  <c r="I996" i="3"/>
  <c r="J996" i="3"/>
  <c r="C997" i="3"/>
  <c r="D997" i="3"/>
  <c r="E997" i="3"/>
  <c r="F997" i="3"/>
  <c r="G997" i="3"/>
  <c r="H997" i="3"/>
  <c r="I997" i="3"/>
  <c r="J997" i="3"/>
  <c r="C998" i="3"/>
  <c r="D998" i="3"/>
  <c r="E998" i="3"/>
  <c r="F998" i="3"/>
  <c r="G998" i="3"/>
  <c r="H998" i="3"/>
  <c r="I998" i="3"/>
  <c r="J998" i="3"/>
  <c r="C999" i="3"/>
  <c r="D999" i="3"/>
  <c r="E999" i="3"/>
  <c r="F999" i="3"/>
  <c r="G999" i="3"/>
  <c r="H999" i="3"/>
  <c r="I999" i="3"/>
  <c r="J999" i="3"/>
  <c r="C1000" i="3"/>
  <c r="D1000" i="3"/>
  <c r="E1000" i="3"/>
  <c r="F1000" i="3"/>
  <c r="G1000" i="3"/>
  <c r="H1000" i="3"/>
  <c r="I1000" i="3"/>
  <c r="J1000" i="3"/>
  <c r="C1001" i="3"/>
  <c r="D1001" i="3"/>
  <c r="E1001" i="3"/>
  <c r="F1001" i="3"/>
  <c r="G1001" i="3"/>
  <c r="H1001" i="3"/>
  <c r="I1001" i="3"/>
  <c r="J1001" i="3"/>
  <c r="C1002" i="3"/>
  <c r="D1002" i="3"/>
  <c r="E1002" i="3"/>
  <c r="F1002" i="3"/>
  <c r="G1002" i="3"/>
  <c r="H1002" i="3"/>
  <c r="I1002" i="3"/>
  <c r="J1002" i="3"/>
  <c r="C1003" i="3"/>
  <c r="D1003" i="3"/>
  <c r="E1003" i="3"/>
  <c r="F1003" i="3"/>
  <c r="G1003" i="3"/>
  <c r="H1003" i="3"/>
  <c r="I1003" i="3"/>
  <c r="J1003" i="3"/>
  <c r="C1004" i="3"/>
  <c r="D1004" i="3"/>
  <c r="E1004" i="3"/>
  <c r="F1004" i="3"/>
  <c r="G1004" i="3"/>
  <c r="H1004" i="3"/>
  <c r="I1004" i="3"/>
  <c r="J1004" i="3"/>
  <c r="C1005" i="3"/>
  <c r="D1005" i="3"/>
  <c r="E1005" i="3"/>
  <c r="F1005" i="3"/>
  <c r="G1005" i="3"/>
  <c r="H1005" i="3"/>
  <c r="I1005" i="3"/>
  <c r="J1005" i="3"/>
  <c r="C1006" i="3"/>
  <c r="D1006" i="3"/>
  <c r="E1006" i="3"/>
  <c r="F1006" i="3"/>
  <c r="G1006" i="3"/>
  <c r="H1006" i="3"/>
  <c r="I1006" i="3"/>
  <c r="J1006" i="3"/>
  <c r="C1007" i="3"/>
  <c r="D1007" i="3"/>
  <c r="E1007" i="3"/>
  <c r="F1007" i="3"/>
  <c r="G1007" i="3"/>
  <c r="H1007" i="3"/>
  <c r="I1007" i="3"/>
  <c r="J1007" i="3"/>
  <c r="J2" i="3"/>
  <c r="I2" i="3"/>
  <c r="H2" i="3"/>
  <c r="G2" i="3"/>
  <c r="F2" i="3"/>
  <c r="E2" i="3"/>
  <c r="D2" i="3"/>
  <c r="C2" i="3"/>
  <c r="A3" i="3"/>
  <c r="B3" i="3"/>
  <c r="A4" i="3"/>
  <c r="B4" i="3"/>
  <c r="A5" i="3"/>
  <c r="B5" i="3"/>
  <c r="A6" i="3"/>
  <c r="B6" i="3"/>
  <c r="A7" i="3"/>
  <c r="B7" i="3"/>
  <c r="A8" i="3"/>
  <c r="B8" i="3"/>
  <c r="A9" i="3"/>
  <c r="B9" i="3"/>
  <c r="A10" i="3"/>
  <c r="B10" i="3"/>
  <c r="A11" i="3"/>
  <c r="B11" i="3"/>
  <c r="A12" i="3"/>
  <c r="B12" i="3"/>
  <c r="A13" i="3"/>
  <c r="B13" i="3"/>
  <c r="A14" i="3"/>
  <c r="B14" i="3"/>
  <c r="A15" i="3"/>
  <c r="B15" i="3"/>
  <c r="A16" i="3"/>
  <c r="B16" i="3"/>
  <c r="A17" i="3"/>
  <c r="B17" i="3"/>
  <c r="A18" i="3"/>
  <c r="B18" i="3"/>
  <c r="A19" i="3"/>
  <c r="B19" i="3"/>
  <c r="A20" i="3"/>
  <c r="B20" i="3"/>
  <c r="A21" i="3"/>
  <c r="B21" i="3"/>
  <c r="A22" i="3"/>
  <c r="B22" i="3"/>
  <c r="A23" i="3"/>
  <c r="B23" i="3"/>
  <c r="A24" i="3"/>
  <c r="B24" i="3"/>
  <c r="A25" i="3"/>
  <c r="B25" i="3"/>
  <c r="A26" i="3"/>
  <c r="B26" i="3"/>
  <c r="A27" i="3"/>
  <c r="B27" i="3"/>
  <c r="A28" i="3"/>
  <c r="B28" i="3"/>
  <c r="A29" i="3"/>
  <c r="B29" i="3"/>
  <c r="A30" i="3"/>
  <c r="B30" i="3"/>
  <c r="A31" i="3"/>
  <c r="B31" i="3"/>
  <c r="A32" i="3"/>
  <c r="B32" i="3"/>
  <c r="A33" i="3"/>
  <c r="B33" i="3"/>
  <c r="A34" i="3"/>
  <c r="B34" i="3"/>
  <c r="A35" i="3"/>
  <c r="B35" i="3"/>
  <c r="A36" i="3"/>
  <c r="B36" i="3"/>
  <c r="A37" i="3"/>
  <c r="B37" i="3"/>
  <c r="A38" i="3"/>
  <c r="B38" i="3"/>
  <c r="A39" i="3"/>
  <c r="B39" i="3"/>
  <c r="A40" i="3"/>
  <c r="B40" i="3"/>
  <c r="A41" i="3"/>
  <c r="B41" i="3"/>
  <c r="A42" i="3"/>
  <c r="B42" i="3"/>
  <c r="A43" i="3"/>
  <c r="B43" i="3"/>
  <c r="A44" i="3"/>
  <c r="B44" i="3"/>
  <c r="A45" i="3"/>
  <c r="B45" i="3"/>
  <c r="A46" i="3"/>
  <c r="B46" i="3"/>
  <c r="A47" i="3"/>
  <c r="B47" i="3"/>
  <c r="A48" i="3"/>
  <c r="B48" i="3"/>
  <c r="A49" i="3"/>
  <c r="B49" i="3"/>
  <c r="A50" i="3"/>
  <c r="B50" i="3"/>
  <c r="A51" i="3"/>
  <c r="B51" i="3"/>
  <c r="A52" i="3"/>
  <c r="B52" i="3"/>
  <c r="A53" i="3"/>
  <c r="B53" i="3"/>
  <c r="A54" i="3"/>
  <c r="B54" i="3"/>
  <c r="A55" i="3"/>
  <c r="B55" i="3"/>
  <c r="A56" i="3"/>
  <c r="B56" i="3"/>
  <c r="A57" i="3"/>
  <c r="B57" i="3"/>
  <c r="A58" i="3"/>
  <c r="B58" i="3"/>
  <c r="A59" i="3"/>
  <c r="B59" i="3"/>
  <c r="A60" i="3"/>
  <c r="B60" i="3"/>
  <c r="A61" i="3"/>
  <c r="B61" i="3"/>
  <c r="A62" i="3"/>
  <c r="B62" i="3"/>
  <c r="A63" i="3"/>
  <c r="B63" i="3"/>
  <c r="A64" i="3"/>
  <c r="B64" i="3"/>
  <c r="A65" i="3"/>
  <c r="B65" i="3"/>
  <c r="A66" i="3"/>
  <c r="B66" i="3"/>
  <c r="A67" i="3"/>
  <c r="B67" i="3"/>
  <c r="A68" i="3"/>
  <c r="B68" i="3"/>
  <c r="A69" i="3"/>
  <c r="B69" i="3"/>
  <c r="A70" i="3"/>
  <c r="B70" i="3"/>
  <c r="A71" i="3"/>
  <c r="B71" i="3"/>
  <c r="A72" i="3"/>
  <c r="B72" i="3"/>
  <c r="A73" i="3"/>
  <c r="B73" i="3"/>
  <c r="A74" i="3"/>
  <c r="B74" i="3"/>
  <c r="A75" i="3"/>
  <c r="B75" i="3"/>
  <c r="A76" i="3"/>
  <c r="B76" i="3"/>
  <c r="A77" i="3"/>
  <c r="B77" i="3"/>
  <c r="A78" i="3"/>
  <c r="B78" i="3"/>
  <c r="A79" i="3"/>
  <c r="B79" i="3"/>
  <c r="A80" i="3"/>
  <c r="B80" i="3"/>
  <c r="A81" i="3"/>
  <c r="B81" i="3"/>
  <c r="A82" i="3"/>
  <c r="B82" i="3"/>
  <c r="A83" i="3"/>
  <c r="B83" i="3"/>
  <c r="A84" i="3"/>
  <c r="B84" i="3"/>
  <c r="A85" i="3"/>
  <c r="B85" i="3"/>
  <c r="A86" i="3"/>
  <c r="B86" i="3"/>
  <c r="A87" i="3"/>
  <c r="B87" i="3"/>
  <c r="A88" i="3"/>
  <c r="B88" i="3"/>
  <c r="A89" i="3"/>
  <c r="B89" i="3"/>
  <c r="A90" i="3"/>
  <c r="B90" i="3"/>
  <c r="A91" i="3"/>
  <c r="B91" i="3"/>
  <c r="A92" i="3"/>
  <c r="B92" i="3"/>
  <c r="A93" i="3"/>
  <c r="B93" i="3"/>
  <c r="A94" i="3"/>
  <c r="B94" i="3"/>
  <c r="A95" i="3"/>
  <c r="B95" i="3"/>
  <c r="A96" i="3"/>
  <c r="B96" i="3"/>
  <c r="A97" i="3"/>
  <c r="B97" i="3"/>
  <c r="A98" i="3"/>
  <c r="B98" i="3"/>
  <c r="A99" i="3"/>
  <c r="B99" i="3"/>
  <c r="A100" i="3"/>
  <c r="B100" i="3"/>
  <c r="A101" i="3"/>
  <c r="B101" i="3"/>
  <c r="A102" i="3"/>
  <c r="B102" i="3"/>
  <c r="A103" i="3"/>
  <c r="B103" i="3"/>
  <c r="A104" i="3"/>
  <c r="B104" i="3"/>
  <c r="A105" i="3"/>
  <c r="B105" i="3"/>
  <c r="A106" i="3"/>
  <c r="B106" i="3"/>
  <c r="A107" i="3"/>
  <c r="B107" i="3"/>
  <c r="A108" i="3"/>
  <c r="B108" i="3"/>
  <c r="A109" i="3"/>
  <c r="B109" i="3"/>
  <c r="A110" i="3"/>
  <c r="B110" i="3"/>
  <c r="A111" i="3"/>
  <c r="B111" i="3"/>
  <c r="A112" i="3"/>
  <c r="B112" i="3"/>
  <c r="A113" i="3"/>
  <c r="B113" i="3"/>
  <c r="A114" i="3"/>
  <c r="B114" i="3"/>
  <c r="A115" i="3"/>
  <c r="B115" i="3"/>
  <c r="A116" i="3"/>
  <c r="B116" i="3"/>
  <c r="A117" i="3"/>
  <c r="B117" i="3"/>
  <c r="A118" i="3"/>
  <c r="B118" i="3"/>
  <c r="A119" i="3"/>
  <c r="B119" i="3"/>
  <c r="A120" i="3"/>
  <c r="B120" i="3"/>
  <c r="A121" i="3"/>
  <c r="B121" i="3"/>
  <c r="A122" i="3"/>
  <c r="B122" i="3"/>
  <c r="A123" i="3"/>
  <c r="B123" i="3"/>
  <c r="A124" i="3"/>
  <c r="B124" i="3"/>
  <c r="A125" i="3"/>
  <c r="B125" i="3"/>
  <c r="A126" i="3"/>
  <c r="B126" i="3"/>
  <c r="A127" i="3"/>
  <c r="B127" i="3"/>
  <c r="A128" i="3"/>
  <c r="B128" i="3"/>
  <c r="A129" i="3"/>
  <c r="B129" i="3"/>
  <c r="A130" i="3"/>
  <c r="B130" i="3"/>
  <c r="A131" i="3"/>
  <c r="B131" i="3"/>
  <c r="A132" i="3"/>
  <c r="B132" i="3"/>
  <c r="A133" i="3"/>
  <c r="B133" i="3"/>
  <c r="A134" i="3"/>
  <c r="B134" i="3"/>
  <c r="A135" i="3"/>
  <c r="B135" i="3"/>
  <c r="A136" i="3"/>
  <c r="B136" i="3"/>
  <c r="A137" i="3"/>
  <c r="B137" i="3"/>
  <c r="A138" i="3"/>
  <c r="B138" i="3"/>
  <c r="A139" i="3"/>
  <c r="B139" i="3"/>
  <c r="A140" i="3"/>
  <c r="B140" i="3"/>
  <c r="A141" i="3"/>
  <c r="B141" i="3"/>
  <c r="A142" i="3"/>
  <c r="B142" i="3"/>
  <c r="A143" i="3"/>
  <c r="B143" i="3"/>
  <c r="A144" i="3"/>
  <c r="B144" i="3"/>
  <c r="A145" i="3"/>
  <c r="B145" i="3"/>
  <c r="A146" i="3"/>
  <c r="B146" i="3"/>
  <c r="A147" i="3"/>
  <c r="B147" i="3"/>
  <c r="A148" i="3"/>
  <c r="B148" i="3"/>
  <c r="A149" i="3"/>
  <c r="B149" i="3"/>
  <c r="A150" i="3"/>
  <c r="B150" i="3"/>
  <c r="A151" i="3"/>
  <c r="B151" i="3"/>
  <c r="A152" i="3"/>
  <c r="B152" i="3"/>
  <c r="A153" i="3"/>
  <c r="B153" i="3"/>
  <c r="A154" i="3"/>
  <c r="B154" i="3"/>
  <c r="A155" i="3"/>
  <c r="B155" i="3"/>
  <c r="A156" i="3"/>
  <c r="B156" i="3"/>
  <c r="A157" i="3"/>
  <c r="B157" i="3"/>
  <c r="A158" i="3"/>
  <c r="B158" i="3"/>
  <c r="A159" i="3"/>
  <c r="B159" i="3"/>
  <c r="A160" i="3"/>
  <c r="B160" i="3"/>
  <c r="A161" i="3"/>
  <c r="B161" i="3"/>
  <c r="A162" i="3"/>
  <c r="B162" i="3"/>
  <c r="A163" i="3"/>
  <c r="B163" i="3"/>
  <c r="A164" i="3"/>
  <c r="B164" i="3"/>
  <c r="A165" i="3"/>
  <c r="B165" i="3"/>
  <c r="A166" i="3"/>
  <c r="B166" i="3"/>
  <c r="A167" i="3"/>
  <c r="B167" i="3"/>
  <c r="A168" i="3"/>
  <c r="B168" i="3"/>
  <c r="A169" i="3"/>
  <c r="B169" i="3"/>
  <c r="A170" i="3"/>
  <c r="B170" i="3"/>
  <c r="A171" i="3"/>
  <c r="B171" i="3"/>
  <c r="A172" i="3"/>
  <c r="B172" i="3"/>
  <c r="A173" i="3"/>
  <c r="B173" i="3"/>
  <c r="A174" i="3"/>
  <c r="B174" i="3"/>
  <c r="A175" i="3"/>
  <c r="B175" i="3"/>
  <c r="A176" i="3"/>
  <c r="B176" i="3"/>
  <c r="A177" i="3"/>
  <c r="B177" i="3"/>
  <c r="A178" i="3"/>
  <c r="B178" i="3"/>
  <c r="A179" i="3"/>
  <c r="B179" i="3"/>
  <c r="A180" i="3"/>
  <c r="B180" i="3"/>
  <c r="A181" i="3"/>
  <c r="B181" i="3"/>
  <c r="A182" i="3"/>
  <c r="B182" i="3"/>
  <c r="A183" i="3"/>
  <c r="B183" i="3"/>
  <c r="A184" i="3"/>
  <c r="B184" i="3"/>
  <c r="A185" i="3"/>
  <c r="B185" i="3"/>
  <c r="A186" i="3"/>
  <c r="B186" i="3"/>
  <c r="A187" i="3"/>
  <c r="B187" i="3"/>
  <c r="A188" i="3"/>
  <c r="B188" i="3"/>
  <c r="A189" i="3"/>
  <c r="B189" i="3"/>
  <c r="A190" i="3"/>
  <c r="B190" i="3"/>
  <c r="A191" i="3"/>
  <c r="B191" i="3"/>
  <c r="A192" i="3"/>
  <c r="B192" i="3"/>
  <c r="A193" i="3"/>
  <c r="B193" i="3"/>
  <c r="A194" i="3"/>
  <c r="B194" i="3"/>
  <c r="A195" i="3"/>
  <c r="B195" i="3"/>
  <c r="A196" i="3"/>
  <c r="B196" i="3"/>
  <c r="A197" i="3"/>
  <c r="B197" i="3"/>
  <c r="A198" i="3"/>
  <c r="B198" i="3"/>
  <c r="A199" i="3"/>
  <c r="B199" i="3"/>
  <c r="A200" i="3"/>
  <c r="B200" i="3"/>
  <c r="A201" i="3"/>
  <c r="B201" i="3"/>
  <c r="A202" i="3"/>
  <c r="B202" i="3"/>
  <c r="A203" i="3"/>
  <c r="B203" i="3"/>
  <c r="A204" i="3"/>
  <c r="B204" i="3"/>
  <c r="A205" i="3"/>
  <c r="B205" i="3"/>
  <c r="A206" i="3"/>
  <c r="B206" i="3"/>
  <c r="A207" i="3"/>
  <c r="B207" i="3"/>
  <c r="A208" i="3"/>
  <c r="B208" i="3"/>
  <c r="A209" i="3"/>
  <c r="B209" i="3"/>
  <c r="A210" i="3"/>
  <c r="B210" i="3"/>
  <c r="A211" i="3"/>
  <c r="B211" i="3"/>
  <c r="A212" i="3"/>
  <c r="B212" i="3"/>
  <c r="A213" i="3"/>
  <c r="B213" i="3"/>
  <c r="A214" i="3"/>
  <c r="B214" i="3"/>
  <c r="A215" i="3"/>
  <c r="B215" i="3"/>
  <c r="A216" i="3"/>
  <c r="B216" i="3"/>
  <c r="A217" i="3"/>
  <c r="B217" i="3"/>
  <c r="A218" i="3"/>
  <c r="B218" i="3"/>
  <c r="A219" i="3"/>
  <c r="B219" i="3"/>
  <c r="A220" i="3"/>
  <c r="B220" i="3"/>
  <c r="A221" i="3"/>
  <c r="B221" i="3"/>
  <c r="A222" i="3"/>
  <c r="B222" i="3"/>
  <c r="A223" i="3"/>
  <c r="B223" i="3"/>
  <c r="A224" i="3"/>
  <c r="B224" i="3"/>
  <c r="A225" i="3"/>
  <c r="B225" i="3"/>
  <c r="A226" i="3"/>
  <c r="B226" i="3"/>
  <c r="A227" i="3"/>
  <c r="B227" i="3"/>
  <c r="A228" i="3"/>
  <c r="B228" i="3"/>
  <c r="A229" i="3"/>
  <c r="B229" i="3"/>
  <c r="A230" i="3"/>
  <c r="B230" i="3"/>
  <c r="A231" i="3"/>
  <c r="B231" i="3"/>
  <c r="A232" i="3"/>
  <c r="B232" i="3"/>
  <c r="A233" i="3"/>
  <c r="B233" i="3"/>
  <c r="A234" i="3"/>
  <c r="B234" i="3"/>
  <c r="A235" i="3"/>
  <c r="B235" i="3"/>
  <c r="A236" i="3"/>
  <c r="B236" i="3"/>
  <c r="A237" i="3"/>
  <c r="B237" i="3"/>
  <c r="A238" i="3"/>
  <c r="B238" i="3"/>
  <c r="A239" i="3"/>
  <c r="B239" i="3"/>
  <c r="A240" i="3"/>
  <c r="B240" i="3"/>
  <c r="A241" i="3"/>
  <c r="B241" i="3"/>
  <c r="A242" i="3"/>
  <c r="B242" i="3"/>
  <c r="A243" i="3"/>
  <c r="B243" i="3"/>
  <c r="A244" i="3"/>
  <c r="B244" i="3"/>
  <c r="A245" i="3"/>
  <c r="B245" i="3"/>
  <c r="A246" i="3"/>
  <c r="B246" i="3"/>
  <c r="A247" i="3"/>
  <c r="B247" i="3"/>
  <c r="A248" i="3"/>
  <c r="B248" i="3"/>
  <c r="A249" i="3"/>
  <c r="B249" i="3"/>
  <c r="A250" i="3"/>
  <c r="B250" i="3"/>
  <c r="A251" i="3"/>
  <c r="B251" i="3"/>
  <c r="A252" i="3"/>
  <c r="B252" i="3"/>
  <c r="A253" i="3"/>
  <c r="B253" i="3"/>
  <c r="A254" i="3"/>
  <c r="B254" i="3"/>
  <c r="A255" i="3"/>
  <c r="B255" i="3"/>
  <c r="A256" i="3"/>
  <c r="B256" i="3"/>
  <c r="A257" i="3"/>
  <c r="B257" i="3"/>
  <c r="A258" i="3"/>
  <c r="B258" i="3"/>
  <c r="A259" i="3"/>
  <c r="B259" i="3"/>
  <c r="A260" i="3"/>
  <c r="B260" i="3"/>
  <c r="A261" i="3"/>
  <c r="B261" i="3"/>
  <c r="A262" i="3"/>
  <c r="B262" i="3"/>
  <c r="A263" i="3"/>
  <c r="B263" i="3"/>
  <c r="A264" i="3"/>
  <c r="B264" i="3"/>
  <c r="A265" i="3"/>
  <c r="B265" i="3"/>
  <c r="A266" i="3"/>
  <c r="B266" i="3"/>
  <c r="A267" i="3"/>
  <c r="B267" i="3"/>
  <c r="A268" i="3"/>
  <c r="B268" i="3"/>
  <c r="A269" i="3"/>
  <c r="B269" i="3"/>
  <c r="A270" i="3"/>
  <c r="B270" i="3"/>
  <c r="A271" i="3"/>
  <c r="B271" i="3"/>
  <c r="A272" i="3"/>
  <c r="B272" i="3"/>
  <c r="A273" i="3"/>
  <c r="B273" i="3"/>
  <c r="A274" i="3"/>
  <c r="B274" i="3"/>
  <c r="A275" i="3"/>
  <c r="B275" i="3"/>
  <c r="A276" i="3"/>
  <c r="B276" i="3"/>
  <c r="A277" i="3"/>
  <c r="B277" i="3"/>
  <c r="A278" i="3"/>
  <c r="B278" i="3"/>
  <c r="A279" i="3"/>
  <c r="B279" i="3"/>
  <c r="A280" i="3"/>
  <c r="B280" i="3"/>
  <c r="A281" i="3"/>
  <c r="B281" i="3"/>
  <c r="A282" i="3"/>
  <c r="B282" i="3"/>
  <c r="A283" i="3"/>
  <c r="B283" i="3"/>
  <c r="A284" i="3"/>
  <c r="B284" i="3"/>
  <c r="A285" i="3"/>
  <c r="B285" i="3"/>
  <c r="A286" i="3"/>
  <c r="B286" i="3"/>
  <c r="A287" i="3"/>
  <c r="B287" i="3"/>
  <c r="A288" i="3"/>
  <c r="B288" i="3"/>
  <c r="A289" i="3"/>
  <c r="B289" i="3"/>
  <c r="A290" i="3"/>
  <c r="B290" i="3"/>
  <c r="A291" i="3"/>
  <c r="B291" i="3"/>
  <c r="A292" i="3"/>
  <c r="B292" i="3"/>
  <c r="A293" i="3"/>
  <c r="B293" i="3"/>
  <c r="A294" i="3"/>
  <c r="B294" i="3"/>
  <c r="A295" i="3"/>
  <c r="B295" i="3"/>
  <c r="A296" i="3"/>
  <c r="B296" i="3"/>
  <c r="A297" i="3"/>
  <c r="B297" i="3"/>
  <c r="A298" i="3"/>
  <c r="B298" i="3"/>
  <c r="A299" i="3"/>
  <c r="B299" i="3"/>
  <c r="A300" i="3"/>
  <c r="B300" i="3"/>
  <c r="A301" i="3"/>
  <c r="B301" i="3"/>
  <c r="A302" i="3"/>
  <c r="B302" i="3"/>
  <c r="A303" i="3"/>
  <c r="B303" i="3"/>
  <c r="A304" i="3"/>
  <c r="B304" i="3"/>
  <c r="A305" i="3"/>
  <c r="B305" i="3"/>
  <c r="A306" i="3"/>
  <c r="B306" i="3"/>
  <c r="A307" i="3"/>
  <c r="B307" i="3"/>
  <c r="A308" i="3"/>
  <c r="B308" i="3"/>
  <c r="A309" i="3"/>
  <c r="B309" i="3"/>
  <c r="A310" i="3"/>
  <c r="B310" i="3"/>
  <c r="A311" i="3"/>
  <c r="B311" i="3"/>
  <c r="A312" i="3"/>
  <c r="B312" i="3"/>
  <c r="A313" i="3"/>
  <c r="B313" i="3"/>
  <c r="A314" i="3"/>
  <c r="B314" i="3"/>
  <c r="A315" i="3"/>
  <c r="B315" i="3"/>
  <c r="A316" i="3"/>
  <c r="B316" i="3"/>
  <c r="A317" i="3"/>
  <c r="B317" i="3"/>
  <c r="A318" i="3"/>
  <c r="B318" i="3"/>
  <c r="A319" i="3"/>
  <c r="B319" i="3"/>
  <c r="A320" i="3"/>
  <c r="B320" i="3"/>
  <c r="A321" i="3"/>
  <c r="B321" i="3"/>
  <c r="A322" i="3"/>
  <c r="B322" i="3"/>
  <c r="A323" i="3"/>
  <c r="B323" i="3"/>
  <c r="A324" i="3"/>
  <c r="B324" i="3"/>
  <c r="A325" i="3"/>
  <c r="B325" i="3"/>
  <c r="A326" i="3"/>
  <c r="B326" i="3"/>
  <c r="A327" i="3"/>
  <c r="B327" i="3"/>
  <c r="A328" i="3"/>
  <c r="B328" i="3"/>
  <c r="A329" i="3"/>
  <c r="B329" i="3"/>
  <c r="A330" i="3"/>
  <c r="B330" i="3"/>
  <c r="A331" i="3"/>
  <c r="B331" i="3"/>
  <c r="A332" i="3"/>
  <c r="B332" i="3"/>
  <c r="A333" i="3"/>
  <c r="B333" i="3"/>
  <c r="A334" i="3"/>
  <c r="B334" i="3"/>
  <c r="A335" i="3"/>
  <c r="B335" i="3"/>
  <c r="A336" i="3"/>
  <c r="B336" i="3"/>
  <c r="A337" i="3"/>
  <c r="B337" i="3"/>
  <c r="A338" i="3"/>
  <c r="B338" i="3"/>
  <c r="A339" i="3"/>
  <c r="B339" i="3"/>
  <c r="A340" i="3"/>
  <c r="B340" i="3"/>
  <c r="A341" i="3"/>
  <c r="B341" i="3"/>
  <c r="A342" i="3"/>
  <c r="B342" i="3"/>
  <c r="A343" i="3"/>
  <c r="B343" i="3"/>
  <c r="A344" i="3"/>
  <c r="B344" i="3"/>
  <c r="A345" i="3"/>
  <c r="B345" i="3"/>
  <c r="A346" i="3"/>
  <c r="B346" i="3"/>
  <c r="A347" i="3"/>
  <c r="B347" i="3"/>
  <c r="A348" i="3"/>
  <c r="B348" i="3"/>
  <c r="A349" i="3"/>
  <c r="B349" i="3"/>
  <c r="A350" i="3"/>
  <c r="B350" i="3"/>
  <c r="A351" i="3"/>
  <c r="B351" i="3"/>
  <c r="A352" i="3"/>
  <c r="B352" i="3"/>
  <c r="A353" i="3"/>
  <c r="B353" i="3"/>
  <c r="A354" i="3"/>
  <c r="B354" i="3"/>
  <c r="A355" i="3"/>
  <c r="B355" i="3"/>
  <c r="A356" i="3"/>
  <c r="B356" i="3"/>
  <c r="A357" i="3"/>
  <c r="B357" i="3"/>
  <c r="A358" i="3"/>
  <c r="B358" i="3"/>
  <c r="A359" i="3"/>
  <c r="B359" i="3"/>
  <c r="A360" i="3"/>
  <c r="B360" i="3"/>
  <c r="A361" i="3"/>
  <c r="B361" i="3"/>
  <c r="A362" i="3"/>
  <c r="B362" i="3"/>
  <c r="A363" i="3"/>
  <c r="B363" i="3"/>
  <c r="A364" i="3"/>
  <c r="B364" i="3"/>
  <c r="A365" i="3"/>
  <c r="B365" i="3"/>
  <c r="A366" i="3"/>
  <c r="B366" i="3"/>
  <c r="A367" i="3"/>
  <c r="B367" i="3"/>
  <c r="A368" i="3"/>
  <c r="B368" i="3"/>
  <c r="A369" i="3"/>
  <c r="B369" i="3"/>
  <c r="A370" i="3"/>
  <c r="B370" i="3"/>
  <c r="A371" i="3"/>
  <c r="B371" i="3"/>
  <c r="A372" i="3"/>
  <c r="B372" i="3"/>
  <c r="A373" i="3"/>
  <c r="B373" i="3"/>
  <c r="A374" i="3"/>
  <c r="B374" i="3"/>
  <c r="A375" i="3"/>
  <c r="B375" i="3"/>
  <c r="A376" i="3"/>
  <c r="B376" i="3"/>
  <c r="A377" i="3"/>
  <c r="B377" i="3"/>
  <c r="A378" i="3"/>
  <c r="B378" i="3"/>
  <c r="A379" i="3"/>
  <c r="B379" i="3"/>
  <c r="A380" i="3"/>
  <c r="B380" i="3"/>
  <c r="A381" i="3"/>
  <c r="B381" i="3"/>
  <c r="A382" i="3"/>
  <c r="B382" i="3"/>
  <c r="A383" i="3"/>
  <c r="B383" i="3"/>
  <c r="A384" i="3"/>
  <c r="B384" i="3"/>
  <c r="A385" i="3"/>
  <c r="B385" i="3"/>
  <c r="A386" i="3"/>
  <c r="B386" i="3"/>
  <c r="A387" i="3"/>
  <c r="B387" i="3"/>
  <c r="A388" i="3"/>
  <c r="B388" i="3"/>
  <c r="A389" i="3"/>
  <c r="B389" i="3"/>
  <c r="A390" i="3"/>
  <c r="B390" i="3"/>
  <c r="A391" i="3"/>
  <c r="B391" i="3"/>
  <c r="A392" i="3"/>
  <c r="B392" i="3"/>
  <c r="A393" i="3"/>
  <c r="B393" i="3"/>
  <c r="A394" i="3"/>
  <c r="B394" i="3"/>
  <c r="A395" i="3"/>
  <c r="B395" i="3"/>
  <c r="A396" i="3"/>
  <c r="B396" i="3"/>
  <c r="A397" i="3"/>
  <c r="B397" i="3"/>
  <c r="A398" i="3"/>
  <c r="B398" i="3"/>
  <c r="A399" i="3"/>
  <c r="B399" i="3"/>
  <c r="A400" i="3"/>
  <c r="B400" i="3"/>
  <c r="A401" i="3"/>
  <c r="B401" i="3"/>
  <c r="A402" i="3"/>
  <c r="B402" i="3"/>
  <c r="A403" i="3"/>
  <c r="B403" i="3"/>
  <c r="A404" i="3"/>
  <c r="B404" i="3"/>
  <c r="A405" i="3"/>
  <c r="B405" i="3"/>
  <c r="A406" i="3"/>
  <c r="B406" i="3"/>
  <c r="A407" i="3"/>
  <c r="B407" i="3"/>
  <c r="A408" i="3"/>
  <c r="B408" i="3"/>
  <c r="A409" i="3"/>
  <c r="B409" i="3"/>
  <c r="A410" i="3"/>
  <c r="B410" i="3"/>
  <c r="A411" i="3"/>
  <c r="B411" i="3"/>
  <c r="A412" i="3"/>
  <c r="B412" i="3"/>
  <c r="A413" i="3"/>
  <c r="B413" i="3"/>
  <c r="A414" i="3"/>
  <c r="B414" i="3"/>
  <c r="A415" i="3"/>
  <c r="B415" i="3"/>
  <c r="A416" i="3"/>
  <c r="B416" i="3"/>
  <c r="A417" i="3"/>
  <c r="B417" i="3"/>
  <c r="A418" i="3"/>
  <c r="B418" i="3"/>
  <c r="A419" i="3"/>
  <c r="B419" i="3"/>
  <c r="A420" i="3"/>
  <c r="B420" i="3"/>
  <c r="A421" i="3"/>
  <c r="B421" i="3"/>
  <c r="A422" i="3"/>
  <c r="B422" i="3"/>
  <c r="A423" i="3"/>
  <c r="B423" i="3"/>
  <c r="A424" i="3"/>
  <c r="B424" i="3"/>
  <c r="A425" i="3"/>
  <c r="B425" i="3"/>
  <c r="A426" i="3"/>
  <c r="B426" i="3"/>
  <c r="A427" i="3"/>
  <c r="B427" i="3"/>
  <c r="A428" i="3"/>
  <c r="B428" i="3"/>
  <c r="A429" i="3"/>
  <c r="B429" i="3"/>
  <c r="A430" i="3"/>
  <c r="B430" i="3"/>
  <c r="A431" i="3"/>
  <c r="B431" i="3"/>
  <c r="A432" i="3"/>
  <c r="B432" i="3"/>
  <c r="A433" i="3"/>
  <c r="B433" i="3"/>
  <c r="A434" i="3"/>
  <c r="B434" i="3"/>
  <c r="A435" i="3"/>
  <c r="B435" i="3"/>
  <c r="A436" i="3"/>
  <c r="B436" i="3"/>
  <c r="A437" i="3"/>
  <c r="B437" i="3"/>
  <c r="A438" i="3"/>
  <c r="B438" i="3"/>
  <c r="A439" i="3"/>
  <c r="B439" i="3"/>
  <c r="A440" i="3"/>
  <c r="B440" i="3"/>
  <c r="A441" i="3"/>
  <c r="B441" i="3"/>
  <c r="A442" i="3"/>
  <c r="B442" i="3"/>
  <c r="A443" i="3"/>
  <c r="B443" i="3"/>
  <c r="A444" i="3"/>
  <c r="B444" i="3"/>
  <c r="A445" i="3"/>
  <c r="B445" i="3"/>
  <c r="A446" i="3"/>
  <c r="B446" i="3"/>
  <c r="A447" i="3"/>
  <c r="B447" i="3"/>
  <c r="A448" i="3"/>
  <c r="B448" i="3"/>
  <c r="A449" i="3"/>
  <c r="B449" i="3"/>
  <c r="A450" i="3"/>
  <c r="B450" i="3"/>
  <c r="A451" i="3"/>
  <c r="B451" i="3"/>
  <c r="A452" i="3"/>
  <c r="B452" i="3"/>
  <c r="A453" i="3"/>
  <c r="B453" i="3"/>
  <c r="A454" i="3"/>
  <c r="B454" i="3"/>
  <c r="A455" i="3"/>
  <c r="B455" i="3"/>
  <c r="A456" i="3"/>
  <c r="B456" i="3"/>
  <c r="A457" i="3"/>
  <c r="B457" i="3"/>
  <c r="A458" i="3"/>
  <c r="B458" i="3"/>
  <c r="A459" i="3"/>
  <c r="B459" i="3"/>
  <c r="A460" i="3"/>
  <c r="B460" i="3"/>
  <c r="A461" i="3"/>
  <c r="B461" i="3"/>
  <c r="A462" i="3"/>
  <c r="B462" i="3"/>
  <c r="A463" i="3"/>
  <c r="B463" i="3"/>
  <c r="A464" i="3"/>
  <c r="B464" i="3"/>
  <c r="A465" i="3"/>
  <c r="B465" i="3"/>
  <c r="A466" i="3"/>
  <c r="B466" i="3"/>
  <c r="A467" i="3"/>
  <c r="B467" i="3"/>
  <c r="A468" i="3"/>
  <c r="B468" i="3"/>
  <c r="A469" i="3"/>
  <c r="B469" i="3"/>
  <c r="A470" i="3"/>
  <c r="B470" i="3"/>
  <c r="A471" i="3"/>
  <c r="B471" i="3"/>
  <c r="A472" i="3"/>
  <c r="B472" i="3"/>
  <c r="A473" i="3"/>
  <c r="B473" i="3"/>
  <c r="A474" i="3"/>
  <c r="B474" i="3"/>
  <c r="A475" i="3"/>
  <c r="B475" i="3"/>
  <c r="A476" i="3"/>
  <c r="B476" i="3"/>
  <c r="A477" i="3"/>
  <c r="B477" i="3"/>
  <c r="A478" i="3"/>
  <c r="B478" i="3"/>
  <c r="A479" i="3"/>
  <c r="B479" i="3"/>
  <c r="A480" i="3"/>
  <c r="B480" i="3"/>
  <c r="A481" i="3"/>
  <c r="B481" i="3"/>
  <c r="A482" i="3"/>
  <c r="B482" i="3"/>
  <c r="A483" i="3"/>
  <c r="B483" i="3"/>
  <c r="A484" i="3"/>
  <c r="B484" i="3"/>
  <c r="A485" i="3"/>
  <c r="B485" i="3"/>
  <c r="A486" i="3"/>
  <c r="B486" i="3"/>
  <c r="A487" i="3"/>
  <c r="B487" i="3"/>
  <c r="A488" i="3"/>
  <c r="B488" i="3"/>
  <c r="A489" i="3"/>
  <c r="B489" i="3"/>
  <c r="A490" i="3"/>
  <c r="B490" i="3"/>
  <c r="A491" i="3"/>
  <c r="B491" i="3"/>
  <c r="A492" i="3"/>
  <c r="B492" i="3"/>
  <c r="A493" i="3"/>
  <c r="B493" i="3"/>
  <c r="A494" i="3"/>
  <c r="B494" i="3"/>
  <c r="A495" i="3"/>
  <c r="B495" i="3"/>
  <c r="A496" i="3"/>
  <c r="B496" i="3"/>
  <c r="A497" i="3"/>
  <c r="B497" i="3"/>
  <c r="A498" i="3"/>
  <c r="B498" i="3"/>
  <c r="A499" i="3"/>
  <c r="B499" i="3"/>
  <c r="A500" i="3"/>
  <c r="B500" i="3"/>
  <c r="A501" i="3"/>
  <c r="B501" i="3"/>
  <c r="A502" i="3"/>
  <c r="B502" i="3"/>
  <c r="A503" i="3"/>
  <c r="B503" i="3"/>
  <c r="A504" i="3"/>
  <c r="B504" i="3"/>
  <c r="A505" i="3"/>
  <c r="B505" i="3"/>
  <c r="A506" i="3"/>
  <c r="B506" i="3"/>
  <c r="A507" i="3"/>
  <c r="B507" i="3"/>
  <c r="A508" i="3"/>
  <c r="B508" i="3"/>
  <c r="A509" i="3"/>
  <c r="B509" i="3"/>
  <c r="A510" i="3"/>
  <c r="B510" i="3"/>
  <c r="A511" i="3"/>
  <c r="B511" i="3"/>
  <c r="A512" i="3"/>
  <c r="B512" i="3"/>
  <c r="A513" i="3"/>
  <c r="B513" i="3"/>
  <c r="A514" i="3"/>
  <c r="B514" i="3"/>
  <c r="A515" i="3"/>
  <c r="B515" i="3"/>
  <c r="A516" i="3"/>
  <c r="B516" i="3"/>
  <c r="A517" i="3"/>
  <c r="B517" i="3"/>
  <c r="A518" i="3"/>
  <c r="B518" i="3"/>
  <c r="A519" i="3"/>
  <c r="B519" i="3"/>
  <c r="A520" i="3"/>
  <c r="B520" i="3"/>
  <c r="A521" i="3"/>
  <c r="B521" i="3"/>
  <c r="A522" i="3"/>
  <c r="B522" i="3"/>
  <c r="A523" i="3"/>
  <c r="B523" i="3"/>
  <c r="A524" i="3"/>
  <c r="B524" i="3"/>
  <c r="A525" i="3"/>
  <c r="B525" i="3"/>
  <c r="A526" i="3"/>
  <c r="B526" i="3"/>
  <c r="A527" i="3"/>
  <c r="B527" i="3"/>
  <c r="A528" i="3"/>
  <c r="B528" i="3"/>
  <c r="A529" i="3"/>
  <c r="B529" i="3"/>
  <c r="A530" i="3"/>
  <c r="B530" i="3"/>
  <c r="A531" i="3"/>
  <c r="B531" i="3"/>
  <c r="A532" i="3"/>
  <c r="B532" i="3"/>
  <c r="A533" i="3"/>
  <c r="B533" i="3"/>
  <c r="A534" i="3"/>
  <c r="B534" i="3"/>
  <c r="A535" i="3"/>
  <c r="B535" i="3"/>
  <c r="A536" i="3"/>
  <c r="B536" i="3"/>
  <c r="A537" i="3"/>
  <c r="B537" i="3"/>
  <c r="A538" i="3"/>
  <c r="B538" i="3"/>
  <c r="A539" i="3"/>
  <c r="B539" i="3"/>
  <c r="A540" i="3"/>
  <c r="B540" i="3"/>
  <c r="A541" i="3"/>
  <c r="B541" i="3"/>
  <c r="A542" i="3"/>
  <c r="B542" i="3"/>
  <c r="A543" i="3"/>
  <c r="B543" i="3"/>
  <c r="A544" i="3"/>
  <c r="B544" i="3"/>
  <c r="A545" i="3"/>
  <c r="B545" i="3"/>
  <c r="A546" i="3"/>
  <c r="B546" i="3"/>
  <c r="A547" i="3"/>
  <c r="B547" i="3"/>
  <c r="A548" i="3"/>
  <c r="B548" i="3"/>
  <c r="A549" i="3"/>
  <c r="B549" i="3"/>
  <c r="A550" i="3"/>
  <c r="B550" i="3"/>
  <c r="A551" i="3"/>
  <c r="B551" i="3"/>
  <c r="A552" i="3"/>
  <c r="B552" i="3"/>
  <c r="A553" i="3"/>
  <c r="B553" i="3"/>
  <c r="A554" i="3"/>
  <c r="B554" i="3"/>
  <c r="A555" i="3"/>
  <c r="B555" i="3"/>
  <c r="A556" i="3"/>
  <c r="B556" i="3"/>
  <c r="A557" i="3"/>
  <c r="B557" i="3"/>
  <c r="A558" i="3"/>
  <c r="B558" i="3"/>
  <c r="A559" i="3"/>
  <c r="B559" i="3"/>
  <c r="A560" i="3"/>
  <c r="B560" i="3"/>
  <c r="A561" i="3"/>
  <c r="B561" i="3"/>
  <c r="A562" i="3"/>
  <c r="B562" i="3"/>
  <c r="A563" i="3"/>
  <c r="B563" i="3"/>
  <c r="A564" i="3"/>
  <c r="B564" i="3"/>
  <c r="A565" i="3"/>
  <c r="B565" i="3"/>
  <c r="A566" i="3"/>
  <c r="B566" i="3"/>
  <c r="A567" i="3"/>
  <c r="B567" i="3"/>
  <c r="A568" i="3"/>
  <c r="B568" i="3"/>
  <c r="A569" i="3"/>
  <c r="B569" i="3"/>
  <c r="A570" i="3"/>
  <c r="B570" i="3"/>
  <c r="A571" i="3"/>
  <c r="B571" i="3"/>
  <c r="A572" i="3"/>
  <c r="B572" i="3"/>
  <c r="A573" i="3"/>
  <c r="B573" i="3"/>
  <c r="A574" i="3"/>
  <c r="B574" i="3"/>
  <c r="A575" i="3"/>
  <c r="B575" i="3"/>
  <c r="A576" i="3"/>
  <c r="B576" i="3"/>
  <c r="A577" i="3"/>
  <c r="B577" i="3"/>
  <c r="A578" i="3"/>
  <c r="B578" i="3"/>
  <c r="A579" i="3"/>
  <c r="B579" i="3"/>
  <c r="A580" i="3"/>
  <c r="B580" i="3"/>
  <c r="A581" i="3"/>
  <c r="B581" i="3"/>
  <c r="A582" i="3"/>
  <c r="B582" i="3"/>
  <c r="A583" i="3"/>
  <c r="B583" i="3"/>
  <c r="A584" i="3"/>
  <c r="B584" i="3"/>
  <c r="A585" i="3"/>
  <c r="B585" i="3"/>
  <c r="A586" i="3"/>
  <c r="B586" i="3"/>
  <c r="A587" i="3"/>
  <c r="B587" i="3"/>
  <c r="A588" i="3"/>
  <c r="B588" i="3"/>
  <c r="A589" i="3"/>
  <c r="B589" i="3"/>
  <c r="A590" i="3"/>
  <c r="B590" i="3"/>
  <c r="A591" i="3"/>
  <c r="B591" i="3"/>
  <c r="A592" i="3"/>
  <c r="B592" i="3"/>
  <c r="A593" i="3"/>
  <c r="B593" i="3"/>
  <c r="A594" i="3"/>
  <c r="B594" i="3"/>
  <c r="A595" i="3"/>
  <c r="B595" i="3"/>
  <c r="A596" i="3"/>
  <c r="B596" i="3"/>
  <c r="A597" i="3"/>
  <c r="B597" i="3"/>
  <c r="A598" i="3"/>
  <c r="B598" i="3"/>
  <c r="A599" i="3"/>
  <c r="B599" i="3"/>
  <c r="A600" i="3"/>
  <c r="B600" i="3"/>
  <c r="A601" i="3"/>
  <c r="B601" i="3"/>
  <c r="A602" i="3"/>
  <c r="B602" i="3"/>
  <c r="A603" i="3"/>
  <c r="B603" i="3"/>
  <c r="A604" i="3"/>
  <c r="B604" i="3"/>
  <c r="A605" i="3"/>
  <c r="B605" i="3"/>
  <c r="A606" i="3"/>
  <c r="B606" i="3"/>
  <c r="A607" i="3"/>
  <c r="B607" i="3"/>
  <c r="A608" i="3"/>
  <c r="B608" i="3"/>
  <c r="A609" i="3"/>
  <c r="B609" i="3"/>
  <c r="A610" i="3"/>
  <c r="B610" i="3"/>
  <c r="A611" i="3"/>
  <c r="B611" i="3"/>
  <c r="A612" i="3"/>
  <c r="B612" i="3"/>
  <c r="A613" i="3"/>
  <c r="B613" i="3"/>
  <c r="A614" i="3"/>
  <c r="B614" i="3"/>
  <c r="A615" i="3"/>
  <c r="B615" i="3"/>
  <c r="A616" i="3"/>
  <c r="B616" i="3"/>
  <c r="A617" i="3"/>
  <c r="B617" i="3"/>
  <c r="A618" i="3"/>
  <c r="B618" i="3"/>
  <c r="A619" i="3"/>
  <c r="B619" i="3"/>
  <c r="A620" i="3"/>
  <c r="B620" i="3"/>
  <c r="A621" i="3"/>
  <c r="B621" i="3"/>
  <c r="A622" i="3"/>
  <c r="B622" i="3"/>
  <c r="A623" i="3"/>
  <c r="B623" i="3"/>
  <c r="A624" i="3"/>
  <c r="B624" i="3"/>
  <c r="A625" i="3"/>
  <c r="B625" i="3"/>
  <c r="A626" i="3"/>
  <c r="B626" i="3"/>
  <c r="A627" i="3"/>
  <c r="B627" i="3"/>
  <c r="A628" i="3"/>
  <c r="B628" i="3"/>
  <c r="A629" i="3"/>
  <c r="B629" i="3"/>
  <c r="A630" i="3"/>
  <c r="B630" i="3"/>
  <c r="A631" i="3"/>
  <c r="B631" i="3"/>
  <c r="A632" i="3"/>
  <c r="B632" i="3"/>
  <c r="A633" i="3"/>
  <c r="B633" i="3"/>
  <c r="A634" i="3"/>
  <c r="B634" i="3"/>
  <c r="A635" i="3"/>
  <c r="B635" i="3"/>
  <c r="A636" i="3"/>
  <c r="B636" i="3"/>
  <c r="A637" i="3"/>
  <c r="B637" i="3"/>
  <c r="A638" i="3"/>
  <c r="B638" i="3"/>
  <c r="A639" i="3"/>
  <c r="B639" i="3"/>
  <c r="A640" i="3"/>
  <c r="B640" i="3"/>
  <c r="A641" i="3"/>
  <c r="B641" i="3"/>
  <c r="A642" i="3"/>
  <c r="B642" i="3"/>
  <c r="A643" i="3"/>
  <c r="B643" i="3"/>
  <c r="A644" i="3"/>
  <c r="B644" i="3"/>
  <c r="A645" i="3"/>
  <c r="B645" i="3"/>
  <c r="A646" i="3"/>
  <c r="B646" i="3"/>
  <c r="A647" i="3"/>
  <c r="B647" i="3"/>
  <c r="A648" i="3"/>
  <c r="B648" i="3"/>
  <c r="A649" i="3"/>
  <c r="B649" i="3"/>
  <c r="A650" i="3"/>
  <c r="B650" i="3"/>
  <c r="A651" i="3"/>
  <c r="B651" i="3"/>
  <c r="A652" i="3"/>
  <c r="B652" i="3"/>
  <c r="A653" i="3"/>
  <c r="B653" i="3"/>
  <c r="A654" i="3"/>
  <c r="B654" i="3"/>
  <c r="A655" i="3"/>
  <c r="B655" i="3"/>
  <c r="A656" i="3"/>
  <c r="B656" i="3"/>
  <c r="A657" i="3"/>
  <c r="B657" i="3"/>
  <c r="A658" i="3"/>
  <c r="B658" i="3"/>
  <c r="A659" i="3"/>
  <c r="B659" i="3"/>
  <c r="A660" i="3"/>
  <c r="B660" i="3"/>
  <c r="A661" i="3"/>
  <c r="B661" i="3"/>
  <c r="A662" i="3"/>
  <c r="B662" i="3"/>
  <c r="A663" i="3"/>
  <c r="B663" i="3"/>
  <c r="A664" i="3"/>
  <c r="B664" i="3"/>
  <c r="A665" i="3"/>
  <c r="B665" i="3"/>
  <c r="A666" i="3"/>
  <c r="B666" i="3"/>
  <c r="A667" i="3"/>
  <c r="B667" i="3"/>
  <c r="A668" i="3"/>
  <c r="B668" i="3"/>
  <c r="A669" i="3"/>
  <c r="B669" i="3"/>
  <c r="A670" i="3"/>
  <c r="B670" i="3"/>
  <c r="A671" i="3"/>
  <c r="B671" i="3"/>
  <c r="A672" i="3"/>
  <c r="B672" i="3"/>
  <c r="A673" i="3"/>
  <c r="B673" i="3"/>
  <c r="A674" i="3"/>
  <c r="B674" i="3"/>
  <c r="A675" i="3"/>
  <c r="B675" i="3"/>
  <c r="A676" i="3"/>
  <c r="B676" i="3"/>
  <c r="A677" i="3"/>
  <c r="B677" i="3"/>
  <c r="A678" i="3"/>
  <c r="B678" i="3"/>
  <c r="A679" i="3"/>
  <c r="B679" i="3"/>
  <c r="A680" i="3"/>
  <c r="B680" i="3"/>
  <c r="A681" i="3"/>
  <c r="B681" i="3"/>
  <c r="A682" i="3"/>
  <c r="B682" i="3"/>
  <c r="A683" i="3"/>
  <c r="B683" i="3"/>
  <c r="A684" i="3"/>
  <c r="B684" i="3"/>
  <c r="A685" i="3"/>
  <c r="B685" i="3"/>
  <c r="A686" i="3"/>
  <c r="B686" i="3"/>
  <c r="A687" i="3"/>
  <c r="B687" i="3"/>
  <c r="A688" i="3"/>
  <c r="B688" i="3"/>
  <c r="A689" i="3"/>
  <c r="B689" i="3"/>
  <c r="A690" i="3"/>
  <c r="B690" i="3"/>
  <c r="A691" i="3"/>
  <c r="B691" i="3"/>
  <c r="A692" i="3"/>
  <c r="B692" i="3"/>
  <c r="A693" i="3"/>
  <c r="B693" i="3"/>
  <c r="A694" i="3"/>
  <c r="B694" i="3"/>
  <c r="A695" i="3"/>
  <c r="B695" i="3"/>
  <c r="A696" i="3"/>
  <c r="B696" i="3"/>
  <c r="A697" i="3"/>
  <c r="B697" i="3"/>
  <c r="A698" i="3"/>
  <c r="B698" i="3"/>
  <c r="A699" i="3"/>
  <c r="B699" i="3"/>
  <c r="A700" i="3"/>
  <c r="B700" i="3"/>
  <c r="A701" i="3"/>
  <c r="B701" i="3"/>
  <c r="A702" i="3"/>
  <c r="B702" i="3"/>
  <c r="A703" i="3"/>
  <c r="B703" i="3"/>
  <c r="A704" i="3"/>
  <c r="B704" i="3"/>
  <c r="A705" i="3"/>
  <c r="B705" i="3"/>
  <c r="A706" i="3"/>
  <c r="B706" i="3"/>
  <c r="A707" i="3"/>
  <c r="B707" i="3"/>
  <c r="A708" i="3"/>
  <c r="B708" i="3"/>
  <c r="A709" i="3"/>
  <c r="B709" i="3"/>
  <c r="A710" i="3"/>
  <c r="B710" i="3"/>
  <c r="A711" i="3"/>
  <c r="B711" i="3"/>
  <c r="A712" i="3"/>
  <c r="B712" i="3"/>
  <c r="A713" i="3"/>
  <c r="B713" i="3"/>
  <c r="A714" i="3"/>
  <c r="B714" i="3"/>
  <c r="A715" i="3"/>
  <c r="B715" i="3"/>
  <c r="A716" i="3"/>
  <c r="B716" i="3"/>
  <c r="A717" i="3"/>
  <c r="B717" i="3"/>
  <c r="A718" i="3"/>
  <c r="B718" i="3"/>
  <c r="A719" i="3"/>
  <c r="B719" i="3"/>
  <c r="A720" i="3"/>
  <c r="B720" i="3"/>
  <c r="A721" i="3"/>
  <c r="B721" i="3"/>
  <c r="A722" i="3"/>
  <c r="B722" i="3"/>
  <c r="A723" i="3"/>
  <c r="B723" i="3"/>
  <c r="A724" i="3"/>
  <c r="B724" i="3"/>
  <c r="A725" i="3"/>
  <c r="B725" i="3"/>
  <c r="A726" i="3"/>
  <c r="B726" i="3"/>
  <c r="A727" i="3"/>
  <c r="B727" i="3"/>
  <c r="A728" i="3"/>
  <c r="B728" i="3"/>
  <c r="A729" i="3"/>
  <c r="B729" i="3"/>
  <c r="A730" i="3"/>
  <c r="B730" i="3"/>
  <c r="A731" i="3"/>
  <c r="B731" i="3"/>
  <c r="A732" i="3"/>
  <c r="B732" i="3"/>
  <c r="A733" i="3"/>
  <c r="B733" i="3"/>
  <c r="A734" i="3"/>
  <c r="B734" i="3"/>
  <c r="A735" i="3"/>
  <c r="B735" i="3"/>
  <c r="A736" i="3"/>
  <c r="B736" i="3"/>
  <c r="A737" i="3"/>
  <c r="B737" i="3"/>
  <c r="A738" i="3"/>
  <c r="B738" i="3"/>
  <c r="A739" i="3"/>
  <c r="B739" i="3"/>
  <c r="A740" i="3"/>
  <c r="B740" i="3"/>
  <c r="A741" i="3"/>
  <c r="B741" i="3"/>
  <c r="A742" i="3"/>
  <c r="B742" i="3"/>
  <c r="A743" i="3"/>
  <c r="B743" i="3"/>
  <c r="A744" i="3"/>
  <c r="B744" i="3"/>
  <c r="A745" i="3"/>
  <c r="B745" i="3"/>
  <c r="A746" i="3"/>
  <c r="B746" i="3"/>
  <c r="A747" i="3"/>
  <c r="B747" i="3"/>
  <c r="A748" i="3"/>
  <c r="B748" i="3"/>
  <c r="A749" i="3"/>
  <c r="B749" i="3"/>
  <c r="A750" i="3"/>
  <c r="B750" i="3"/>
  <c r="A751" i="3"/>
  <c r="B751" i="3"/>
  <c r="A752" i="3"/>
  <c r="B752" i="3"/>
  <c r="A753" i="3"/>
  <c r="B753" i="3"/>
  <c r="A754" i="3"/>
  <c r="B754" i="3"/>
  <c r="A755" i="3"/>
  <c r="B755" i="3"/>
  <c r="A756" i="3"/>
  <c r="B756" i="3"/>
  <c r="A757" i="3"/>
  <c r="B757" i="3"/>
  <c r="A758" i="3"/>
  <c r="B758" i="3"/>
  <c r="A759" i="3"/>
  <c r="B759" i="3"/>
  <c r="A760" i="3"/>
  <c r="B760" i="3"/>
  <c r="A761" i="3"/>
  <c r="B761" i="3"/>
  <c r="A762" i="3"/>
  <c r="B762" i="3"/>
  <c r="A763" i="3"/>
  <c r="B763" i="3"/>
  <c r="A764" i="3"/>
  <c r="B764" i="3"/>
  <c r="A765" i="3"/>
  <c r="B765" i="3"/>
  <c r="A766" i="3"/>
  <c r="B766" i="3"/>
  <c r="A767" i="3"/>
  <c r="B767" i="3"/>
  <c r="A768" i="3"/>
  <c r="B768" i="3"/>
  <c r="A769" i="3"/>
  <c r="B769" i="3"/>
  <c r="A770" i="3"/>
  <c r="B770" i="3"/>
  <c r="A771" i="3"/>
  <c r="B771" i="3"/>
  <c r="A772" i="3"/>
  <c r="B772" i="3"/>
  <c r="A773" i="3"/>
  <c r="B773" i="3"/>
  <c r="A774" i="3"/>
  <c r="B774" i="3"/>
  <c r="A775" i="3"/>
  <c r="B775" i="3"/>
  <c r="A776" i="3"/>
  <c r="B776" i="3"/>
  <c r="A777" i="3"/>
  <c r="B777" i="3"/>
  <c r="A778" i="3"/>
  <c r="B778" i="3"/>
  <c r="A779" i="3"/>
  <c r="B779" i="3"/>
  <c r="A780" i="3"/>
  <c r="B780" i="3"/>
  <c r="A781" i="3"/>
  <c r="B781" i="3"/>
  <c r="A782" i="3"/>
  <c r="B782" i="3"/>
  <c r="A783" i="3"/>
  <c r="B783" i="3"/>
  <c r="A784" i="3"/>
  <c r="B784" i="3"/>
  <c r="A785" i="3"/>
  <c r="B785" i="3"/>
  <c r="A786" i="3"/>
  <c r="B786" i="3"/>
  <c r="A787" i="3"/>
  <c r="B787" i="3"/>
  <c r="A788" i="3"/>
  <c r="B788" i="3"/>
  <c r="A789" i="3"/>
  <c r="B789" i="3"/>
  <c r="A790" i="3"/>
  <c r="B790" i="3"/>
  <c r="A791" i="3"/>
  <c r="B791" i="3"/>
  <c r="A792" i="3"/>
  <c r="B792" i="3"/>
  <c r="A793" i="3"/>
  <c r="B793" i="3"/>
  <c r="A794" i="3"/>
  <c r="B794" i="3"/>
  <c r="A795" i="3"/>
  <c r="B795" i="3"/>
  <c r="A796" i="3"/>
  <c r="B796" i="3"/>
  <c r="A797" i="3"/>
  <c r="B797" i="3"/>
  <c r="A798" i="3"/>
  <c r="B798" i="3"/>
  <c r="A799" i="3"/>
  <c r="B799" i="3"/>
  <c r="A800" i="3"/>
  <c r="B800" i="3"/>
  <c r="A801" i="3"/>
  <c r="B801" i="3"/>
  <c r="A802" i="3"/>
  <c r="B802" i="3"/>
  <c r="A803" i="3"/>
  <c r="B803" i="3"/>
  <c r="A804" i="3"/>
  <c r="B804" i="3"/>
  <c r="A805" i="3"/>
  <c r="B805" i="3"/>
  <c r="A806" i="3"/>
  <c r="B806" i="3"/>
  <c r="A807" i="3"/>
  <c r="B807" i="3"/>
  <c r="A808" i="3"/>
  <c r="B808" i="3"/>
  <c r="A809" i="3"/>
  <c r="B809" i="3"/>
  <c r="A810" i="3"/>
  <c r="B810" i="3"/>
  <c r="A811" i="3"/>
  <c r="B811" i="3"/>
  <c r="A812" i="3"/>
  <c r="B812" i="3"/>
  <c r="A813" i="3"/>
  <c r="B813" i="3"/>
  <c r="A814" i="3"/>
  <c r="B814" i="3"/>
  <c r="A815" i="3"/>
  <c r="B815" i="3"/>
  <c r="A816" i="3"/>
  <c r="B816" i="3"/>
  <c r="A817" i="3"/>
  <c r="B817" i="3"/>
  <c r="A818" i="3"/>
  <c r="B818" i="3"/>
  <c r="A819" i="3"/>
  <c r="B819" i="3"/>
  <c r="A820" i="3"/>
  <c r="B820" i="3"/>
  <c r="A821" i="3"/>
  <c r="B821" i="3"/>
  <c r="A822" i="3"/>
  <c r="B822" i="3"/>
  <c r="A823" i="3"/>
  <c r="B823" i="3"/>
  <c r="A824" i="3"/>
  <c r="B824" i="3"/>
  <c r="A825" i="3"/>
  <c r="B825" i="3"/>
  <c r="A826" i="3"/>
  <c r="B826" i="3"/>
  <c r="A827" i="3"/>
  <c r="B827" i="3"/>
  <c r="A828" i="3"/>
  <c r="B828" i="3"/>
  <c r="A829" i="3"/>
  <c r="B829" i="3"/>
  <c r="A830" i="3"/>
  <c r="B830" i="3"/>
  <c r="A831" i="3"/>
  <c r="B831" i="3"/>
  <c r="A832" i="3"/>
  <c r="B832" i="3"/>
  <c r="A833" i="3"/>
  <c r="B833" i="3"/>
  <c r="A834" i="3"/>
  <c r="B834" i="3"/>
  <c r="A835" i="3"/>
  <c r="B835" i="3"/>
  <c r="A836" i="3"/>
  <c r="B836" i="3"/>
  <c r="A837" i="3"/>
  <c r="B837" i="3"/>
  <c r="A838" i="3"/>
  <c r="B838" i="3"/>
  <c r="A839" i="3"/>
  <c r="B839" i="3"/>
  <c r="A840" i="3"/>
  <c r="B840" i="3"/>
  <c r="A841" i="3"/>
  <c r="B841" i="3"/>
  <c r="A842" i="3"/>
  <c r="B842" i="3"/>
  <c r="A843" i="3"/>
  <c r="B843" i="3"/>
  <c r="A844" i="3"/>
  <c r="B844" i="3"/>
  <c r="A845" i="3"/>
  <c r="B845" i="3"/>
  <c r="A846" i="3"/>
  <c r="B846" i="3"/>
  <c r="A847" i="3"/>
  <c r="B847" i="3"/>
  <c r="A848" i="3"/>
  <c r="B848" i="3"/>
  <c r="A849" i="3"/>
  <c r="B849" i="3"/>
  <c r="A850" i="3"/>
  <c r="B850" i="3"/>
  <c r="A851" i="3"/>
  <c r="B851" i="3"/>
  <c r="A852" i="3"/>
  <c r="B852" i="3"/>
  <c r="A853" i="3"/>
  <c r="B853" i="3"/>
  <c r="A854" i="3"/>
  <c r="B854" i="3"/>
  <c r="A855" i="3"/>
  <c r="B855" i="3"/>
  <c r="A856" i="3"/>
  <c r="B856" i="3"/>
  <c r="A857" i="3"/>
  <c r="B857" i="3"/>
  <c r="A858" i="3"/>
  <c r="B858" i="3"/>
  <c r="A859" i="3"/>
  <c r="B859" i="3"/>
  <c r="A860" i="3"/>
  <c r="B860" i="3"/>
  <c r="A861" i="3"/>
  <c r="B861" i="3"/>
  <c r="A862" i="3"/>
  <c r="B862" i="3"/>
  <c r="A863" i="3"/>
  <c r="B863" i="3"/>
  <c r="A864" i="3"/>
  <c r="B864" i="3"/>
  <c r="A865" i="3"/>
  <c r="B865" i="3"/>
  <c r="A866" i="3"/>
  <c r="B866" i="3"/>
  <c r="A867" i="3"/>
  <c r="B867" i="3"/>
  <c r="A868" i="3"/>
  <c r="B868" i="3"/>
  <c r="A869" i="3"/>
  <c r="B869" i="3"/>
  <c r="A870" i="3"/>
  <c r="B870" i="3"/>
  <c r="A871" i="3"/>
  <c r="B871" i="3"/>
  <c r="A872" i="3"/>
  <c r="B872" i="3"/>
  <c r="A873" i="3"/>
  <c r="B873" i="3"/>
  <c r="A874" i="3"/>
  <c r="B874" i="3"/>
  <c r="A875" i="3"/>
  <c r="B875" i="3"/>
  <c r="A876" i="3"/>
  <c r="B876" i="3"/>
  <c r="A877" i="3"/>
  <c r="B877" i="3"/>
  <c r="A878" i="3"/>
  <c r="B878" i="3"/>
  <c r="A879" i="3"/>
  <c r="B879" i="3"/>
  <c r="A880" i="3"/>
  <c r="B880" i="3"/>
  <c r="A881" i="3"/>
  <c r="B881" i="3"/>
  <c r="A882" i="3"/>
  <c r="B882" i="3"/>
  <c r="A883" i="3"/>
  <c r="B883" i="3"/>
  <c r="A884" i="3"/>
  <c r="B884" i="3"/>
  <c r="A885" i="3"/>
  <c r="B885" i="3"/>
  <c r="A886" i="3"/>
  <c r="B886" i="3"/>
  <c r="A887" i="3"/>
  <c r="B887" i="3"/>
  <c r="A888" i="3"/>
  <c r="B888" i="3"/>
  <c r="A889" i="3"/>
  <c r="B889" i="3"/>
  <c r="A890" i="3"/>
  <c r="B890" i="3"/>
  <c r="A891" i="3"/>
  <c r="B891" i="3"/>
  <c r="A892" i="3"/>
  <c r="B892" i="3"/>
  <c r="A893" i="3"/>
  <c r="B893" i="3"/>
  <c r="A894" i="3"/>
  <c r="B894" i="3"/>
  <c r="A895" i="3"/>
  <c r="B895" i="3"/>
  <c r="A896" i="3"/>
  <c r="B896" i="3"/>
  <c r="A897" i="3"/>
  <c r="B897" i="3"/>
  <c r="A898" i="3"/>
  <c r="B898" i="3"/>
  <c r="A899" i="3"/>
  <c r="B899" i="3"/>
  <c r="A900" i="3"/>
  <c r="B900" i="3"/>
  <c r="A901" i="3"/>
  <c r="B901" i="3"/>
  <c r="A902" i="3"/>
  <c r="B902" i="3"/>
  <c r="A903" i="3"/>
  <c r="B903" i="3"/>
  <c r="A904" i="3"/>
  <c r="B904" i="3"/>
  <c r="A905" i="3"/>
  <c r="B905" i="3"/>
  <c r="A906" i="3"/>
  <c r="B906" i="3"/>
  <c r="A907" i="3"/>
  <c r="B907" i="3"/>
  <c r="A908" i="3"/>
  <c r="B908" i="3"/>
  <c r="A909" i="3"/>
  <c r="B909" i="3"/>
  <c r="A910" i="3"/>
  <c r="B910" i="3"/>
  <c r="A911" i="3"/>
  <c r="B911" i="3"/>
  <c r="A912" i="3"/>
  <c r="B912" i="3"/>
  <c r="A913" i="3"/>
  <c r="B913" i="3"/>
  <c r="A914" i="3"/>
  <c r="B914" i="3"/>
  <c r="A915" i="3"/>
  <c r="B915" i="3"/>
  <c r="A916" i="3"/>
  <c r="B916" i="3"/>
  <c r="A917" i="3"/>
  <c r="B917" i="3"/>
  <c r="A918" i="3"/>
  <c r="B918" i="3"/>
  <c r="A919" i="3"/>
  <c r="B919" i="3"/>
  <c r="A920" i="3"/>
  <c r="B920" i="3"/>
  <c r="A921" i="3"/>
  <c r="B921" i="3"/>
  <c r="A922" i="3"/>
  <c r="B922" i="3"/>
  <c r="A923" i="3"/>
  <c r="B923" i="3"/>
  <c r="A924" i="3"/>
  <c r="B924" i="3"/>
  <c r="A925" i="3"/>
  <c r="B925" i="3"/>
  <c r="A926" i="3"/>
  <c r="B926" i="3"/>
  <c r="A927" i="3"/>
  <c r="B927" i="3"/>
  <c r="A928" i="3"/>
  <c r="B928" i="3"/>
  <c r="A929" i="3"/>
  <c r="B929" i="3"/>
  <c r="A930" i="3"/>
  <c r="B930" i="3"/>
  <c r="A931" i="3"/>
  <c r="B931" i="3"/>
  <c r="A932" i="3"/>
  <c r="B932" i="3"/>
  <c r="A933" i="3"/>
  <c r="B933" i="3"/>
  <c r="A934" i="3"/>
  <c r="B934" i="3"/>
  <c r="A935" i="3"/>
  <c r="B935" i="3"/>
  <c r="A936" i="3"/>
  <c r="B936" i="3"/>
  <c r="A937" i="3"/>
  <c r="B937" i="3"/>
  <c r="A938" i="3"/>
  <c r="B938" i="3"/>
  <c r="A939" i="3"/>
  <c r="B939" i="3"/>
  <c r="A940" i="3"/>
  <c r="B940" i="3"/>
  <c r="A941" i="3"/>
  <c r="B941" i="3"/>
  <c r="A942" i="3"/>
  <c r="B942" i="3"/>
  <c r="A943" i="3"/>
  <c r="B943" i="3"/>
  <c r="A944" i="3"/>
  <c r="B944" i="3"/>
  <c r="A945" i="3"/>
  <c r="B945" i="3"/>
  <c r="A946" i="3"/>
  <c r="B946" i="3"/>
  <c r="A947" i="3"/>
  <c r="B947" i="3"/>
  <c r="A948" i="3"/>
  <c r="B948" i="3"/>
  <c r="A949" i="3"/>
  <c r="B949" i="3"/>
  <c r="A950" i="3"/>
  <c r="B950" i="3"/>
  <c r="A951" i="3"/>
  <c r="B951" i="3"/>
  <c r="A952" i="3"/>
  <c r="B952" i="3"/>
  <c r="A953" i="3"/>
  <c r="B953" i="3"/>
  <c r="A954" i="3"/>
  <c r="B954" i="3"/>
  <c r="A955" i="3"/>
  <c r="B955" i="3"/>
  <c r="A956" i="3"/>
  <c r="B956" i="3"/>
  <c r="A957" i="3"/>
  <c r="B957" i="3"/>
  <c r="A958" i="3"/>
  <c r="B958" i="3"/>
  <c r="A959" i="3"/>
  <c r="B959" i="3"/>
  <c r="A960" i="3"/>
  <c r="B960" i="3"/>
  <c r="A961" i="3"/>
  <c r="B961" i="3"/>
  <c r="A962" i="3"/>
  <c r="B962" i="3"/>
  <c r="A963" i="3"/>
  <c r="B963" i="3"/>
  <c r="A964" i="3"/>
  <c r="B964" i="3"/>
  <c r="A965" i="3"/>
  <c r="B965" i="3"/>
  <c r="A966" i="3"/>
  <c r="B966" i="3"/>
  <c r="A967" i="3"/>
  <c r="B967" i="3"/>
  <c r="A968" i="3"/>
  <c r="B968" i="3"/>
  <c r="A969" i="3"/>
  <c r="B969" i="3"/>
  <c r="A970" i="3"/>
  <c r="B970" i="3"/>
  <c r="A971" i="3"/>
  <c r="B971" i="3"/>
  <c r="A972" i="3"/>
  <c r="B972" i="3"/>
  <c r="A973" i="3"/>
  <c r="B973" i="3"/>
  <c r="A974" i="3"/>
  <c r="B974" i="3"/>
  <c r="A975" i="3"/>
  <c r="B975" i="3"/>
  <c r="A976" i="3"/>
  <c r="B976" i="3"/>
  <c r="A977" i="3"/>
  <c r="B977" i="3"/>
  <c r="A978" i="3"/>
  <c r="B978" i="3"/>
  <c r="A979" i="3"/>
  <c r="B979" i="3"/>
  <c r="A980" i="3"/>
  <c r="B980" i="3"/>
  <c r="A981" i="3"/>
  <c r="B981" i="3"/>
  <c r="A982" i="3"/>
  <c r="B982" i="3"/>
  <c r="A983" i="3"/>
  <c r="B983" i="3"/>
  <c r="A984" i="3"/>
  <c r="B984" i="3"/>
  <c r="A985" i="3"/>
  <c r="B985" i="3"/>
  <c r="A986" i="3"/>
  <c r="B986" i="3"/>
  <c r="A987" i="3"/>
  <c r="B987" i="3"/>
  <c r="A988" i="3"/>
  <c r="B988" i="3"/>
  <c r="A989" i="3"/>
  <c r="B989" i="3"/>
  <c r="A990" i="3"/>
  <c r="B990" i="3"/>
  <c r="A991" i="3"/>
  <c r="B991" i="3"/>
  <c r="A992" i="3"/>
  <c r="B992" i="3"/>
  <c r="A993" i="3"/>
  <c r="B993" i="3"/>
  <c r="A994" i="3"/>
  <c r="B994" i="3"/>
  <c r="A995" i="3"/>
  <c r="B995" i="3"/>
  <c r="A996" i="3"/>
  <c r="B996" i="3"/>
  <c r="A997" i="3"/>
  <c r="B997" i="3"/>
  <c r="A998" i="3"/>
  <c r="B998" i="3"/>
  <c r="A999" i="3"/>
  <c r="B999" i="3"/>
  <c r="A1000" i="3"/>
  <c r="B1000" i="3"/>
  <c r="A1001" i="3"/>
  <c r="B1001" i="3"/>
  <c r="A1002" i="3"/>
  <c r="B1002" i="3"/>
  <c r="A1003" i="3"/>
  <c r="B1003" i="3"/>
  <c r="A1004" i="3"/>
  <c r="B1004" i="3"/>
  <c r="A1005" i="3"/>
  <c r="B1005" i="3"/>
  <c r="A1006" i="3"/>
  <c r="B1006" i="3"/>
  <c r="A1007" i="3"/>
  <c r="B1007" i="3"/>
  <c r="B2" i="3"/>
  <c r="A2" i="3"/>
  <c r="T3" i="24"/>
  <c r="T4" i="24"/>
  <c r="T5" i="24"/>
  <c r="T6" i="24"/>
  <c r="T7" i="24"/>
  <c r="T8" i="24"/>
  <c r="T9" i="24"/>
  <c r="T10" i="24"/>
  <c r="T11" i="24"/>
  <c r="S4" i="24"/>
  <c r="S5" i="24"/>
  <c r="S6" i="24"/>
  <c r="S7" i="24"/>
  <c r="S8" i="24"/>
  <c r="S9" i="24"/>
  <c r="S10" i="24"/>
  <c r="S11" i="24"/>
  <c r="R3" i="24"/>
  <c r="R4" i="24"/>
  <c r="R5" i="24"/>
  <c r="R6" i="24"/>
  <c r="R7" i="24"/>
  <c r="R8" i="24"/>
  <c r="R9" i="24"/>
  <c r="R10" i="24"/>
  <c r="R11" i="24"/>
  <c r="R2" i="24"/>
  <c r="M17" i="24" l="1"/>
  <c r="M16" i="24"/>
  <c r="M10" i="24"/>
  <c r="M9" i="24"/>
  <c r="M11" i="24" l="1"/>
  <c r="M13" i="24" s="1"/>
  <c r="M18" i="24"/>
  <c r="M19" i="24" s="1"/>
  <c r="M6" i="24"/>
  <c r="M12" i="24" l="1"/>
  <c r="M20" i="24"/>
  <c r="U37" i="15"/>
  <c r="U33" i="15"/>
  <c r="U34" i="15"/>
  <c r="U35" i="15"/>
  <c r="U36" i="15"/>
  <c r="U32" i="15"/>
  <c r="U27" i="15"/>
  <c r="U28" i="15"/>
  <c r="U29" i="15"/>
  <c r="U30" i="15"/>
  <c r="U31" i="15"/>
  <c r="U26" i="15"/>
  <c r="U21" i="15"/>
  <c r="U22" i="15"/>
  <c r="U23" i="15"/>
  <c r="U24" i="15"/>
  <c r="U25" i="15"/>
  <c r="U20" i="15"/>
  <c r="U16" i="15"/>
  <c r="U17" i="15"/>
  <c r="U18" i="15"/>
  <c r="U19" i="15"/>
  <c r="U14" i="15"/>
  <c r="U13" i="15"/>
  <c r="U12" i="15"/>
  <c r="U9" i="15"/>
  <c r="U10" i="15"/>
  <c r="U11" i="15"/>
  <c r="U8" i="15"/>
  <c r="U7" i="15"/>
  <c r="U3" i="15"/>
  <c r="U4" i="15"/>
  <c r="U5" i="15"/>
  <c r="U6" i="15"/>
  <c r="U2" i="15"/>
  <c r="U38" i="15" l="1"/>
  <c r="S19" i="16" l="1"/>
  <c r="V21" i="16"/>
  <c r="V20" i="16"/>
  <c r="V22" i="16"/>
  <c r="V23" i="16"/>
  <c r="V24" i="16"/>
  <c r="V25" i="16"/>
  <c r="V26" i="16"/>
  <c r="V27" i="16"/>
  <c r="V28" i="16"/>
  <c r="V29" i="16"/>
  <c r="V30" i="16"/>
  <c r="V31" i="16" l="1" a="1"/>
  <c r="V31" i="16" s="1"/>
  <c r="T4" i="16"/>
  <c r="S20" i="16" s="1"/>
  <c r="H4" i="20"/>
  <c r="H5" i="20"/>
  <c r="H6" i="20"/>
  <c r="H7" i="20"/>
  <c r="H8" i="20"/>
  <c r="H9" i="20"/>
  <c r="H10" i="20"/>
  <c r="H11" i="20"/>
  <c r="H12" i="20"/>
  <c r="H13" i="20"/>
  <c r="H14" i="20"/>
  <c r="H3" i="20"/>
  <c r="G4" i="20"/>
  <c r="G5" i="20"/>
  <c r="G6" i="20"/>
  <c r="G7" i="20"/>
  <c r="G8" i="20"/>
  <c r="G9" i="20"/>
  <c r="G10" i="20"/>
  <c r="G11" i="20"/>
  <c r="G12" i="20"/>
  <c r="G13" i="20"/>
  <c r="G14" i="20"/>
  <c r="G3" i="20"/>
  <c r="K3" i="20" l="1"/>
  <c r="I3" i="20" s="1" a="1"/>
  <c r="I3" i="20" s="1"/>
  <c r="T33" i="16"/>
  <c r="V33" i="16"/>
  <c r="T34" i="16"/>
  <c r="C12" i="15"/>
  <c r="D12" i="15"/>
  <c r="E12" i="15"/>
  <c r="F12" i="15"/>
  <c r="G12" i="15"/>
  <c r="C13" i="15"/>
  <c r="D13" i="15"/>
  <c r="E13" i="15"/>
  <c r="F13" i="15"/>
  <c r="G13" i="15"/>
  <c r="C14" i="15"/>
  <c r="D14" i="15"/>
  <c r="E14" i="15"/>
  <c r="F14" i="15"/>
  <c r="G14" i="15"/>
  <c r="C15" i="15"/>
  <c r="D15" i="15"/>
  <c r="E15" i="15"/>
  <c r="F15" i="15"/>
  <c r="G15" i="15"/>
  <c r="C16" i="15"/>
  <c r="D16" i="15"/>
  <c r="E16" i="15"/>
  <c r="F16" i="15"/>
  <c r="G16" i="15"/>
  <c r="C17" i="15"/>
  <c r="D17" i="15"/>
  <c r="E17" i="15"/>
  <c r="F17" i="15"/>
  <c r="G17" i="15"/>
  <c r="B17" i="15"/>
  <c r="B16" i="15"/>
  <c r="B15" i="15"/>
  <c r="B14" i="15"/>
  <c r="B13" i="15"/>
  <c r="B12" i="15"/>
  <c r="I13" i="20" l="1" a="1"/>
  <c r="I13" i="20" s="1"/>
  <c r="J13" i="20" s="1"/>
  <c r="V4" i="15"/>
  <c r="V5" i="15"/>
  <c r="V2" i="15"/>
  <c r="V6" i="15"/>
  <c r="V19" i="15"/>
  <c r="V34" i="15"/>
  <c r="V20" i="15"/>
  <c r="V13" i="15"/>
  <c r="V28" i="15"/>
  <c r="V14" i="15"/>
  <c r="V3" i="15"/>
  <c r="V24" i="15"/>
  <c r="V10" i="15"/>
  <c r="V18" i="15"/>
  <c r="V33" i="15"/>
  <c r="V31" i="15"/>
  <c r="V36" i="15"/>
  <c r="V12" i="15"/>
  <c r="V17" i="15"/>
  <c r="V22" i="15"/>
  <c r="V27" i="15"/>
  <c r="V32" i="15"/>
  <c r="V8" i="15"/>
  <c r="V7" i="15"/>
  <c r="V29" i="15"/>
  <c r="V15" i="15"/>
  <c r="V37" i="15"/>
  <c r="V23" i="15"/>
  <c r="V9" i="15"/>
  <c r="V25" i="15"/>
  <c r="V30" i="15"/>
  <c r="V35" i="15"/>
  <c r="V11" i="15"/>
  <c r="V16" i="15"/>
  <c r="V21" i="15"/>
  <c r="V26" i="15"/>
  <c r="I10" i="20" a="1"/>
  <c r="I10" i="20" s="1"/>
  <c r="J10" i="20" s="1"/>
  <c r="I5" i="20" a="1"/>
  <c r="I5" i="20" s="1"/>
  <c r="J5" i="20" s="1"/>
  <c r="I6" i="20" a="1"/>
  <c r="I6" i="20" s="1"/>
  <c r="J6" i="20" s="1"/>
  <c r="I4" i="20" a="1"/>
  <c r="I4" i="20" s="1"/>
  <c r="J4" i="20" s="1"/>
  <c r="I14" i="20" a="1"/>
  <c r="I14" i="20" s="1"/>
  <c r="J14" i="20" s="1"/>
  <c r="I7" i="20" a="1"/>
  <c r="I7" i="20" s="1"/>
  <c r="J7" i="20" s="1"/>
  <c r="I8" i="20" a="1"/>
  <c r="I8" i="20" s="1"/>
  <c r="J8" i="20" s="1"/>
  <c r="I9" i="20" a="1"/>
  <c r="I9" i="20" s="1"/>
  <c r="J9" i="20" s="1"/>
  <c r="I11" i="20" a="1"/>
  <c r="I11" i="20" s="1"/>
  <c r="J11" i="20" s="1"/>
  <c r="I12" i="20" a="1"/>
  <c r="I12" i="20" s="1"/>
  <c r="H12" i="15"/>
  <c r="H14" i="15"/>
  <c r="H15" i="15"/>
  <c r="H17" i="15"/>
  <c r="H13" i="15"/>
  <c r="H16" i="15"/>
  <c r="T2" i="15" l="1"/>
  <c r="T21" i="15"/>
  <c r="T11" i="15"/>
  <c r="T9" i="15"/>
  <c r="T27" i="15"/>
  <c r="T10" i="15"/>
  <c r="T28" i="15"/>
  <c r="T26" i="15"/>
  <c r="T35" i="15"/>
  <c r="T23" i="15"/>
  <c r="T7" i="15"/>
  <c r="T22" i="15"/>
  <c r="T31" i="15"/>
  <c r="T24" i="15"/>
  <c r="T13" i="15"/>
  <c r="T37" i="15"/>
  <c r="T17" i="15"/>
  <c r="T20" i="15"/>
  <c r="T5" i="15"/>
  <c r="T30" i="15"/>
  <c r="T8" i="15"/>
  <c r="T33" i="15"/>
  <c r="T3" i="15"/>
  <c r="T6" i="15"/>
  <c r="T16" i="15"/>
  <c r="T25" i="15"/>
  <c r="T15" i="15"/>
  <c r="T32" i="15"/>
  <c r="T12" i="15"/>
  <c r="T18" i="15"/>
  <c r="T14" i="15"/>
  <c r="T34" i="15"/>
  <c r="T29" i="15"/>
  <c r="T36" i="15"/>
  <c r="T19" i="15"/>
  <c r="T4" i="15"/>
  <c r="H19" i="13"/>
  <c r="H20" i="13"/>
  <c r="H21" i="13"/>
  <c r="H22" i="13"/>
  <c r="H23" i="13"/>
  <c r="H24" i="13"/>
  <c r="H25" i="13"/>
  <c r="H26" i="13"/>
  <c r="H27" i="13"/>
  <c r="H28" i="13"/>
  <c r="H29" i="13"/>
  <c r="H18" i="13"/>
  <c r="C19" i="13"/>
  <c r="C20" i="13"/>
  <c r="C21" i="13"/>
  <c r="C22" i="13"/>
  <c r="C23" i="13"/>
  <c r="C24" i="13"/>
  <c r="C25" i="13"/>
  <c r="C26" i="13"/>
  <c r="C27" i="13"/>
  <c r="C28" i="13"/>
  <c r="C29" i="13"/>
  <c r="C18" i="13"/>
  <c r="AA11" i="15" l="1"/>
  <c r="AA3" i="15"/>
  <c r="Y8" i="15"/>
  <c r="Y10" i="15"/>
  <c r="Y12" i="15"/>
  <c r="AA12" i="15"/>
  <c r="Z8" i="15"/>
  <c r="J62" i="5" s="1"/>
  <c r="Z10" i="15"/>
  <c r="Z12" i="15"/>
  <c r="J66" i="5" s="1"/>
  <c r="Z11" i="15"/>
  <c r="AA9" i="15"/>
  <c r="Y9" i="15"/>
  <c r="Y11" i="15"/>
  <c r="Z9" i="15"/>
  <c r="AA8" i="15"/>
  <c r="AA10" i="15"/>
  <c r="AA5" i="15"/>
  <c r="AA4" i="15"/>
  <c r="Y3" i="15"/>
  <c r="AA6" i="15"/>
  <c r="AA7" i="15"/>
  <c r="Y6" i="15"/>
  <c r="Z7" i="15"/>
  <c r="Y4" i="15"/>
  <c r="Z6" i="15"/>
  <c r="Y7" i="15"/>
  <c r="Y5" i="15"/>
  <c r="Z4" i="15"/>
  <c r="Z3" i="15"/>
  <c r="Z5" i="15"/>
  <c r="E18" i="13"/>
  <c r="E22" i="13"/>
  <c r="E25" i="13"/>
  <c r="E28" i="13"/>
  <c r="E26" i="13"/>
  <c r="E29" i="13"/>
  <c r="E21" i="13"/>
  <c r="E27" i="13"/>
  <c r="E23" i="13"/>
  <c r="E19" i="13"/>
  <c r="E30" i="13"/>
  <c r="E24" i="13"/>
  <c r="E20" i="13"/>
  <c r="D30" i="13"/>
  <c r="D18" i="13"/>
  <c r="J7" i="5"/>
  <c r="J3" i="5"/>
  <c r="K16" i="16"/>
  <c r="K17" i="16"/>
  <c r="K18" i="16"/>
  <c r="K19" i="16"/>
  <c r="K20" i="16"/>
  <c r="K21" i="16"/>
  <c r="K15" i="16"/>
  <c r="J58" i="5" l="1"/>
  <c r="J64" i="5"/>
  <c r="J57" i="5"/>
  <c r="J60" i="5"/>
  <c r="J61" i="5"/>
  <c r="J63" i="5"/>
  <c r="J65" i="5"/>
  <c r="J59" i="5"/>
  <c r="L17" i="16"/>
  <c r="L18" i="16"/>
  <c r="L16" i="16"/>
  <c r="L20" i="16"/>
  <c r="L15" i="16"/>
  <c r="L19" i="16"/>
  <c r="L21" i="16"/>
  <c r="T5" i="16"/>
  <c r="S21" i="16" s="1"/>
  <c r="T6" i="16"/>
  <c r="T7" i="16"/>
  <c r="T8" i="16"/>
  <c r="T9" i="16"/>
  <c r="T10" i="16"/>
  <c r="T11" i="16"/>
  <c r="T12" i="16"/>
  <c r="T13" i="16"/>
  <c r="T14" i="16"/>
  <c r="H6" i="16"/>
  <c r="H5" i="16"/>
  <c r="O21" i="16"/>
  <c r="O22" i="16"/>
  <c r="O23" i="16"/>
  <c r="O24" i="16"/>
  <c r="O25" i="16"/>
  <c r="O26" i="16"/>
  <c r="O27" i="16"/>
  <c r="O28" i="16"/>
  <c r="O29" i="16"/>
  <c r="O30" i="16"/>
  <c r="O31" i="16"/>
  <c r="O20" i="16"/>
  <c r="H13" i="16"/>
  <c r="H15" i="16"/>
  <c r="H14" i="16"/>
  <c r="H12" i="16"/>
  <c r="H11" i="16"/>
  <c r="H10" i="16"/>
  <c r="H9" i="16"/>
  <c r="H8" i="16"/>
  <c r="H7" i="16"/>
  <c r="S22" i="16" l="1"/>
  <c r="S25" i="16"/>
  <c r="S24" i="16"/>
  <c r="S28" i="16"/>
  <c r="S29" i="16"/>
  <c r="S27" i="16"/>
  <c r="S23" i="16"/>
  <c r="S30" i="16"/>
  <c r="S26" i="16"/>
  <c r="L22" i="16" a="1"/>
  <c r="L22" i="16" s="1"/>
  <c r="L24" i="16" s="1"/>
  <c r="L25" i="16" s="1"/>
  <c r="H20" i="16"/>
  <c r="H22" i="16" s="1"/>
  <c r="H24" i="16" s="1"/>
  <c r="P3" i="5" s="1"/>
  <c r="P20" i="16"/>
  <c r="P31" i="16"/>
  <c r="P28" i="16"/>
  <c r="P24" i="16"/>
  <c r="P27" i="16"/>
  <c r="P23" i="16"/>
  <c r="P30" i="16"/>
  <c r="P26" i="16"/>
  <c r="P22" i="16"/>
  <c r="P29" i="16"/>
  <c r="P25" i="16"/>
  <c r="P21" i="16"/>
  <c r="T19" i="16" l="1"/>
  <c r="T26" i="16"/>
  <c r="T25" i="16"/>
  <c r="T27" i="16"/>
  <c r="T28" i="16"/>
  <c r="T30" i="16"/>
  <c r="T21" i="16"/>
  <c r="T23" i="16"/>
  <c r="T29" i="16"/>
  <c r="T22" i="16"/>
  <c r="T20" i="16"/>
  <c r="T24" i="16"/>
  <c r="P32" i="16" a="1"/>
  <c r="P32" i="16" s="1"/>
  <c r="P34" i="16" s="1"/>
  <c r="J18" i="13"/>
  <c r="I18" i="13"/>
  <c r="J29" i="13"/>
  <c r="I29" i="13"/>
  <c r="J28" i="13"/>
  <c r="I28" i="13"/>
  <c r="J26" i="13"/>
  <c r="I26" i="13"/>
  <c r="J22" i="13"/>
  <c r="I22" i="13"/>
  <c r="J21" i="13"/>
  <c r="I21" i="13"/>
  <c r="J20" i="13"/>
  <c r="I20" i="13"/>
  <c r="J25" i="13"/>
  <c r="I25" i="13"/>
  <c r="J24" i="13"/>
  <c r="I24" i="13"/>
  <c r="J27" i="13"/>
  <c r="I27" i="13"/>
  <c r="J23" i="13"/>
  <c r="I23" i="13"/>
  <c r="J19" i="13"/>
  <c r="I19" i="13"/>
  <c r="D26" i="13"/>
  <c r="D22" i="13"/>
  <c r="D29" i="13"/>
  <c r="D25" i="13"/>
  <c r="D21" i="13"/>
  <c r="D24" i="13"/>
  <c r="D20" i="13"/>
  <c r="D28" i="13"/>
  <c r="D27" i="13"/>
  <c r="D23" i="13"/>
  <c r="D19" i="13"/>
  <c r="P35" i="16" l="1"/>
  <c r="P7" i="5" s="1"/>
  <c r="T31" i="16" a="1"/>
  <c r="T31" i="16" s="1"/>
</calcChain>
</file>

<file path=xl/sharedStrings.xml><?xml version="1.0" encoding="utf-8"?>
<sst xmlns="http://schemas.openxmlformats.org/spreadsheetml/2006/main" count="12738" uniqueCount="1167">
  <si>
    <t>Sale_ID</t>
  </si>
  <si>
    <t>Date</t>
  </si>
  <si>
    <t>Brand</t>
  </si>
  <si>
    <t>Shoe_Type</t>
  </si>
  <si>
    <t>Color</t>
  </si>
  <si>
    <t>Country</t>
  </si>
  <si>
    <t>Sales_Channel</t>
  </si>
  <si>
    <t>Price_USD</t>
  </si>
  <si>
    <t>Units_Sold</t>
  </si>
  <si>
    <t>Revenue_USD</t>
  </si>
  <si>
    <t>S1</t>
  </si>
  <si>
    <t>Nike</t>
  </si>
  <si>
    <t>Boots</t>
  </si>
  <si>
    <t>Blue</t>
  </si>
  <si>
    <t>UK</t>
  </si>
  <si>
    <t>Online</t>
  </si>
  <si>
    <t>S2</t>
  </si>
  <si>
    <t>Skechers</t>
  </si>
  <si>
    <t>Grey</t>
  </si>
  <si>
    <t>USA</t>
  </si>
  <si>
    <t>Mall</t>
  </si>
  <si>
    <t>S3</t>
  </si>
  <si>
    <t>Running</t>
  </si>
  <si>
    <t>White</t>
  </si>
  <si>
    <t>S4</t>
  </si>
  <si>
    <t>New Balance</t>
  </si>
  <si>
    <t>Casual</t>
  </si>
  <si>
    <t>Green</t>
  </si>
  <si>
    <t>UAE</t>
  </si>
  <si>
    <t>S5</t>
  </si>
  <si>
    <t>Adidas</t>
  </si>
  <si>
    <t>Formal</t>
  </si>
  <si>
    <t>France</t>
  </si>
  <si>
    <t>S6</t>
  </si>
  <si>
    <t>Puma</t>
  </si>
  <si>
    <t>Sports</t>
  </si>
  <si>
    <t>Retail Store</t>
  </si>
  <si>
    <t>S7</t>
  </si>
  <si>
    <t>Reebok</t>
  </si>
  <si>
    <t>Saudi Arabia</t>
  </si>
  <si>
    <t>S8</t>
  </si>
  <si>
    <t>Red</t>
  </si>
  <si>
    <t>India</t>
  </si>
  <si>
    <t>S9</t>
  </si>
  <si>
    <t>S10</t>
  </si>
  <si>
    <t>Black</t>
  </si>
  <si>
    <t>S11</t>
  </si>
  <si>
    <t>S12</t>
  </si>
  <si>
    <t>S13</t>
  </si>
  <si>
    <t>S14</t>
  </si>
  <si>
    <t>S15</t>
  </si>
  <si>
    <t>S16</t>
  </si>
  <si>
    <t>S17</t>
  </si>
  <si>
    <t>S18</t>
  </si>
  <si>
    <t>S19</t>
  </si>
  <si>
    <t>Sneakers</t>
  </si>
  <si>
    <t>S20</t>
  </si>
  <si>
    <t>S21</t>
  </si>
  <si>
    <t>S22</t>
  </si>
  <si>
    <t>S23</t>
  </si>
  <si>
    <t>S24</t>
  </si>
  <si>
    <t>Germany</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</si>
  <si>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</si>
  <si>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</si>
  <si>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</si>
  <si>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</si>
  <si>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</si>
  <si>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</si>
  <si>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</si>
  <si>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</si>
  <si>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</si>
  <si>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</si>
  <si>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</si>
  <si>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</si>
  <si>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</si>
  <si>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</si>
  <si>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</si>
  <si>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</si>
  <si>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</si>
  <si>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</si>
  <si>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</si>
  <si>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</si>
  <si>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</si>
  <si>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</si>
  <si>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</si>
  <si>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</si>
  <si>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</si>
  <si>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</si>
  <si>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</si>
  <si>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</si>
  <si>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</si>
  <si>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</si>
  <si>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</si>
  <si>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</si>
  <si>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</si>
  <si>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</si>
  <si>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</si>
  <si>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</si>
  <si>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</si>
  <si>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</si>
  <si>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</si>
  <si>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</si>
  <si>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S65</t>
  </si>
  <si>
    <t>S66</t>
  </si>
  <si>
    <t>S67</t>
  </si>
  <si>
    <t>S68</t>
  </si>
  <si>
    <t>S69</t>
  </si>
  <si>
    <t>S70</t>
  </si>
  <si>
    <t>S71</t>
  </si>
  <si>
    <t>S72</t>
  </si>
  <si>
    <t>S73</t>
  </si>
  <si>
    <t>S74</t>
  </si>
  <si>
    <t>S75</t>
  </si>
  <si>
    <t>S76</t>
  </si>
  <si>
    <t>S77</t>
  </si>
  <si>
    <t>S78</t>
  </si>
  <si>
    <t>S79</t>
  </si>
  <si>
    <t>S80</t>
  </si>
  <si>
    <t>S81</t>
  </si>
  <si>
    <t>S82</t>
  </si>
  <si>
    <t>S83</t>
  </si>
  <si>
    <t>S84</t>
  </si>
  <si>
    <t>S85</t>
  </si>
  <si>
    <t>S86</t>
  </si>
  <si>
    <t>S87</t>
  </si>
  <si>
    <t>S88</t>
  </si>
  <si>
    <t>S89</t>
  </si>
  <si>
    <t>S90</t>
  </si>
  <si>
    <t>S91</t>
  </si>
  <si>
    <t>S92</t>
  </si>
  <si>
    <t>S93</t>
  </si>
  <si>
    <t>S94</t>
  </si>
  <si>
    <t>S95</t>
  </si>
  <si>
    <t>S96</t>
  </si>
  <si>
    <t>S97</t>
  </si>
  <si>
    <t>S98</t>
  </si>
  <si>
    <t>S99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</si>
  <si>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</si>
  <si>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</si>
  <si>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</si>
  <si>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</si>
  <si>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</si>
  <si>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</si>
  <si>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</si>
  <si>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</si>
  <si>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</si>
  <si>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</si>
  <si>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</si>
  <si>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</si>
  <si>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</si>
  <si>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</si>
  <si>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</si>
  <si>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</si>
  <si>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</si>
  <si>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</si>
  <si>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</si>
  <si>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</si>
  <si>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</si>
  <si>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S121</t>
  </si>
  <si>
    <t>S122</t>
  </si>
  <si>
    <t>S123</t>
  </si>
  <si>
    <t>S124</t>
  </si>
  <si>
    <t>S125</t>
  </si>
  <si>
    <t>S126</t>
  </si>
  <si>
    <t>S127</t>
  </si>
  <si>
    <t>S128</t>
  </si>
  <si>
    <t>S129</t>
  </si>
  <si>
    <t>S130</t>
  </si>
  <si>
    <t>S131</t>
  </si>
  <si>
    <t>S132</t>
  </si>
  <si>
    <t>S133</t>
  </si>
  <si>
    <t>S134</t>
  </si>
  <si>
    <t>S135</t>
  </si>
  <si>
    <t>S136</t>
  </si>
  <si>
    <t>S137</t>
  </si>
  <si>
    <t>S138</t>
  </si>
  <si>
    <t>S139</t>
  </si>
  <si>
    <t>S140</t>
  </si>
  <si>
    <t>S141</t>
  </si>
  <si>
    <t>S142</t>
  </si>
  <si>
    <t>S143</t>
  </si>
  <si>
    <t>S144</t>
  </si>
  <si>
    <t>S145</t>
  </si>
  <si>
    <t>S146</t>
  </si>
  <si>
    <t>S147</t>
  </si>
  <si>
    <t>S148</t>
  </si>
  <si>
    <t>S149</t>
  </si>
  <si>
    <t>S150</t>
  </si>
  <si>
    <t>S151</t>
  </si>
  <si>
    <t>S152</t>
  </si>
  <si>
    <t>S153</t>
  </si>
  <si>
    <t>S154</t>
  </si>
  <si>
    <t>S155</t>
  </si>
  <si>
    <t>S156</t>
  </si>
  <si>
    <t>S157</t>
  </si>
  <si>
    <t>S158</t>
  </si>
  <si>
    <t>S159</t>
  </si>
  <si>
    <t>S160</t>
  </si>
  <si>
    <t>S161</t>
  </si>
  <si>
    <t>S162</t>
  </si>
  <si>
    <t>S163</t>
  </si>
  <si>
    <t>S164</t>
  </si>
  <si>
    <t>S165</t>
  </si>
  <si>
    <t>S166</t>
  </si>
  <si>
    <t>S167</t>
  </si>
  <si>
    <t>S168</t>
  </si>
  <si>
    <t>S169</t>
  </si>
  <si>
    <t>S170</t>
  </si>
  <si>
    <t>S171</t>
  </si>
  <si>
    <t>S172</t>
  </si>
  <si>
    <t>S173</t>
  </si>
  <si>
    <t>S174</t>
  </si>
  <si>
    <t>S175</t>
  </si>
  <si>
    <t>S176</t>
  </si>
  <si>
    <t>S177</t>
  </si>
  <si>
    <t>S178</t>
  </si>
  <si>
    <t>S179</t>
  </si>
  <si>
    <t>S180</t>
  </si>
  <si>
    <t>S181</t>
  </si>
  <si>
    <t>S182</t>
  </si>
  <si>
    <t>S183</t>
  </si>
  <si>
    <t>S184</t>
  </si>
  <si>
    <t>S185</t>
  </si>
  <si>
    <t>S186</t>
  </si>
  <si>
    <t>S187</t>
  </si>
  <si>
    <t>S188</t>
  </si>
  <si>
    <t>S189</t>
  </si>
  <si>
    <t>S190</t>
  </si>
  <si>
    <t>S191</t>
  </si>
  <si>
    <t>S192</t>
  </si>
  <si>
    <t>S193</t>
  </si>
  <si>
    <t>S194</t>
  </si>
  <si>
    <t>S195</t>
  </si>
  <si>
    <t>S196</t>
  </si>
  <si>
    <t>S197</t>
  </si>
  <si>
    <t>S198</t>
  </si>
  <si>
    <t>S199</t>
  </si>
  <si>
    <t>S200</t>
  </si>
  <si>
    <t>S201</t>
  </si>
  <si>
    <t>S202</t>
  </si>
  <si>
    <t>S203</t>
  </si>
  <si>
    <t>S204</t>
  </si>
  <si>
    <t>S205</t>
  </si>
  <si>
    <t>S206</t>
  </si>
  <si>
    <t>S207</t>
  </si>
  <si>
    <t>S208</t>
  </si>
  <si>
    <t>S209</t>
  </si>
  <si>
    <t>S210</t>
  </si>
  <si>
    <t>S211</t>
  </si>
  <si>
    <t>S212</t>
  </si>
  <si>
    <t>S213</t>
  </si>
  <si>
    <t>S214</t>
  </si>
  <si>
    <t>S215</t>
  </si>
  <si>
    <t>S216</t>
  </si>
  <si>
    <t>S217</t>
  </si>
  <si>
    <t>S218</t>
  </si>
  <si>
    <t>S219</t>
  </si>
  <si>
    <t>S220</t>
  </si>
  <si>
    <t>S221</t>
  </si>
  <si>
    <t>S222</t>
  </si>
  <si>
    <t>S223</t>
  </si>
  <si>
    <t>S224</t>
  </si>
  <si>
    <t>S225</t>
  </si>
  <si>
    <t>S226</t>
  </si>
  <si>
    <t>S227</t>
  </si>
  <si>
    <t>S228</t>
  </si>
  <si>
    <t>S229</t>
  </si>
  <si>
    <t>S230</t>
  </si>
  <si>
    <t>S231</t>
  </si>
  <si>
    <t>S232</t>
  </si>
  <si>
    <t>S233</t>
  </si>
  <si>
    <t>S234</t>
  </si>
  <si>
    <t>S235</t>
  </si>
  <si>
    <t>S236</t>
  </si>
  <si>
    <t>S237</t>
  </si>
  <si>
    <t>S238</t>
  </si>
  <si>
    <t>S239</t>
  </si>
  <si>
    <t>S240</t>
  </si>
  <si>
    <t>S241</t>
  </si>
  <si>
    <t>S242</t>
  </si>
  <si>
    <t>S243</t>
  </si>
  <si>
    <t>S244</t>
  </si>
  <si>
    <t>S245</t>
  </si>
  <si>
    <t>S246</t>
  </si>
  <si>
    <t>S247</t>
  </si>
  <si>
    <t>S248</t>
  </si>
  <si>
    <t>S249</t>
  </si>
  <si>
    <t>S250</t>
  </si>
  <si>
    <t>S251</t>
  </si>
  <si>
    <t>S252</t>
  </si>
  <si>
    <t>S253</t>
  </si>
  <si>
    <t>S254</t>
  </si>
  <si>
    <t>S255</t>
  </si>
  <si>
    <t>S256</t>
  </si>
  <si>
    <t>S257</t>
  </si>
  <si>
    <t>S258</t>
  </si>
  <si>
    <t>S259</t>
  </si>
  <si>
    <t>S260</t>
  </si>
  <si>
    <t>S261</t>
  </si>
  <si>
    <t>S262</t>
  </si>
  <si>
    <t>S263</t>
  </si>
  <si>
    <t>S264</t>
  </si>
  <si>
    <t>S265</t>
  </si>
  <si>
    <t>S266</t>
  </si>
  <si>
    <t>S267</t>
  </si>
  <si>
    <t>S268</t>
  </si>
  <si>
    <t>S269</t>
  </si>
  <si>
    <t>S270</t>
  </si>
  <si>
    <t>S271</t>
  </si>
  <si>
    <t>S272</t>
  </si>
  <si>
    <t>S273</t>
  </si>
  <si>
    <t>S274</t>
  </si>
  <si>
    <t>S275</t>
  </si>
  <si>
    <t>S276</t>
  </si>
  <si>
    <t>S277</t>
  </si>
  <si>
    <t>S278</t>
  </si>
  <si>
    <t>S279</t>
  </si>
  <si>
    <t>S280</t>
  </si>
  <si>
    <t>S281</t>
  </si>
  <si>
    <t>S282</t>
  </si>
  <si>
    <t>S283</t>
  </si>
  <si>
    <t>S284</t>
  </si>
  <si>
    <t>S285</t>
  </si>
  <si>
    <t>S286</t>
  </si>
  <si>
    <t>S287</t>
  </si>
  <si>
    <t>S288</t>
  </si>
  <si>
    <t>S289</t>
  </si>
  <si>
    <t>S290</t>
  </si>
  <si>
    <t>S291</t>
  </si>
  <si>
    <t>S292</t>
  </si>
  <si>
    <t>S293</t>
  </si>
  <si>
    <t>S294</t>
  </si>
  <si>
    <t>S295</t>
  </si>
  <si>
    <t>S296</t>
  </si>
  <si>
    <t>S297</t>
  </si>
  <si>
    <t>S298</t>
  </si>
  <si>
    <t>S299</t>
  </si>
  <si>
    <t>S300</t>
  </si>
  <si>
    <t>S301</t>
  </si>
  <si>
    <t>S302</t>
  </si>
  <si>
    <t>S303</t>
  </si>
  <si>
    <t>S304</t>
  </si>
  <si>
    <t>S305</t>
  </si>
  <si>
    <t>S306</t>
  </si>
  <si>
    <t>S307</t>
  </si>
  <si>
    <t>S308</t>
  </si>
  <si>
    <t>S309</t>
  </si>
  <si>
    <t>S310</t>
  </si>
  <si>
    <t>S311</t>
  </si>
  <si>
    <t>S312</t>
  </si>
  <si>
    <t>S313</t>
  </si>
  <si>
    <t>S314</t>
  </si>
  <si>
    <t>S315</t>
  </si>
  <si>
    <t>S316</t>
  </si>
  <si>
    <t>S317</t>
  </si>
  <si>
    <t>S318</t>
  </si>
  <si>
    <t>S319</t>
  </si>
  <si>
    <t>S320</t>
  </si>
  <si>
    <t>S321</t>
  </si>
  <si>
    <t>S322</t>
  </si>
  <si>
    <t>S323</t>
  </si>
  <si>
    <t>S324</t>
  </si>
  <si>
    <t>S325</t>
  </si>
  <si>
    <t>S326</t>
  </si>
  <si>
    <t>S327</t>
  </si>
  <si>
    <t>S328</t>
  </si>
  <si>
    <t>S329</t>
  </si>
  <si>
    <t>S330</t>
  </si>
  <si>
    <t>S331</t>
  </si>
  <si>
    <t>S332</t>
  </si>
  <si>
    <t>S333</t>
  </si>
  <si>
    <t>S334</t>
  </si>
  <si>
    <t>S335</t>
  </si>
  <si>
    <t>S336</t>
  </si>
  <si>
    <t>S337</t>
  </si>
  <si>
    <t>S338</t>
  </si>
  <si>
    <t>S339</t>
  </si>
  <si>
    <t>S340</t>
  </si>
  <si>
    <t>S341</t>
  </si>
  <si>
    <t>S342</t>
  </si>
  <si>
    <t>S343</t>
  </si>
  <si>
    <t>S344</t>
  </si>
  <si>
    <t>S345</t>
  </si>
  <si>
    <t>S346</t>
  </si>
  <si>
    <t>S347</t>
  </si>
  <si>
    <t>S348</t>
  </si>
  <si>
    <t>S349</t>
  </si>
  <si>
    <t>S350</t>
  </si>
  <si>
    <t>S351</t>
  </si>
  <si>
    <t>S352</t>
  </si>
  <si>
    <t>S353</t>
  </si>
  <si>
    <t>S354</t>
  </si>
  <si>
    <t>S355</t>
  </si>
  <si>
    <t>S356</t>
  </si>
  <si>
    <t>S357</t>
  </si>
  <si>
    <t>S358</t>
  </si>
  <si>
    <t>S359</t>
  </si>
  <si>
    <t>S360</t>
  </si>
  <si>
    <t>S361</t>
  </si>
  <si>
    <t>S362</t>
  </si>
  <si>
    <t>S363</t>
  </si>
  <si>
    <t>S364</t>
  </si>
  <si>
    <t>S365</t>
  </si>
  <si>
    <t>S366</t>
  </si>
  <si>
    <t>S367</t>
  </si>
  <si>
    <t>S368</t>
  </si>
  <si>
    <t>S369</t>
  </si>
  <si>
    <t>S370</t>
  </si>
  <si>
    <t>S371</t>
  </si>
  <si>
    <t>S372</t>
  </si>
  <si>
    <t>S373</t>
  </si>
  <si>
    <t>S374</t>
  </si>
  <si>
    <t>S375</t>
  </si>
  <si>
    <t>S376</t>
  </si>
  <si>
    <t>S377</t>
  </si>
  <si>
    <t>S378</t>
  </si>
  <si>
    <t>S379</t>
  </si>
  <si>
    <t>S380</t>
  </si>
  <si>
    <t>S381</t>
  </si>
  <si>
    <t>S382</t>
  </si>
  <si>
    <t>S383</t>
  </si>
  <si>
    <t>S384</t>
  </si>
  <si>
    <t>S385</t>
  </si>
  <si>
    <t>S386</t>
  </si>
  <si>
    <t>S387</t>
  </si>
  <si>
    <t>S388</t>
  </si>
  <si>
    <t>S389</t>
  </si>
  <si>
    <t>S390</t>
  </si>
  <si>
    <t>S391</t>
  </si>
  <si>
    <t>S392</t>
  </si>
  <si>
    <t>S393</t>
  </si>
  <si>
    <t>S394</t>
  </si>
  <si>
    <t>S395</t>
  </si>
  <si>
    <t>S396</t>
  </si>
  <si>
    <t>S397</t>
  </si>
  <si>
    <t>S398</t>
  </si>
  <si>
    <t>S399</t>
  </si>
  <si>
    <t>S400</t>
  </si>
  <si>
    <t>S401</t>
  </si>
  <si>
    <t>S402</t>
  </si>
  <si>
    <t>S403</t>
  </si>
  <si>
    <t>S404</t>
  </si>
  <si>
    <t>S405</t>
  </si>
  <si>
    <t>S406</t>
  </si>
  <si>
    <t>S407</t>
  </si>
  <si>
    <t>S408</t>
  </si>
  <si>
    <t>S409</t>
  </si>
  <si>
    <t>S410</t>
  </si>
  <si>
    <t>S411</t>
  </si>
  <si>
    <t>S412</t>
  </si>
  <si>
    <t>S413</t>
  </si>
  <si>
    <t>S414</t>
  </si>
  <si>
    <t>S415</t>
  </si>
  <si>
    <t>S416</t>
  </si>
  <si>
    <t>S417</t>
  </si>
  <si>
    <t>S418</t>
  </si>
  <si>
    <t>S419</t>
  </si>
  <si>
    <t>S420</t>
  </si>
  <si>
    <t>S421</t>
  </si>
  <si>
    <t>S422</t>
  </si>
  <si>
    <t>S423</t>
  </si>
  <si>
    <t>S424</t>
  </si>
  <si>
    <t>S425</t>
  </si>
  <si>
    <t>S426</t>
  </si>
  <si>
    <t>S427</t>
  </si>
  <si>
    <t>S428</t>
  </si>
  <si>
    <t>S429</t>
  </si>
  <si>
    <t>S430</t>
  </si>
  <si>
    <t>S431</t>
  </si>
  <si>
    <t>S432</t>
  </si>
  <si>
    <t>S433</t>
  </si>
  <si>
    <t>S434</t>
  </si>
  <si>
    <t>S435</t>
  </si>
  <si>
    <t>S436</t>
  </si>
  <si>
    <t>S437</t>
  </si>
  <si>
    <t>S438</t>
  </si>
  <si>
    <t>S439</t>
  </si>
  <si>
    <t>S440</t>
  </si>
  <si>
    <t>S441</t>
  </si>
  <si>
    <t>S442</t>
  </si>
  <si>
    <t>S443</t>
  </si>
  <si>
    <t>S444</t>
  </si>
  <si>
    <t>S445</t>
  </si>
  <si>
    <t>S446</t>
  </si>
  <si>
    <t>S447</t>
  </si>
  <si>
    <t>S448</t>
  </si>
  <si>
    <t>S449</t>
  </si>
  <si>
    <t>S450</t>
  </si>
  <si>
    <t>S451</t>
  </si>
  <si>
    <t>S452</t>
  </si>
  <si>
    <t>S453</t>
  </si>
  <si>
    <t>S454</t>
  </si>
  <si>
    <t>S455</t>
  </si>
  <si>
    <t>S456</t>
  </si>
  <si>
    <t>S457</t>
  </si>
  <si>
    <t>S458</t>
  </si>
  <si>
    <t>S459</t>
  </si>
  <si>
    <t>S460</t>
  </si>
  <si>
    <t>S461</t>
  </si>
  <si>
    <t>S462</t>
  </si>
  <si>
    <t>S463</t>
  </si>
  <si>
    <t>S464</t>
  </si>
  <si>
    <t>S465</t>
  </si>
  <si>
    <t>S466</t>
  </si>
  <si>
    <t>S467</t>
  </si>
  <si>
    <t>S468</t>
  </si>
  <si>
    <t>S469</t>
  </si>
  <si>
    <t>S470</t>
  </si>
  <si>
    <t>S471</t>
  </si>
  <si>
    <t>S472</t>
  </si>
  <si>
    <t>S473</t>
  </si>
  <si>
    <t>S474</t>
  </si>
  <si>
    <t>S475</t>
  </si>
  <si>
    <t>S476</t>
  </si>
  <si>
    <t>S477</t>
  </si>
  <si>
    <t>S478</t>
  </si>
  <si>
    <t>S479</t>
  </si>
  <si>
    <t>S480</t>
  </si>
  <si>
    <t>S481</t>
  </si>
  <si>
    <t>S482</t>
  </si>
  <si>
    <t>S483</t>
  </si>
  <si>
    <t>S484</t>
  </si>
  <si>
    <t>S485</t>
  </si>
  <si>
    <t>S486</t>
  </si>
  <si>
    <t>S487</t>
  </si>
  <si>
    <t>S488</t>
  </si>
  <si>
    <t>S489</t>
  </si>
  <si>
    <t>S490</t>
  </si>
  <si>
    <t>S491</t>
  </si>
  <si>
    <t>S492</t>
  </si>
  <si>
    <t>S493</t>
  </si>
  <si>
    <t>S494</t>
  </si>
  <si>
    <t>S495</t>
  </si>
  <si>
    <t>S496</t>
  </si>
  <si>
    <t>S497</t>
  </si>
  <si>
    <t>S498</t>
  </si>
  <si>
    <t>S499</t>
  </si>
  <si>
    <t>Column Name</t>
  </si>
  <si>
    <t>Number of Data</t>
  </si>
  <si>
    <t>Missing Values</t>
  </si>
  <si>
    <t>Duplicate Data</t>
  </si>
  <si>
    <t>Use of Conditional Formatting: to identify duplicate data. In this dataset, the Sale_ID column should contain unique values. The results showed that no duplicate data was detected in the Sale_ID.</t>
  </si>
  <si>
    <t>Type of Data</t>
  </si>
  <si>
    <t>Total Revenue</t>
  </si>
  <si>
    <t>Total Transaction</t>
  </si>
  <si>
    <t>Sum of Revenue_USD</t>
  </si>
  <si>
    <t>Row Labels</t>
  </si>
  <si>
    <t>Jan</t>
  </si>
  <si>
    <t>Mar</t>
  </si>
  <si>
    <t>Jun</t>
  </si>
  <si>
    <t>Grand Total</t>
  </si>
  <si>
    <t>Sum of Units_Sold</t>
  </si>
  <si>
    <t>Okt</t>
  </si>
  <si>
    <t>Des</t>
  </si>
  <si>
    <t>Feb</t>
  </si>
  <si>
    <t>Apr</t>
  </si>
  <si>
    <t>Mei</t>
  </si>
  <si>
    <t>Jul</t>
  </si>
  <si>
    <t>Sep</t>
  </si>
  <si>
    <t>Nov</t>
  </si>
  <si>
    <t>Pivot Dashboard</t>
  </si>
  <si>
    <t>MoM(%)</t>
  </si>
  <si>
    <t>S500</t>
  </si>
  <si>
    <t>S501</t>
  </si>
  <si>
    <t>S502</t>
  </si>
  <si>
    <t>S503</t>
  </si>
  <si>
    <t>S504</t>
  </si>
  <si>
    <t>S505</t>
  </si>
  <si>
    <t>S506</t>
  </si>
  <si>
    <t>S507</t>
  </si>
  <si>
    <t>S508</t>
  </si>
  <si>
    <t>S509</t>
  </si>
  <si>
    <t>S510</t>
  </si>
  <si>
    <t>S511</t>
  </si>
  <si>
    <t>S512</t>
  </si>
  <si>
    <t>S513</t>
  </si>
  <si>
    <t>S514</t>
  </si>
  <si>
    <t>S515</t>
  </si>
  <si>
    <t>S516</t>
  </si>
  <si>
    <t>S517</t>
  </si>
  <si>
    <t>S518</t>
  </si>
  <si>
    <t>S519</t>
  </si>
  <si>
    <t>S520</t>
  </si>
  <si>
    <t>S521</t>
  </si>
  <si>
    <t>S522</t>
  </si>
  <si>
    <t>S523</t>
  </si>
  <si>
    <t>S524</t>
  </si>
  <si>
    <t>S525</t>
  </si>
  <si>
    <t>S526</t>
  </si>
  <si>
    <t>S527</t>
  </si>
  <si>
    <t>S528</t>
  </si>
  <si>
    <t>S529</t>
  </si>
  <si>
    <t>S530</t>
  </si>
  <si>
    <t>S531</t>
  </si>
  <si>
    <t>S532</t>
  </si>
  <si>
    <t>S533</t>
  </si>
  <si>
    <t>S534</t>
  </si>
  <si>
    <t>S535</t>
  </si>
  <si>
    <t>S536</t>
  </si>
  <si>
    <t>S537</t>
  </si>
  <si>
    <t>S538</t>
  </si>
  <si>
    <t>S539</t>
  </si>
  <si>
    <t>S540</t>
  </si>
  <si>
    <t>S541</t>
  </si>
  <si>
    <t>S542</t>
  </si>
  <si>
    <t>S543</t>
  </si>
  <si>
    <t>S544</t>
  </si>
  <si>
    <t>S545</t>
  </si>
  <si>
    <t>S546</t>
  </si>
  <si>
    <t>S547</t>
  </si>
  <si>
    <t>S548</t>
  </si>
  <si>
    <t>S549</t>
  </si>
  <si>
    <t>S550</t>
  </si>
  <si>
    <t>S551</t>
  </si>
  <si>
    <t>S552</t>
  </si>
  <si>
    <t>S553</t>
  </si>
  <si>
    <t>S554</t>
  </si>
  <si>
    <t>S555</t>
  </si>
  <si>
    <t>S556</t>
  </si>
  <si>
    <t>S557</t>
  </si>
  <si>
    <t>S558</t>
  </si>
  <si>
    <t>S559</t>
  </si>
  <si>
    <t>S560</t>
  </si>
  <si>
    <t>S561</t>
  </si>
  <si>
    <t>S562</t>
  </si>
  <si>
    <t>S563</t>
  </si>
  <si>
    <t>S564</t>
  </si>
  <si>
    <t>S565</t>
  </si>
  <si>
    <t>S566</t>
  </si>
  <si>
    <t>S567</t>
  </si>
  <si>
    <t>S568</t>
  </si>
  <si>
    <t>S569</t>
  </si>
  <si>
    <t>S570</t>
  </si>
  <si>
    <t>S571</t>
  </si>
  <si>
    <t>S572</t>
  </si>
  <si>
    <t>S573</t>
  </si>
  <si>
    <t>S574</t>
  </si>
  <si>
    <t>S575</t>
  </si>
  <si>
    <t>S576</t>
  </si>
  <si>
    <t>S577</t>
  </si>
  <si>
    <t>S578</t>
  </si>
  <si>
    <t>S579</t>
  </si>
  <si>
    <t>S580</t>
  </si>
  <si>
    <t>S581</t>
  </si>
  <si>
    <t>S582</t>
  </si>
  <si>
    <t>S583</t>
  </si>
  <si>
    <t>S584</t>
  </si>
  <si>
    <t>S585</t>
  </si>
  <si>
    <t>S586</t>
  </si>
  <si>
    <t>S587</t>
  </si>
  <si>
    <t>S588</t>
  </si>
  <si>
    <t>S589</t>
  </si>
  <si>
    <t>S590</t>
  </si>
  <si>
    <t>S591</t>
  </si>
  <si>
    <t>S592</t>
  </si>
  <si>
    <t>S593</t>
  </si>
  <si>
    <t>S594</t>
  </si>
  <si>
    <t>S595</t>
  </si>
  <si>
    <t>S596</t>
  </si>
  <si>
    <t>S597</t>
  </si>
  <si>
    <t>S598</t>
  </si>
  <si>
    <t>S599</t>
  </si>
  <si>
    <t>S600</t>
  </si>
  <si>
    <t>S601</t>
  </si>
  <si>
    <t>S602</t>
  </si>
  <si>
    <t>S603</t>
  </si>
  <si>
    <t>S604</t>
  </si>
  <si>
    <t>S605</t>
  </si>
  <si>
    <t>S606</t>
  </si>
  <si>
    <t>S607</t>
  </si>
  <si>
    <t>S608</t>
  </si>
  <si>
    <t>S609</t>
  </si>
  <si>
    <t>S610</t>
  </si>
  <si>
    <t>S611</t>
  </si>
  <si>
    <t>S612</t>
  </si>
  <si>
    <t>S613</t>
  </si>
  <si>
    <t>S614</t>
  </si>
  <si>
    <t>S615</t>
  </si>
  <si>
    <t>S616</t>
  </si>
  <si>
    <t>S617</t>
  </si>
  <si>
    <t>S618</t>
  </si>
  <si>
    <t>S619</t>
  </si>
  <si>
    <t>S620</t>
  </si>
  <si>
    <t>S621</t>
  </si>
  <si>
    <t>S622</t>
  </si>
  <si>
    <t>S623</t>
  </si>
  <si>
    <t>S624</t>
  </si>
  <si>
    <t>S625</t>
  </si>
  <si>
    <t>S626</t>
  </si>
  <si>
    <t>S627</t>
  </si>
  <si>
    <t>S628</t>
  </si>
  <si>
    <t>S629</t>
  </si>
  <si>
    <t>S630</t>
  </si>
  <si>
    <t>S631</t>
  </si>
  <si>
    <t>S632</t>
  </si>
  <si>
    <t>S633</t>
  </si>
  <si>
    <t>S634</t>
  </si>
  <si>
    <t>S635</t>
  </si>
  <si>
    <t>S636</t>
  </si>
  <si>
    <t>S637</t>
  </si>
  <si>
    <t>S638</t>
  </si>
  <si>
    <t>S639</t>
  </si>
  <si>
    <t>S640</t>
  </si>
  <si>
    <t>S641</t>
  </si>
  <si>
    <t>S642</t>
  </si>
  <si>
    <t>S643</t>
  </si>
  <si>
    <t>S644</t>
  </si>
  <si>
    <t>S645</t>
  </si>
  <si>
    <t>S646</t>
  </si>
  <si>
    <t>S647</t>
  </si>
  <si>
    <t>S648</t>
  </si>
  <si>
    <t>S649</t>
  </si>
  <si>
    <t>S650</t>
  </si>
  <si>
    <t>S651</t>
  </si>
  <si>
    <t>S652</t>
  </si>
  <si>
    <t>S653</t>
  </si>
  <si>
    <t>S654</t>
  </si>
  <si>
    <t>S655</t>
  </si>
  <si>
    <t>S656</t>
  </si>
  <si>
    <t>S657</t>
  </si>
  <si>
    <t>S658</t>
  </si>
  <si>
    <t>S659</t>
  </si>
  <si>
    <t>S660</t>
  </si>
  <si>
    <t>S661</t>
  </si>
  <si>
    <t>S662</t>
  </si>
  <si>
    <t>S663</t>
  </si>
  <si>
    <t>S664</t>
  </si>
  <si>
    <t>S665</t>
  </si>
  <si>
    <t>S666</t>
  </si>
  <si>
    <t>S667</t>
  </si>
  <si>
    <t>S668</t>
  </si>
  <si>
    <t>S669</t>
  </si>
  <si>
    <t>S670</t>
  </si>
  <si>
    <t>S671</t>
  </si>
  <si>
    <t>S672</t>
  </si>
  <si>
    <t>S673</t>
  </si>
  <si>
    <t>S674</t>
  </si>
  <si>
    <t>S675</t>
  </si>
  <si>
    <t>S676</t>
  </si>
  <si>
    <t>S677</t>
  </si>
  <si>
    <t>S678</t>
  </si>
  <si>
    <t>S679</t>
  </si>
  <si>
    <t>S680</t>
  </si>
  <si>
    <t>S681</t>
  </si>
  <si>
    <t>S682</t>
  </si>
  <si>
    <t>S683</t>
  </si>
  <si>
    <t>S684</t>
  </si>
  <si>
    <t>S685</t>
  </si>
  <si>
    <t>S686</t>
  </si>
  <si>
    <t>S687</t>
  </si>
  <si>
    <t>S688</t>
  </si>
  <si>
    <t>S689</t>
  </si>
  <si>
    <t>S690</t>
  </si>
  <si>
    <t>S691</t>
  </si>
  <si>
    <t>S692</t>
  </si>
  <si>
    <t>S693</t>
  </si>
  <si>
    <t>S694</t>
  </si>
  <si>
    <t>S695</t>
  </si>
  <si>
    <t>S696</t>
  </si>
  <si>
    <t>S697</t>
  </si>
  <si>
    <t>S698</t>
  </si>
  <si>
    <t>S699</t>
  </si>
  <si>
    <t>S700</t>
  </si>
  <si>
    <t>S701</t>
  </si>
  <si>
    <t>S702</t>
  </si>
  <si>
    <t>S703</t>
  </si>
  <si>
    <t>S704</t>
  </si>
  <si>
    <t>S705</t>
  </si>
  <si>
    <t>S706</t>
  </si>
  <si>
    <t>S707</t>
  </si>
  <si>
    <t>S708</t>
  </si>
  <si>
    <t>S709</t>
  </si>
  <si>
    <t>S710</t>
  </si>
  <si>
    <t>S711</t>
  </si>
  <si>
    <t>S712</t>
  </si>
  <si>
    <t>S713</t>
  </si>
  <si>
    <t>S714</t>
  </si>
  <si>
    <t>S715</t>
  </si>
  <si>
    <t>S716</t>
  </si>
  <si>
    <t>S717</t>
  </si>
  <si>
    <t>S718</t>
  </si>
  <si>
    <t>S719</t>
  </si>
  <si>
    <t>S720</t>
  </si>
  <si>
    <t>S721</t>
  </si>
  <si>
    <t>S722</t>
  </si>
  <si>
    <t>S723</t>
  </si>
  <si>
    <t>S724</t>
  </si>
  <si>
    <t>S725</t>
  </si>
  <si>
    <t>S726</t>
  </si>
  <si>
    <t>S727</t>
  </si>
  <si>
    <t>S728</t>
  </si>
  <si>
    <t>S729</t>
  </si>
  <si>
    <t>S730</t>
  </si>
  <si>
    <t>S731</t>
  </si>
  <si>
    <t>S732</t>
  </si>
  <si>
    <t>S733</t>
  </si>
  <si>
    <t>S734</t>
  </si>
  <si>
    <t>S735</t>
  </si>
  <si>
    <t>S736</t>
  </si>
  <si>
    <t>S737</t>
  </si>
  <si>
    <t>S738</t>
  </si>
  <si>
    <t>S739</t>
  </si>
  <si>
    <t>S740</t>
  </si>
  <si>
    <t>S741</t>
  </si>
  <si>
    <t>S742</t>
  </si>
  <si>
    <t>S743</t>
  </si>
  <si>
    <t>S744</t>
  </si>
  <si>
    <t>S745</t>
  </si>
  <si>
    <t>S746</t>
  </si>
  <si>
    <t>S747</t>
  </si>
  <si>
    <t>S748</t>
  </si>
  <si>
    <t>S749</t>
  </si>
  <si>
    <t>S750</t>
  </si>
  <si>
    <t>S751</t>
  </si>
  <si>
    <t>S752</t>
  </si>
  <si>
    <t>S753</t>
  </si>
  <si>
    <t>S754</t>
  </si>
  <si>
    <t>S755</t>
  </si>
  <si>
    <t>S756</t>
  </si>
  <si>
    <t>S757</t>
  </si>
  <si>
    <t>S758</t>
  </si>
  <si>
    <t>S759</t>
  </si>
  <si>
    <t>S760</t>
  </si>
  <si>
    <t>S761</t>
  </si>
  <si>
    <t>S762</t>
  </si>
  <si>
    <t>S763</t>
  </si>
  <si>
    <t>S764</t>
  </si>
  <si>
    <t>S765</t>
  </si>
  <si>
    <t>S766</t>
  </si>
  <si>
    <t>S767</t>
  </si>
  <si>
    <t>S768</t>
  </si>
  <si>
    <t>S769</t>
  </si>
  <si>
    <t>S770</t>
  </si>
  <si>
    <t>S771</t>
  </si>
  <si>
    <t>S772</t>
  </si>
  <si>
    <t>S773</t>
  </si>
  <si>
    <t>S774</t>
  </si>
  <si>
    <t>S775</t>
  </si>
  <si>
    <t>S776</t>
  </si>
  <si>
    <t>S777</t>
  </si>
  <si>
    <t>S778</t>
  </si>
  <si>
    <t>S779</t>
  </si>
  <si>
    <t>S780</t>
  </si>
  <si>
    <t>S781</t>
  </si>
  <si>
    <t>S782</t>
  </si>
  <si>
    <t>S783</t>
  </si>
  <si>
    <t>S784</t>
  </si>
  <si>
    <t>S785</t>
  </si>
  <si>
    <t>S786</t>
  </si>
  <si>
    <t>S787</t>
  </si>
  <si>
    <t>S788</t>
  </si>
  <si>
    <t>S789</t>
  </si>
  <si>
    <t>S790</t>
  </si>
  <si>
    <t>S791</t>
  </si>
  <si>
    <t>S792</t>
  </si>
  <si>
    <t>S793</t>
  </si>
  <si>
    <t>S794</t>
  </si>
  <si>
    <t>S795</t>
  </si>
  <si>
    <t>S796</t>
  </si>
  <si>
    <t>S797</t>
  </si>
  <si>
    <t>S798</t>
  </si>
  <si>
    <t>S799</t>
  </si>
  <si>
    <t>S800</t>
  </si>
  <si>
    <t>S801</t>
  </si>
  <si>
    <t>S802</t>
  </si>
  <si>
    <t>S803</t>
  </si>
  <si>
    <t>S804</t>
  </si>
  <si>
    <t>S805</t>
  </si>
  <si>
    <t>S806</t>
  </si>
  <si>
    <t>S807</t>
  </si>
  <si>
    <t>S808</t>
  </si>
  <si>
    <t>S809</t>
  </si>
  <si>
    <t>S810</t>
  </si>
  <si>
    <t>S811</t>
  </si>
  <si>
    <t>S812</t>
  </si>
  <si>
    <t>S813</t>
  </si>
  <si>
    <t>S814</t>
  </si>
  <si>
    <t>S815</t>
  </si>
  <si>
    <t>S816</t>
  </si>
  <si>
    <t>S817</t>
  </si>
  <si>
    <t>S818</t>
  </si>
  <si>
    <t>S819</t>
  </si>
  <si>
    <t>S820</t>
  </si>
  <si>
    <t>S821</t>
  </si>
  <si>
    <t>S822</t>
  </si>
  <si>
    <t>S823</t>
  </si>
  <si>
    <t>S824</t>
  </si>
  <si>
    <t>S825</t>
  </si>
  <si>
    <t>S826</t>
  </si>
  <si>
    <t>S827</t>
  </si>
  <si>
    <t>S828</t>
  </si>
  <si>
    <t>S829</t>
  </si>
  <si>
    <t>S830</t>
  </si>
  <si>
    <t>S831</t>
  </si>
  <si>
    <t>S832</t>
  </si>
  <si>
    <t>S833</t>
  </si>
  <si>
    <t>S834</t>
  </si>
  <si>
    <t>S835</t>
  </si>
  <si>
    <t>S836</t>
  </si>
  <si>
    <t>S837</t>
  </si>
  <si>
    <t>S838</t>
  </si>
  <si>
    <t>S839</t>
  </si>
  <si>
    <t>S840</t>
  </si>
  <si>
    <t>S841</t>
  </si>
  <si>
    <t>S842</t>
  </si>
  <si>
    <t>S843</t>
  </si>
  <si>
    <t>S844</t>
  </si>
  <si>
    <t>S845</t>
  </si>
  <si>
    <t>S846</t>
  </si>
  <si>
    <t>S847</t>
  </si>
  <si>
    <t>S848</t>
  </si>
  <si>
    <t>S849</t>
  </si>
  <si>
    <t>S850</t>
  </si>
  <si>
    <t>S851</t>
  </si>
  <si>
    <t>S852</t>
  </si>
  <si>
    <t>S853</t>
  </si>
  <si>
    <t>S854</t>
  </si>
  <si>
    <t>S855</t>
  </si>
  <si>
    <t>S856</t>
  </si>
  <si>
    <t>S857</t>
  </si>
  <si>
    <t>S858</t>
  </si>
  <si>
    <t>S859</t>
  </si>
  <si>
    <t>S860</t>
  </si>
  <si>
    <t>S861</t>
  </si>
  <si>
    <t>S862</t>
  </si>
  <si>
    <t>S863</t>
  </si>
  <si>
    <t>S864</t>
  </si>
  <si>
    <t>S865</t>
  </si>
  <si>
    <t>S866</t>
  </si>
  <si>
    <t>S867</t>
  </si>
  <si>
    <t>S868</t>
  </si>
  <si>
    <t>S869</t>
  </si>
  <si>
    <t>S870</t>
  </si>
  <si>
    <t>S871</t>
  </si>
  <si>
    <t>S872</t>
  </si>
  <si>
    <t>S873</t>
  </si>
  <si>
    <t>S874</t>
  </si>
  <si>
    <t>S875</t>
  </si>
  <si>
    <t>S876</t>
  </si>
  <si>
    <t>S877</t>
  </si>
  <si>
    <t>S878</t>
  </si>
  <si>
    <t>S879</t>
  </si>
  <si>
    <t>S880</t>
  </si>
  <si>
    <t>S881</t>
  </si>
  <si>
    <t>S882</t>
  </si>
  <si>
    <t>S883</t>
  </si>
  <si>
    <t>S884</t>
  </si>
  <si>
    <t>S885</t>
  </si>
  <si>
    <t>S886</t>
  </si>
  <si>
    <t>S887</t>
  </si>
  <si>
    <t>S888</t>
  </si>
  <si>
    <t>S889</t>
  </si>
  <si>
    <t>S890</t>
  </si>
  <si>
    <t>S891</t>
  </si>
  <si>
    <t>S892</t>
  </si>
  <si>
    <t>S893</t>
  </si>
  <si>
    <t>S894</t>
  </si>
  <si>
    <t>S895</t>
  </si>
  <si>
    <t>S896</t>
  </si>
  <si>
    <t>S897</t>
  </si>
  <si>
    <t>S898</t>
  </si>
  <si>
    <t>S899</t>
  </si>
  <si>
    <t>S900</t>
  </si>
  <si>
    <t>S901</t>
  </si>
  <si>
    <t>S902</t>
  </si>
  <si>
    <t>S903</t>
  </si>
  <si>
    <t>S904</t>
  </si>
  <si>
    <t>S905</t>
  </si>
  <si>
    <t>S906</t>
  </si>
  <si>
    <t>S907</t>
  </si>
  <si>
    <t>S908</t>
  </si>
  <si>
    <t>S909</t>
  </si>
  <si>
    <t>S910</t>
  </si>
  <si>
    <t>S911</t>
  </si>
  <si>
    <t>S912</t>
  </si>
  <si>
    <t>S913</t>
  </si>
  <si>
    <t>S914</t>
  </si>
  <si>
    <t>S915</t>
  </si>
  <si>
    <t>S916</t>
  </si>
  <si>
    <t>S917</t>
  </si>
  <si>
    <t>S918</t>
  </si>
  <si>
    <t>S919</t>
  </si>
  <si>
    <t>S920</t>
  </si>
  <si>
    <t>S921</t>
  </si>
  <si>
    <t>S922</t>
  </si>
  <si>
    <t>S923</t>
  </si>
  <si>
    <t>S924</t>
  </si>
  <si>
    <t>S925</t>
  </si>
  <si>
    <t>S926</t>
  </si>
  <si>
    <t>S927</t>
  </si>
  <si>
    <t>S928</t>
  </si>
  <si>
    <t>S929</t>
  </si>
  <si>
    <t>S930</t>
  </si>
  <si>
    <t>S931</t>
  </si>
  <si>
    <t>S932</t>
  </si>
  <si>
    <t>S933</t>
  </si>
  <si>
    <t>S934</t>
  </si>
  <si>
    <t>S935</t>
  </si>
  <si>
    <t>S936</t>
  </si>
  <si>
    <t>S937</t>
  </si>
  <si>
    <t>S938</t>
  </si>
  <si>
    <t>S939</t>
  </si>
  <si>
    <t>S940</t>
  </si>
  <si>
    <t>S941</t>
  </si>
  <si>
    <t>S942</t>
  </si>
  <si>
    <t>S943</t>
  </si>
  <si>
    <t>S944</t>
  </si>
  <si>
    <t>S945</t>
  </si>
  <si>
    <t>S946</t>
  </si>
  <si>
    <t>S947</t>
  </si>
  <si>
    <t>S948</t>
  </si>
  <si>
    <t>S949</t>
  </si>
  <si>
    <t>S950</t>
  </si>
  <si>
    <t>S951</t>
  </si>
  <si>
    <t>S952</t>
  </si>
  <si>
    <t>S953</t>
  </si>
  <si>
    <t>S954</t>
  </si>
  <si>
    <t>S955</t>
  </si>
  <si>
    <t>S956</t>
  </si>
  <si>
    <t>S957</t>
  </si>
  <si>
    <t>S958</t>
  </si>
  <si>
    <t>S959</t>
  </si>
  <si>
    <t>S960</t>
  </si>
  <si>
    <t>S961</t>
  </si>
  <si>
    <t>S962</t>
  </si>
  <si>
    <t>S963</t>
  </si>
  <si>
    <t>S964</t>
  </si>
  <si>
    <t>S965</t>
  </si>
  <si>
    <t>S966</t>
  </si>
  <si>
    <t>S967</t>
  </si>
  <si>
    <t>S968</t>
  </si>
  <si>
    <t>S969</t>
  </si>
  <si>
    <t>S970</t>
  </si>
  <si>
    <t>S971</t>
  </si>
  <si>
    <t>S972</t>
  </si>
  <si>
    <t>S973</t>
  </si>
  <si>
    <t>S974</t>
  </si>
  <si>
    <t>S975</t>
  </si>
  <si>
    <t>S976</t>
  </si>
  <si>
    <t>S977</t>
  </si>
  <si>
    <t>S978</t>
  </si>
  <si>
    <t>S979</t>
  </si>
  <si>
    <t>S980</t>
  </si>
  <si>
    <t>S981</t>
  </si>
  <si>
    <t>S982</t>
  </si>
  <si>
    <t>S983</t>
  </si>
  <si>
    <t>S984</t>
  </si>
  <si>
    <t>S985</t>
  </si>
  <si>
    <t>S986</t>
  </si>
  <si>
    <t>S987</t>
  </si>
  <si>
    <t>S988</t>
  </si>
  <si>
    <t>S989</t>
  </si>
  <si>
    <t>S990</t>
  </si>
  <si>
    <t>S991</t>
  </si>
  <si>
    <t>S992</t>
  </si>
  <si>
    <t>S993</t>
  </si>
  <si>
    <t>S994</t>
  </si>
  <si>
    <t>S995</t>
  </si>
  <si>
    <t>S996</t>
  </si>
  <si>
    <t>S997</t>
  </si>
  <si>
    <t>S998</t>
  </si>
  <si>
    <t>S999</t>
  </si>
  <si>
    <t>S1000</t>
  </si>
  <si>
    <t>Type of Shoes</t>
  </si>
  <si>
    <t>Count of Sale_ID</t>
  </si>
  <si>
    <t>Total</t>
  </si>
  <si>
    <t>Revenue</t>
  </si>
  <si>
    <t>Bulan</t>
  </si>
  <si>
    <t>Agu</t>
  </si>
  <si>
    <t>Revenue Growth</t>
  </si>
  <si>
    <t>MAX</t>
  </si>
  <si>
    <t>MIN</t>
  </si>
  <si>
    <t>Total Shoe Sold</t>
  </si>
  <si>
    <t>Peak Month</t>
  </si>
  <si>
    <t>Helper Table</t>
  </si>
  <si>
    <t>Month</t>
  </si>
  <si>
    <t>Dasboard Peak Month</t>
  </si>
  <si>
    <t>MoM Growth Peak Month</t>
  </si>
  <si>
    <t>Top Month Growth</t>
  </si>
  <si>
    <t>KPI_Total Rvenue</t>
  </si>
  <si>
    <t>KPI_Monthly Growth</t>
  </si>
  <si>
    <t>KPI_Total Transaction</t>
  </si>
  <si>
    <t>Total Sold</t>
  </si>
  <si>
    <t>KPI_Total Sold</t>
  </si>
  <si>
    <t>KPI_Best Country</t>
  </si>
  <si>
    <t>Best Country</t>
  </si>
  <si>
    <t>Dashboard Best Country</t>
  </si>
  <si>
    <t>KPI_Best Month</t>
  </si>
  <si>
    <t>KPI_Top Monthly Growth</t>
  </si>
  <si>
    <t>MoM</t>
  </si>
  <si>
    <t>Monthy Revenue</t>
  </si>
  <si>
    <t>Monthly Growth Revenue</t>
  </si>
  <si>
    <t>Sum of Revenue_USD2</t>
  </si>
  <si>
    <t>Country Revenue Performance</t>
  </si>
  <si>
    <t>Brands Revenue Performance</t>
  </si>
  <si>
    <t>Products</t>
  </si>
  <si>
    <t>Number of Sold</t>
  </si>
  <si>
    <t>Rank</t>
  </si>
  <si>
    <t>TOP</t>
  </si>
  <si>
    <t>Product Name</t>
  </si>
  <si>
    <t>Top 5 Selling-Product</t>
  </si>
  <si>
    <t>Q1</t>
  </si>
  <si>
    <t>Q3</t>
  </si>
  <si>
    <t>IQR</t>
  </si>
  <si>
    <t>Lower</t>
  </si>
  <si>
    <t>Upper</t>
  </si>
  <si>
    <t>Outlier Limit (Price_USD)</t>
  </si>
  <si>
    <t>Outlier Limit (Units_Sold)</t>
  </si>
  <si>
    <t>Outlier Limit(Revenue_USD)</t>
  </si>
  <si>
    <t>Number of Rank</t>
  </si>
  <si>
    <t>AVG Order Value</t>
  </si>
  <si>
    <t>MoM Growth</t>
  </si>
  <si>
    <t>Channel Revenue Performance</t>
  </si>
  <si>
    <t>Type of Shoe Revenue Performance</t>
  </si>
  <si>
    <t>Revenue x Total Transaction</t>
  </si>
  <si>
    <t>Nilai Max</t>
  </si>
  <si>
    <t>AVG per Product</t>
  </si>
  <si>
    <t>KPI_AVG Order Value</t>
  </si>
  <si>
    <t>KPI_AVG per product</t>
  </si>
  <si>
    <t>AVG Monthly Revenue</t>
  </si>
  <si>
    <t>KPI AVG Monthly Revenue</t>
  </si>
  <si>
    <t xml:space="preserve">AVG Revenue </t>
  </si>
  <si>
    <t>AVG Revenue Per Product</t>
  </si>
  <si>
    <t>Average Monthly Revenue</t>
  </si>
  <si>
    <t>AVG Rev per Product</t>
  </si>
  <si>
    <t>f</t>
  </si>
  <si>
    <t>AVG Rev per Transaction</t>
  </si>
  <si>
    <t>Total Transactions</t>
  </si>
  <si>
    <t>Total Units Sold</t>
  </si>
  <si>
    <t>Sum of AVG per Product</t>
  </si>
  <si>
    <t>Day</t>
  </si>
  <si>
    <t>AVG per Transaction</t>
  </si>
  <si>
    <t>Correlation</t>
  </si>
  <si>
    <t>Rank(Product)</t>
  </si>
  <si>
    <t>Months</t>
  </si>
  <si>
    <t>Person Correlation</t>
  </si>
  <si>
    <t>Interpretation</t>
  </si>
  <si>
    <t>Revenue Driver</t>
  </si>
  <si>
    <t>Very Strong Positive Correlation</t>
  </si>
  <si>
    <t>Moderate Positive Correlation</t>
  </si>
  <si>
    <t>Very Weak/Negligible Correlation</t>
  </si>
  <si>
    <t>SUMMARY OUTPUT</t>
  </si>
  <si>
    <t>Regression Statistics</t>
  </si>
  <si>
    <t>Multiple R</t>
  </si>
  <si>
    <t>R Square</t>
  </si>
  <si>
    <t>Adjusted R Square</t>
  </si>
  <si>
    <t>Standard Error</t>
  </si>
  <si>
    <t>Observations</t>
  </si>
  <si>
    <t>ANOVA</t>
  </si>
  <si>
    <t>Regression</t>
  </si>
  <si>
    <t>Residual</t>
  </si>
  <si>
    <t>Intercept</t>
  </si>
  <si>
    <t>df</t>
  </si>
  <si>
    <t>SS</t>
  </si>
  <si>
    <t>MS</t>
  </si>
  <si>
    <t>F</t>
  </si>
  <si>
    <t>Significance F</t>
  </si>
  <si>
    <t>Coefficients</t>
  </si>
  <si>
    <t>t Stat</t>
  </si>
  <si>
    <t>P-value</t>
  </si>
  <si>
    <t>Lower 95%</t>
  </si>
  <si>
    <t>Upper 95%</t>
  </si>
  <si>
    <t>Lower 95,0%</t>
  </si>
  <si>
    <t>Upper 95,0%</t>
  </si>
  <si>
    <t>Avg Rev per Product</t>
  </si>
  <si>
    <t>SLR</t>
  </si>
  <si>
    <t xml:space="preserve">Total Revenue </t>
  </si>
</sst>
</file>

<file path=xl/styles.xml><?xml version="1.0" encoding="utf-8"?>
<styleSheet xmlns="http://schemas.openxmlformats.org/spreadsheetml/2006/main" xmlns:mc="http://schemas.openxmlformats.org/markup-compatibility/2006" xmlns:x14ac="http://schemas.microsoft.com/office/spreadsheetml/2009/9/ac" mc:Ignorable="x14ac">
  <numFmts count="19">
    <numFmt numFmtId="164" formatCode="_-[$$-409]* #,##0.00_ ;_-[$$-409]* \-#,##0.00\ ;_-[$$-409]* &quot;-&quot;??_ ;_-@_ "/>
    <numFmt numFmtId="165" formatCode="[$-809]d\ mmmm\ yyyy;@"/>
    <numFmt numFmtId="166" formatCode="dd/mm/yyyy;@"/>
    <numFmt numFmtId="167" formatCode="[$$-409]#,\K"/>
    <numFmt numFmtId="168" formatCode="[$$-409]#.0,\K"/>
    <numFmt numFmtId="169" formatCode="0.0%"/>
    <numFmt numFmtId="170" formatCode="#,##0_ ;\-#,##0\ "/>
    <numFmt numFmtId="171" formatCode="_-[$$-409]* #,\K"/>
    <numFmt numFmtId="172" formatCode="[$$-409]#.00,\ \K"/>
    <numFmt numFmtId="173" formatCode="[$$-409]#,##0.00"/>
    <numFmt numFmtId="174" formatCode="_-[$$-409]* #,##0_ ;_-[$$-409]* \-#,##0\ ;_-[$$-409]* &quot;-&quot;_ ;_-@_ "/>
    <numFmt numFmtId="175" formatCode="[$-409]dd\-mmm\-yy;@"/>
    <numFmt numFmtId="176" formatCode="mm/dd/yy;@"/>
    <numFmt numFmtId="177" formatCode="_-[$$-409]* #,##0.00_ ;_-[$$-409]* \-#,##0.00\ ;_-[$$-409]* &quot;-&quot;_ ;_-@_ "/>
    <numFmt numFmtId="178" formatCode="[$$-409]#.00,\K"/>
    <numFmt numFmtId="179" formatCode="0.000000"/>
    <numFmt numFmtId="180" formatCode="0.000"/>
    <numFmt numFmtId="181" formatCode="[$$-409]#,##0"/>
    <numFmt numFmtId="182" formatCode="[$$-409]#,##0.0"/>
  </numFmts>
  <fonts count="73" x14ac:knownFonts="1">
    <font>
      <sz val="11"/>
      <color theme="1"/>
      <name val="Calibri"/>
      <family val="2"/>
      <charset val="1"/>
      <scheme val="minor"/>
    </font>
    <font>
      <sz val="11"/>
      <color theme="1"/>
      <name val="Calibri"/>
      <family val="2"/>
      <charset val="1"/>
      <scheme val="minor"/>
    </font>
    <font>
      <b/>
      <sz val="18"/>
      <color theme="3"/>
      <name val="Cambria"/>
      <family val="2"/>
      <charset val="1"/>
      <scheme val="major"/>
    </font>
    <font>
      <b/>
      <sz val="15"/>
      <color theme="3"/>
      <name val="Calibri"/>
      <family val="2"/>
      <charset val="1"/>
      <scheme val="minor"/>
    </font>
    <font>
      <b/>
      <sz val="13"/>
      <color theme="3"/>
      <name val="Calibri"/>
      <family val="2"/>
      <charset val="1"/>
      <scheme val="minor"/>
    </font>
    <font>
      <b/>
      <sz val="11"/>
      <color theme="3"/>
      <name val="Calibri"/>
      <family val="2"/>
      <charset val="1"/>
      <scheme val="minor"/>
    </font>
    <font>
      <sz val="11"/>
      <color rgb="FF006100"/>
      <name val="Calibri"/>
      <family val="2"/>
      <charset val="1"/>
      <scheme val="minor"/>
    </font>
    <font>
      <sz val="11"/>
      <color rgb="FF9C0006"/>
      <name val="Calibri"/>
      <family val="2"/>
      <charset val="1"/>
      <scheme val="minor"/>
    </font>
    <font>
      <sz val="11"/>
      <color rgb="FF9C6500"/>
      <name val="Calibri"/>
      <family val="2"/>
      <charset val="1"/>
      <scheme val="minor"/>
    </font>
    <font>
      <sz val="11"/>
      <color rgb="FF3F3F76"/>
      <name val="Calibri"/>
      <family val="2"/>
      <charset val="1"/>
      <scheme val="minor"/>
    </font>
    <font>
      <b/>
      <sz val="11"/>
      <color rgb="FF3F3F3F"/>
      <name val="Calibri"/>
      <family val="2"/>
      <charset val="1"/>
      <scheme val="minor"/>
    </font>
    <font>
      <b/>
      <sz val="11"/>
      <color rgb="FFFA7D00"/>
      <name val="Calibri"/>
      <family val="2"/>
      <charset val="1"/>
      <scheme val="minor"/>
    </font>
    <font>
      <sz val="11"/>
      <color rgb="FFFA7D00"/>
      <name val="Calibri"/>
      <family val="2"/>
      <charset val="1"/>
      <scheme val="minor"/>
    </font>
    <font>
      <b/>
      <sz val="11"/>
      <color theme="0"/>
      <name val="Calibri"/>
      <family val="2"/>
      <charset val="1"/>
      <scheme val="minor"/>
    </font>
    <font>
      <sz val="11"/>
      <color rgb="FFFF0000"/>
      <name val="Calibri"/>
      <family val="2"/>
      <charset val="1"/>
      <scheme val="minor"/>
    </font>
    <font>
      <i/>
      <sz val="11"/>
      <color rgb="FF7F7F7F"/>
      <name val="Calibri"/>
      <family val="2"/>
      <charset val="1"/>
      <scheme val="minor"/>
    </font>
    <font>
      <b/>
      <sz val="11"/>
      <color theme="1"/>
      <name val="Calibri"/>
      <family val="2"/>
      <charset val="1"/>
      <scheme val="minor"/>
    </font>
    <font>
      <sz val="11"/>
      <color theme="0"/>
      <name val="Calibri"/>
      <family val="2"/>
      <charset val="1"/>
      <scheme val="minor"/>
    </font>
    <font>
      <b/>
      <sz val="11"/>
      <color theme="1"/>
      <name val="Calibri"/>
      <family val="2"/>
      <scheme val="minor"/>
    </font>
    <font>
      <b/>
      <sz val="11"/>
      <color theme="0"/>
      <name val="Calibri"/>
      <family val="2"/>
      <scheme val="minor"/>
    </font>
    <font>
      <b/>
      <sz val="16"/>
      <color theme="0"/>
      <name val="Calibri"/>
      <family val="2"/>
      <charset val="1"/>
      <scheme val="minor"/>
    </font>
    <font>
      <sz val="11"/>
      <color theme="1" tint="4.9989318521683403E-2"/>
      <name val="Calibri"/>
      <family val="2"/>
      <charset val="1"/>
      <scheme val="minor"/>
    </font>
    <font>
      <b/>
      <sz val="11"/>
      <color theme="1" tint="4.9989318521683403E-2"/>
      <name val="Calibri"/>
      <family val="2"/>
      <charset val="1"/>
      <scheme val="minor"/>
    </font>
    <font>
      <b/>
      <sz val="20"/>
      <color theme="1"/>
      <name val="Calibri"/>
      <family val="2"/>
      <scheme val="minor"/>
    </font>
    <font>
      <b/>
      <sz val="18"/>
      <color theme="1"/>
      <name val="Calibri"/>
      <family val="2"/>
      <scheme val="minor"/>
    </font>
    <font>
      <b/>
      <sz val="16"/>
      <color theme="0"/>
      <name val="Calibri"/>
      <family val="2"/>
      <scheme val="minor"/>
    </font>
    <font>
      <b/>
      <sz val="20"/>
      <color theme="0"/>
      <name val="Calibri"/>
      <family val="2"/>
      <scheme val="minor"/>
    </font>
    <font>
      <sz val="11"/>
      <color theme="0" tint="-4.9989318521683403E-2"/>
      <name val="Calibri"/>
      <family val="2"/>
      <charset val="1"/>
      <scheme val="minor"/>
    </font>
    <font>
      <b/>
      <sz val="18"/>
      <color theme="0" tint="-4.9989318521683403E-2"/>
      <name val="Calibri"/>
      <family val="2"/>
      <charset val="1"/>
      <scheme val="minor"/>
    </font>
    <font>
      <b/>
      <sz val="16"/>
      <color theme="0" tint="-4.9989318521683403E-2"/>
      <name val="Calibri"/>
      <family val="2"/>
      <charset val="1"/>
      <scheme val="minor"/>
    </font>
    <font>
      <sz val="18"/>
      <color theme="1"/>
      <name val="Calibri"/>
      <family val="2"/>
      <scheme val="minor"/>
    </font>
    <font>
      <b/>
      <sz val="18"/>
      <color theme="0"/>
      <name val="Calibri"/>
      <family val="2"/>
      <scheme val="minor"/>
    </font>
    <font>
      <sz val="72"/>
      <color theme="1"/>
      <name val="Calibri"/>
      <family val="2"/>
      <charset val="1"/>
      <scheme val="minor"/>
    </font>
    <font>
      <b/>
      <sz val="72"/>
      <color theme="1"/>
      <name val="Cambria"/>
      <family val="1"/>
      <scheme val="major"/>
    </font>
    <font>
      <sz val="72"/>
      <color theme="1"/>
      <name val="Cambria"/>
      <family val="1"/>
      <scheme val="major"/>
    </font>
    <font>
      <b/>
      <sz val="72"/>
      <color theme="1"/>
      <name val="Calibri"/>
      <family val="2"/>
      <charset val="1"/>
      <scheme val="minor"/>
    </font>
    <font>
      <b/>
      <sz val="80"/>
      <color theme="1"/>
      <name val="Cambria"/>
      <family val="1"/>
      <scheme val="major"/>
    </font>
    <font>
      <sz val="80"/>
      <color theme="1"/>
      <name val="Cambria"/>
      <family val="1"/>
      <scheme val="major"/>
    </font>
    <font>
      <b/>
      <sz val="72"/>
      <color theme="0"/>
      <name val="Cambria"/>
      <family val="1"/>
      <scheme val="major"/>
    </font>
    <font>
      <b/>
      <sz val="12"/>
      <color theme="1"/>
      <name val="Calibri"/>
      <family val="2"/>
      <scheme val="minor"/>
    </font>
    <font>
      <b/>
      <sz val="100"/>
      <color theme="1"/>
      <name val="Cambria"/>
      <family val="1"/>
      <scheme val="major"/>
    </font>
    <font>
      <b/>
      <sz val="100"/>
      <color theme="0"/>
      <name val="Cambria"/>
      <family val="1"/>
      <scheme val="major"/>
    </font>
    <font>
      <b/>
      <sz val="90"/>
      <color theme="1"/>
      <name val="Cambria"/>
      <family val="1"/>
      <scheme val="major"/>
    </font>
    <font>
      <sz val="90"/>
      <color theme="1" tint="4.9989318521683403E-2"/>
      <name val="Cambria"/>
      <family val="1"/>
      <scheme val="major"/>
    </font>
    <font>
      <b/>
      <sz val="90"/>
      <color theme="1" tint="4.9989318521683403E-2"/>
      <name val="Cambria"/>
      <family val="1"/>
      <scheme val="major"/>
    </font>
    <font>
      <sz val="90"/>
      <color theme="1"/>
      <name val="Cambria"/>
      <family val="1"/>
      <scheme val="major"/>
    </font>
    <font>
      <b/>
      <sz val="100"/>
      <color theme="3" tint="-0.499984740745262"/>
      <name val="Cambria"/>
      <family val="1"/>
      <scheme val="major"/>
    </font>
    <font>
      <b/>
      <sz val="100"/>
      <color theme="4" tint="-0.499984740745262"/>
      <name val="Cambria"/>
      <family val="1"/>
      <scheme val="major"/>
    </font>
    <font>
      <b/>
      <sz val="100"/>
      <color theme="3" tint="0.59999389629810485"/>
      <name val="Cambria"/>
      <family val="1"/>
      <scheme val="major"/>
    </font>
    <font>
      <b/>
      <sz val="100"/>
      <color theme="3" tint="0.79998168889431442"/>
      <name val="Cambria"/>
      <family val="1"/>
      <scheme val="major"/>
    </font>
    <font>
      <b/>
      <sz val="80"/>
      <color theme="1"/>
      <name val="Calibri"/>
      <family val="2"/>
      <charset val="1"/>
      <scheme val="minor"/>
    </font>
    <font>
      <b/>
      <sz val="100"/>
      <color theme="3" tint="-0.249977111117893"/>
      <name val="Cambria"/>
      <family val="1"/>
      <scheme val="major"/>
    </font>
    <font>
      <b/>
      <sz val="100"/>
      <color theme="4" tint="-0.249977111117893"/>
      <name val="Cambria"/>
      <family val="1"/>
      <scheme val="major"/>
    </font>
    <font>
      <b/>
      <sz val="100"/>
      <color theme="3" tint="0.39997558519241921"/>
      <name val="Cambria"/>
      <family val="1"/>
      <scheme val="major"/>
    </font>
    <font>
      <b/>
      <sz val="100"/>
      <color theme="4" tint="0.59999389629810485"/>
      <name val="Cambria"/>
      <family val="1"/>
      <scheme val="major"/>
    </font>
    <font>
      <b/>
      <sz val="88"/>
      <color theme="1"/>
      <name val="Cambria"/>
      <family val="1"/>
      <scheme val="major"/>
    </font>
    <font>
      <b/>
      <sz val="100"/>
      <color theme="4" tint="0.79998168889431442"/>
      <name val="Cambria"/>
      <family val="1"/>
      <scheme val="major"/>
    </font>
    <font>
      <b/>
      <sz val="100"/>
      <color theme="1"/>
      <name val="Calibri"/>
      <family val="2"/>
      <scheme val="minor"/>
    </font>
    <font>
      <sz val="100"/>
      <color theme="1"/>
      <name val="Calibri"/>
      <family val="2"/>
      <charset val="1"/>
      <scheme val="minor"/>
    </font>
    <font>
      <b/>
      <sz val="100"/>
      <color theme="1"/>
      <name val="Calibri"/>
      <family val="2"/>
      <charset val="1"/>
      <scheme val="minor"/>
    </font>
    <font>
      <sz val="12"/>
      <color theme="0"/>
      <name val="Cambria"/>
      <family val="1"/>
      <scheme val="major"/>
    </font>
    <font>
      <sz val="12"/>
      <color theme="1"/>
      <name val="Cambria"/>
      <family val="1"/>
      <scheme val="major"/>
    </font>
    <font>
      <b/>
      <sz val="12"/>
      <color theme="1"/>
      <name val="Cambria"/>
      <family val="1"/>
      <scheme val="major"/>
    </font>
    <font>
      <sz val="11"/>
      <color theme="0"/>
      <name val="Cambria"/>
      <family val="1"/>
      <scheme val="major"/>
    </font>
    <font>
      <sz val="11"/>
      <color theme="1"/>
      <name val="Cambria"/>
      <family val="1"/>
      <scheme val="major"/>
    </font>
    <font>
      <b/>
      <sz val="11"/>
      <color theme="0"/>
      <name val="Cambria"/>
      <family val="1"/>
      <scheme val="major"/>
    </font>
    <font>
      <b/>
      <sz val="11"/>
      <color theme="1"/>
      <name val="Cambria"/>
      <family val="1"/>
      <scheme val="major"/>
    </font>
    <font>
      <b/>
      <sz val="12"/>
      <color theme="0"/>
      <name val="Cambria"/>
      <family val="1"/>
      <scheme val="major"/>
    </font>
    <font>
      <b/>
      <sz val="12"/>
      <color theme="1"/>
      <name val="Calibri"/>
      <family val="2"/>
      <charset val="1"/>
      <scheme val="minor"/>
    </font>
    <font>
      <i/>
      <sz val="11"/>
      <color theme="1"/>
      <name val="Calibri"/>
      <family val="2"/>
      <charset val="1"/>
      <scheme val="minor"/>
    </font>
    <font>
      <i/>
      <sz val="11"/>
      <color theme="1"/>
      <name val="Cambria"/>
      <family val="1"/>
      <scheme val="major"/>
    </font>
    <font>
      <b/>
      <i/>
      <sz val="11"/>
      <color theme="1" tint="4.9989318521683403E-2"/>
      <name val="Calibri"/>
      <family val="2"/>
      <scheme val="minor"/>
    </font>
    <font>
      <b/>
      <i/>
      <sz val="11"/>
      <color theme="1"/>
      <name val="Calibri"/>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theme="0"/>
        <bgColor indexed="64"/>
      </patternFill>
    </fill>
    <fill>
      <patternFill patternType="solid">
        <fgColor rgb="FFFFFF00"/>
        <bgColor indexed="64"/>
      </patternFill>
    </fill>
    <fill>
      <patternFill patternType="solid">
        <fgColor theme="3" tint="-0.499984740745262"/>
        <bgColor indexed="64"/>
      </patternFill>
    </fill>
    <fill>
      <patternFill patternType="solid">
        <fgColor rgb="FFFFFFFF"/>
        <bgColor indexed="64"/>
      </patternFill>
    </fill>
    <fill>
      <patternFill patternType="solid">
        <fgColor theme="4" tint="0.79998168889431442"/>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right/>
      <top/>
      <bottom style="medium">
        <color indexed="64"/>
      </bottom>
      <diagonal/>
    </border>
    <border>
      <left/>
      <right/>
      <top style="medium">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9" fontId="1" fillId="0" borderId="0" applyFont="0" applyFill="0" applyBorder="0" applyAlignment="0" applyProtection="0"/>
  </cellStyleXfs>
  <cellXfs count="262">
    <xf numFmtId="0" fontId="0" fillId="0" borderId="0" xfId="0"/>
    <xf numFmtId="14" fontId="0" fillId="0" borderId="0" xfId="0" applyNumberFormat="1"/>
    <xf numFmtId="2" fontId="0" fillId="0" borderId="0" xfId="0" applyNumberFormat="1"/>
    <xf numFmtId="0" fontId="19" fillId="33" borderId="10" xfId="0" applyFont="1" applyFill="1" applyBorder="1" applyAlignment="1">
      <alignment horizontal="center"/>
    </xf>
    <xf numFmtId="0" fontId="0" fillId="0" borderId="0" xfId="0" pivotButton="1"/>
    <xf numFmtId="14" fontId="0" fillId="0" borderId="0" xfId="0" applyNumberFormat="1" applyAlignment="1">
      <alignment horizontal="left"/>
    </xf>
    <xf numFmtId="0" fontId="0" fillId="0" borderId="0" xfId="0" applyAlignment="1">
      <alignment horizontal="left"/>
    </xf>
    <xf numFmtId="167" fontId="0" fillId="0" borderId="0" xfId="0" applyNumberFormat="1"/>
    <xf numFmtId="1" fontId="0" fillId="0" borderId="0" xfId="0" applyNumberFormat="1"/>
    <xf numFmtId="0" fontId="0" fillId="0" borderId="0" xfId="0" applyFill="1" applyBorder="1" applyAlignment="1"/>
    <xf numFmtId="0" fontId="0" fillId="0" borderId="0" xfId="0" applyFill="1" applyBorder="1"/>
    <xf numFmtId="9" fontId="0" fillId="0" borderId="0" xfId="42" applyFont="1"/>
    <xf numFmtId="10" fontId="0" fillId="0" borderId="0" xfId="42" applyNumberFormat="1" applyFont="1"/>
    <xf numFmtId="9" fontId="0" fillId="0" borderId="0" xfId="42" applyNumberFormat="1" applyFont="1"/>
    <xf numFmtId="0" fontId="21" fillId="0" borderId="0" xfId="0" pivotButton="1" applyFont="1"/>
    <xf numFmtId="0" fontId="21" fillId="0" borderId="0" xfId="0" applyFont="1"/>
    <xf numFmtId="0" fontId="21" fillId="0" borderId="0" xfId="0" applyFont="1" applyFill="1"/>
    <xf numFmtId="14" fontId="21" fillId="0" borderId="0" xfId="0" applyNumberFormat="1" applyFont="1" applyAlignment="1">
      <alignment horizontal="left"/>
    </xf>
    <xf numFmtId="167" fontId="21" fillId="0" borderId="0" xfId="0" applyNumberFormat="1" applyFont="1"/>
    <xf numFmtId="10" fontId="22" fillId="0" borderId="0" xfId="0" applyNumberFormat="1" applyFont="1"/>
    <xf numFmtId="0" fontId="21" fillId="0" borderId="0" xfId="0" applyFont="1" applyAlignment="1">
      <alignment horizontal="left"/>
    </xf>
    <xf numFmtId="10" fontId="21" fillId="0" borderId="0" xfId="0" applyNumberFormat="1" applyFont="1"/>
    <xf numFmtId="167" fontId="21" fillId="0" borderId="0" xfId="0" applyNumberFormat="1" applyFont="1" applyFill="1"/>
    <xf numFmtId="168" fontId="0" fillId="0" borderId="0" xfId="0" applyNumberFormat="1" applyAlignment="1">
      <alignment horizontal="center"/>
    </xf>
    <xf numFmtId="0" fontId="0" fillId="0" borderId="10" xfId="0" applyBorder="1"/>
    <xf numFmtId="0" fontId="0" fillId="0" borderId="10" xfId="0" applyBorder="1" applyAlignment="1">
      <alignment horizontal="left"/>
    </xf>
    <xf numFmtId="1" fontId="0" fillId="0" borderId="10" xfId="0" applyNumberFormat="1" applyBorder="1" applyAlignment="1">
      <alignment horizontal="center"/>
    </xf>
    <xf numFmtId="1" fontId="0" fillId="0" borderId="10" xfId="0" applyNumberFormat="1" applyBorder="1"/>
    <xf numFmtId="0" fontId="0" fillId="0" borderId="0" xfId="0" applyAlignment="1">
      <alignment horizontal="center"/>
    </xf>
    <xf numFmtId="0" fontId="0" fillId="0" borderId="0" xfId="0" applyNumberFormat="1"/>
    <xf numFmtId="14" fontId="0" fillId="0" borderId="10" xfId="0" applyNumberFormat="1" applyBorder="1" applyAlignment="1">
      <alignment horizontal="left"/>
    </xf>
    <xf numFmtId="171" fontId="0" fillId="0" borderId="10" xfId="0" applyNumberFormat="1" applyBorder="1"/>
    <xf numFmtId="9" fontId="0" fillId="0" borderId="10" xfId="42" applyFont="1" applyBorder="1"/>
    <xf numFmtId="0" fontId="0" fillId="34" borderId="0" xfId="0" applyFill="1" applyBorder="1" applyAlignment="1"/>
    <xf numFmtId="0" fontId="0" fillId="0" borderId="0" xfId="0" applyBorder="1"/>
    <xf numFmtId="0" fontId="0" fillId="35" borderId="0" xfId="0" applyFill="1"/>
    <xf numFmtId="0" fontId="18" fillId="0" borderId="0" xfId="0" applyFont="1" applyAlignment="1">
      <alignment horizontal="left"/>
    </xf>
    <xf numFmtId="14" fontId="18" fillId="0" borderId="0" xfId="0" applyNumberFormat="1" applyFont="1" applyAlignment="1">
      <alignment horizontal="left"/>
    </xf>
    <xf numFmtId="0" fontId="18" fillId="0" borderId="0" xfId="0" applyFont="1"/>
    <xf numFmtId="14" fontId="21" fillId="0" borderId="10" xfId="0" applyNumberFormat="1" applyFont="1" applyBorder="1" applyAlignment="1">
      <alignment horizontal="left"/>
    </xf>
    <xf numFmtId="167" fontId="21" fillId="0" borderId="10" xfId="0" applyNumberFormat="1" applyFont="1" applyBorder="1"/>
    <xf numFmtId="14" fontId="21" fillId="0" borderId="10" xfId="0" applyNumberFormat="1" applyFont="1" applyBorder="1"/>
    <xf numFmtId="168" fontId="21" fillId="0" borderId="10" xfId="0" applyNumberFormat="1" applyFont="1" applyBorder="1"/>
    <xf numFmtId="169" fontId="21" fillId="0" borderId="10" xfId="42" applyNumberFormat="1" applyFont="1" applyBorder="1"/>
    <xf numFmtId="0" fontId="26" fillId="0" borderId="0" xfId="0" applyFont="1" applyFill="1" applyBorder="1" applyAlignment="1">
      <alignment vertical="center"/>
    </xf>
    <xf numFmtId="167" fontId="17" fillId="0" borderId="0" xfId="0" applyNumberFormat="1" applyFont="1" applyFill="1" applyBorder="1"/>
    <xf numFmtId="1" fontId="0" fillId="0" borderId="0" xfId="0" applyNumberFormat="1" applyBorder="1"/>
    <xf numFmtId="14" fontId="21" fillId="0" borderId="0" xfId="0" applyNumberFormat="1" applyFont="1" applyBorder="1"/>
    <xf numFmtId="168" fontId="21" fillId="0" borderId="0" xfId="0" applyNumberFormat="1" applyFont="1" applyBorder="1"/>
    <xf numFmtId="169" fontId="21" fillId="0" borderId="0" xfId="42" applyNumberFormat="1" applyFont="1" applyBorder="1"/>
    <xf numFmtId="0" fontId="0" fillId="37" borderId="0" xfId="0" applyFill="1" applyBorder="1" applyAlignment="1"/>
    <xf numFmtId="0" fontId="0" fillId="37" borderId="0" xfId="0" applyFill="1" applyBorder="1"/>
    <xf numFmtId="0" fontId="0" fillId="37" borderId="0" xfId="0" applyNumberFormat="1" applyFill="1" applyBorder="1"/>
    <xf numFmtId="0" fontId="23" fillId="37" borderId="0" xfId="0" applyFont="1" applyFill="1" applyBorder="1" applyAlignment="1">
      <alignment vertical="center"/>
    </xf>
    <xf numFmtId="1" fontId="20" fillId="37" borderId="0" xfId="0" applyNumberFormat="1" applyFont="1" applyFill="1" applyBorder="1" applyAlignment="1">
      <alignment horizontal="center" vertical="center"/>
    </xf>
    <xf numFmtId="0" fontId="25" fillId="37" borderId="0" xfId="0" applyFont="1" applyFill="1" applyBorder="1" applyAlignment="1">
      <alignment horizontal="center" vertical="center"/>
    </xf>
    <xf numFmtId="0" fontId="0" fillId="37" borderId="0" xfId="0" applyFill="1" applyBorder="1" applyAlignment="1">
      <alignment horizontal="center"/>
    </xf>
    <xf numFmtId="0" fontId="24" fillId="37" borderId="0" xfId="0" applyFont="1" applyFill="1" applyBorder="1" applyAlignment="1">
      <alignment horizontal="center" vertical="center"/>
    </xf>
    <xf numFmtId="0" fontId="30" fillId="37" borderId="0" xfId="0" applyFont="1" applyFill="1" applyBorder="1" applyAlignment="1"/>
    <xf numFmtId="1" fontId="31" fillId="37" borderId="0" xfId="0" applyNumberFormat="1" applyFont="1" applyFill="1" applyBorder="1" applyAlignment="1">
      <alignment horizontal="center" vertical="center"/>
    </xf>
    <xf numFmtId="0" fontId="30" fillId="37" borderId="0" xfId="0" applyFont="1" applyFill="1" applyBorder="1" applyAlignment="1">
      <alignment horizontal="center"/>
    </xf>
    <xf numFmtId="0" fontId="0" fillId="0" borderId="10" xfId="0" applyBorder="1" applyAlignment="1">
      <alignment horizontal="center"/>
    </xf>
    <xf numFmtId="1" fontId="20" fillId="34" borderId="0" xfId="0" applyNumberFormat="1" applyFont="1" applyFill="1" applyBorder="1" applyAlignment="1">
      <alignment horizontal="center" vertical="center"/>
    </xf>
    <xf numFmtId="0" fontId="24" fillId="34" borderId="0" xfId="0" applyFont="1" applyFill="1" applyBorder="1" applyAlignment="1">
      <alignment horizontal="center" vertical="center"/>
    </xf>
    <xf numFmtId="0" fontId="0" fillId="34" borderId="0" xfId="0" applyFill="1" applyBorder="1" applyAlignment="1">
      <alignment horizontal="center"/>
    </xf>
    <xf numFmtId="0" fontId="0" fillId="34" borderId="0" xfId="0" applyNumberFormat="1" applyFill="1" applyBorder="1"/>
    <xf numFmtId="0" fontId="0" fillId="34" borderId="0" xfId="0" applyFill="1" applyBorder="1"/>
    <xf numFmtId="0" fontId="23" fillId="34" borderId="0" xfId="0" applyFont="1" applyFill="1" applyBorder="1" applyAlignment="1">
      <alignment vertical="center"/>
    </xf>
    <xf numFmtId="0" fontId="17" fillId="34" borderId="0" xfId="0" applyFont="1" applyFill="1" applyBorder="1" applyAlignment="1"/>
    <xf numFmtId="0" fontId="27" fillId="34" borderId="0" xfId="0" applyFont="1" applyFill="1" applyBorder="1" applyAlignment="1"/>
    <xf numFmtId="0" fontId="28" fillId="34" borderId="0" xfId="0" applyFont="1" applyFill="1" applyBorder="1" applyAlignment="1">
      <alignment horizontal="center" vertical="center"/>
    </xf>
    <xf numFmtId="0" fontId="29" fillId="34" borderId="0" xfId="0" applyFont="1" applyFill="1" applyBorder="1" applyAlignment="1">
      <alignment horizontal="center" vertical="center"/>
    </xf>
    <xf numFmtId="0" fontId="27" fillId="34" borderId="0" xfId="0" applyFont="1" applyFill="1" applyBorder="1"/>
    <xf numFmtId="167" fontId="0" fillId="0" borderId="0" xfId="42" applyNumberFormat="1" applyFont="1"/>
    <xf numFmtId="0" fontId="0" fillId="0" borderId="0" xfId="0" applyBorder="1" applyAlignment="1">
      <alignment horizontal="center"/>
    </xf>
    <xf numFmtId="168" fontId="0" fillId="0" borderId="0" xfId="0" applyNumberFormat="1" applyBorder="1" applyAlignment="1">
      <alignment horizontal="center"/>
    </xf>
    <xf numFmtId="1" fontId="0" fillId="0" borderId="12" xfId="0" applyNumberFormat="1" applyBorder="1" applyAlignment="1">
      <alignment horizontal="center"/>
    </xf>
    <xf numFmtId="1" fontId="0" fillId="0" borderId="12" xfId="0" applyNumberFormat="1" applyBorder="1"/>
    <xf numFmtId="0" fontId="0" fillId="0" borderId="12" xfId="0" applyBorder="1" applyAlignment="1">
      <alignment horizontal="left"/>
    </xf>
    <xf numFmtId="0" fontId="0" fillId="0" borderId="0" xfId="0" applyBorder="1" applyAlignment="1">
      <alignment horizontal="left"/>
    </xf>
    <xf numFmtId="0" fontId="25" fillId="34" borderId="0" xfId="0" applyFont="1" applyFill="1" applyBorder="1" applyAlignment="1">
      <alignment horizontal="center" vertical="center"/>
    </xf>
    <xf numFmtId="0" fontId="35" fillId="37" borderId="0" xfId="0" applyFont="1" applyFill="1" applyBorder="1" applyAlignment="1">
      <alignment horizontal="center" vertical="center"/>
    </xf>
    <xf numFmtId="0" fontId="35" fillId="34" borderId="0" xfId="0" applyFont="1" applyFill="1" applyBorder="1" applyAlignment="1">
      <alignment horizontal="center" vertical="center"/>
    </xf>
    <xf numFmtId="0" fontId="35" fillId="0" borderId="0" xfId="0" applyFont="1" applyFill="1" applyBorder="1" applyAlignment="1">
      <alignment horizontal="center" vertical="center"/>
    </xf>
    <xf numFmtId="0" fontId="37" fillId="37" borderId="0" xfId="0" applyFont="1" applyFill="1" applyBorder="1" applyAlignment="1">
      <alignment horizontal="center"/>
    </xf>
    <xf numFmtId="172" fontId="0" fillId="0" borderId="0" xfId="0" applyNumberFormat="1"/>
    <xf numFmtId="173" fontId="0" fillId="0" borderId="0" xfId="0" applyNumberFormat="1"/>
    <xf numFmtId="14" fontId="0" fillId="0" borderId="13" xfId="0" applyNumberFormat="1" applyBorder="1" applyAlignment="1">
      <alignment horizontal="left"/>
    </xf>
    <xf numFmtId="0" fontId="0" fillId="0" borderId="14" xfId="0" applyBorder="1"/>
    <xf numFmtId="14" fontId="0" fillId="0" borderId="15" xfId="0" applyNumberFormat="1" applyBorder="1" applyAlignment="1">
      <alignment horizontal="left"/>
    </xf>
    <xf numFmtId="0" fontId="0" fillId="0" borderId="11" xfId="0" applyBorder="1"/>
    <xf numFmtId="0" fontId="0" fillId="0" borderId="16" xfId="0" applyBorder="1"/>
    <xf numFmtId="14" fontId="0" fillId="0" borderId="17" xfId="0" applyNumberFormat="1" applyBorder="1" applyAlignment="1">
      <alignment horizontal="left"/>
    </xf>
    <xf numFmtId="9" fontId="0" fillId="0" borderId="12" xfId="42" applyFont="1" applyBorder="1"/>
    <xf numFmtId="0" fontId="0" fillId="0" borderId="18" xfId="0" applyBorder="1"/>
    <xf numFmtId="9" fontId="0" fillId="0" borderId="0" xfId="0" applyNumberFormat="1"/>
    <xf numFmtId="10" fontId="0" fillId="0" borderId="0" xfId="0" applyNumberFormat="1"/>
    <xf numFmtId="12" fontId="0" fillId="0" borderId="0" xfId="42" applyNumberFormat="1" applyFont="1"/>
    <xf numFmtId="168" fontId="21" fillId="0" borderId="0" xfId="0" applyNumberFormat="1" applyFont="1"/>
    <xf numFmtId="1" fontId="21" fillId="0" borderId="0" xfId="0" applyNumberFormat="1" applyFont="1"/>
    <xf numFmtId="170" fontId="21" fillId="0" borderId="0" xfId="0" applyNumberFormat="1" applyFont="1"/>
    <xf numFmtId="172" fontId="21" fillId="0" borderId="0" xfId="0" applyNumberFormat="1" applyFont="1"/>
    <xf numFmtId="0" fontId="39" fillId="0" borderId="0" xfId="0" applyFont="1" applyAlignment="1">
      <alignment horizontal="center"/>
    </xf>
    <xf numFmtId="0" fontId="18" fillId="35" borderId="0" xfId="0" applyFont="1" applyFill="1"/>
    <xf numFmtId="0" fontId="0" fillId="0" borderId="0" xfId="0" applyFill="1"/>
    <xf numFmtId="170" fontId="22" fillId="0" borderId="0" xfId="0" applyNumberFormat="1" applyFont="1"/>
    <xf numFmtId="172" fontId="22" fillId="0" borderId="0" xfId="0" applyNumberFormat="1" applyFont="1"/>
    <xf numFmtId="0" fontId="16" fillId="0" borderId="10" xfId="0" applyFont="1" applyFill="1" applyBorder="1"/>
    <xf numFmtId="2" fontId="16" fillId="0" borderId="10" xfId="0" applyNumberFormat="1" applyFont="1" applyFill="1" applyBorder="1"/>
    <xf numFmtId="0" fontId="0" fillId="0" borderId="10" xfId="0" applyFont="1" applyFill="1" applyBorder="1"/>
    <xf numFmtId="2" fontId="0" fillId="0" borderId="10" xfId="0" applyNumberFormat="1" applyFont="1" applyFill="1" applyBorder="1"/>
    <xf numFmtId="175" fontId="0" fillId="0" borderId="0" xfId="0" applyNumberFormat="1" applyAlignment="1">
      <alignment horizontal="left"/>
    </xf>
    <xf numFmtId="176" fontId="0" fillId="0" borderId="10" xfId="0" applyNumberFormat="1" applyFont="1" applyFill="1" applyBorder="1"/>
    <xf numFmtId="176" fontId="0" fillId="0" borderId="0" xfId="0" applyNumberFormat="1"/>
    <xf numFmtId="0" fontId="36" fillId="0" borderId="0" xfId="0" applyFont="1" applyFill="1" applyBorder="1" applyAlignment="1">
      <alignment horizontal="center" vertical="center"/>
    </xf>
    <xf numFmtId="164" fontId="41" fillId="36" borderId="0" xfId="0" applyNumberFormat="1" applyFont="1" applyFill="1" applyBorder="1" applyAlignment="1">
      <alignment horizontal="center" vertical="center"/>
    </xf>
    <xf numFmtId="170" fontId="41" fillId="36" borderId="0" xfId="0" applyNumberFormat="1" applyFont="1" applyFill="1" applyBorder="1" applyAlignment="1">
      <alignment horizontal="center" vertical="center"/>
    </xf>
    <xf numFmtId="0" fontId="33" fillId="34" borderId="0" xfId="0" applyFont="1" applyFill="1" applyBorder="1" applyAlignment="1">
      <alignment horizontal="center" vertical="center"/>
    </xf>
    <xf numFmtId="0" fontId="21" fillId="0" borderId="0" xfId="0" applyFont="1" applyAlignment="1">
      <alignment horizontal="center" vertical="center"/>
    </xf>
    <xf numFmtId="0" fontId="40" fillId="0" borderId="0" xfId="0" applyFont="1" applyFill="1" applyBorder="1" applyAlignment="1">
      <alignment vertical="center"/>
    </xf>
    <xf numFmtId="0" fontId="40" fillId="0" borderId="0" xfId="0" applyFont="1" applyFill="1" applyBorder="1" applyAlignment="1">
      <alignment horizontal="center" vertical="center"/>
    </xf>
    <xf numFmtId="170" fontId="41" fillId="0" borderId="0" xfId="0" applyNumberFormat="1" applyFont="1" applyFill="1" applyBorder="1" applyAlignment="1">
      <alignment horizontal="center" vertical="center"/>
    </xf>
    <xf numFmtId="0" fontId="0" fillId="0" borderId="0" xfId="0" applyAlignment="1">
      <alignment wrapText="1"/>
    </xf>
    <xf numFmtId="0" fontId="0" fillId="0" borderId="0" xfId="0" applyAlignment="1">
      <alignment horizontal="center" vertical="center" wrapText="1"/>
    </xf>
    <xf numFmtId="167" fontId="0" fillId="0" borderId="10" xfId="0" applyNumberFormat="1" applyBorder="1" applyAlignment="1">
      <alignment horizontal="center"/>
    </xf>
    <xf numFmtId="177" fontId="41" fillId="36" borderId="0" xfId="0" applyNumberFormat="1" applyFont="1" applyFill="1" applyBorder="1" applyAlignment="1">
      <alignment vertical="center"/>
    </xf>
    <xf numFmtId="0" fontId="0" fillId="0" borderId="0" xfId="0" applyFill="1" applyAlignment="1">
      <alignment horizontal="left"/>
    </xf>
    <xf numFmtId="0" fontId="0" fillId="0" borderId="0" xfId="0" applyNumberFormat="1" applyFill="1"/>
    <xf numFmtId="0" fontId="36" fillId="34" borderId="0" xfId="0" applyFont="1" applyFill="1" applyBorder="1" applyAlignment="1">
      <alignment horizontal="center" vertical="center"/>
    </xf>
    <xf numFmtId="0" fontId="40" fillId="34" borderId="0" xfId="0" applyFont="1" applyFill="1" applyBorder="1" applyAlignment="1">
      <alignment horizontal="center" vertical="center"/>
    </xf>
    <xf numFmtId="170" fontId="41" fillId="34" borderId="0" xfId="0" applyNumberFormat="1" applyFont="1" applyFill="1" applyBorder="1" applyAlignment="1">
      <alignment horizontal="center" vertical="center"/>
    </xf>
    <xf numFmtId="0" fontId="37" fillId="34" borderId="0" xfId="0" applyFont="1" applyFill="1" applyBorder="1" applyAlignment="1"/>
    <xf numFmtId="0" fontId="37" fillId="34" borderId="0" xfId="0" applyFont="1" applyFill="1" applyBorder="1" applyAlignment="1">
      <alignment horizontal="center"/>
    </xf>
    <xf numFmtId="0" fontId="36" fillId="34" borderId="0" xfId="0" applyFont="1" applyFill="1" applyBorder="1" applyAlignment="1">
      <alignment horizontal="center" vertical="center"/>
    </xf>
    <xf numFmtId="0" fontId="38" fillId="34" borderId="0" xfId="0" applyFont="1" applyFill="1" applyBorder="1" applyAlignment="1">
      <alignment horizontal="center" vertical="center"/>
    </xf>
    <xf numFmtId="0" fontId="45" fillId="34" borderId="0" xfId="0" applyFont="1" applyFill="1" applyAlignment="1">
      <alignment horizontal="center" vertical="center" wrapText="1"/>
    </xf>
    <xf numFmtId="0" fontId="0" fillId="34" borderId="0" xfId="0" applyFill="1"/>
    <xf numFmtId="0" fontId="32" fillId="34" borderId="0" xfId="0" applyFont="1" applyFill="1"/>
    <xf numFmtId="0" fontId="45" fillId="34" borderId="0" xfId="0" applyFont="1" applyFill="1" applyAlignment="1">
      <alignment horizontal="center" vertical="center"/>
    </xf>
    <xf numFmtId="0" fontId="33" fillId="34" borderId="0" xfId="0" applyFont="1" applyFill="1" applyBorder="1" applyAlignment="1">
      <alignment horizontal="center" vertical="center" wrapText="1"/>
    </xf>
    <xf numFmtId="0" fontId="36" fillId="34" borderId="0" xfId="0" applyFont="1" applyFill="1" applyBorder="1" applyAlignment="1">
      <alignment horizontal="center" vertical="center" wrapText="1"/>
    </xf>
    <xf numFmtId="1" fontId="0" fillId="34" borderId="0" xfId="0" applyNumberFormat="1" applyFill="1" applyBorder="1" applyAlignment="1">
      <alignment horizontal="center"/>
    </xf>
    <xf numFmtId="0" fontId="34" fillId="34" borderId="0" xfId="0" applyFont="1" applyFill="1" applyBorder="1" applyAlignment="1"/>
    <xf numFmtId="0" fontId="33" fillId="34" borderId="0" xfId="0" applyFont="1" applyFill="1" applyBorder="1" applyAlignment="1">
      <alignment horizontal="right" vertical="center"/>
    </xf>
    <xf numFmtId="167" fontId="33" fillId="34" borderId="0" xfId="0" applyNumberFormat="1" applyFont="1" applyFill="1" applyBorder="1" applyAlignment="1">
      <alignment horizontal="right" vertical="center"/>
    </xf>
    <xf numFmtId="0" fontId="43" fillId="34" borderId="0" xfId="0" applyFont="1" applyFill="1" applyAlignment="1">
      <alignment horizontal="center" vertical="center"/>
    </xf>
    <xf numFmtId="0" fontId="44" fillId="34" borderId="0" xfId="0" applyFont="1" applyFill="1" applyAlignment="1">
      <alignment horizontal="left"/>
    </xf>
    <xf numFmtId="1" fontId="44" fillId="34" borderId="0" xfId="0" applyNumberFormat="1" applyFont="1" applyFill="1" applyAlignment="1">
      <alignment horizontal="center"/>
    </xf>
    <xf numFmtId="1" fontId="31" fillId="34" borderId="0" xfId="0" applyNumberFormat="1" applyFont="1" applyFill="1" applyBorder="1" applyAlignment="1">
      <alignment horizontal="center" vertical="center"/>
    </xf>
    <xf numFmtId="0" fontId="42" fillId="34" borderId="0" xfId="0" applyFont="1" applyFill="1" applyAlignment="1">
      <alignment horizontal="center"/>
    </xf>
    <xf numFmtId="1" fontId="24" fillId="34" borderId="0" xfId="0" applyNumberFormat="1" applyFont="1" applyFill="1" applyBorder="1" applyAlignment="1">
      <alignment horizontal="center" vertical="center"/>
    </xf>
    <xf numFmtId="0" fontId="50" fillId="34" borderId="0" xfId="0" applyFont="1" applyFill="1" applyBorder="1" applyAlignment="1">
      <alignment horizontal="center" vertical="center"/>
    </xf>
    <xf numFmtId="178" fontId="33" fillId="34" borderId="0" xfId="0" applyNumberFormat="1" applyFont="1" applyFill="1" applyBorder="1" applyAlignment="1">
      <alignment horizontal="center" vertical="center"/>
    </xf>
    <xf numFmtId="167" fontId="0" fillId="0" borderId="0" xfId="0" applyNumberFormat="1" applyBorder="1"/>
    <xf numFmtId="167" fontId="0" fillId="0" borderId="0" xfId="0" applyNumberFormat="1" applyFill="1" applyBorder="1"/>
    <xf numFmtId="1" fontId="0" fillId="0" borderId="12" xfId="0" applyNumberFormat="1" applyFill="1" applyBorder="1" applyAlignment="1">
      <alignment horizontal="center"/>
    </xf>
    <xf numFmtId="0" fontId="0" fillId="0" borderId="12" xfId="0" applyBorder="1"/>
    <xf numFmtId="1" fontId="0" fillId="0" borderId="0" xfId="0" applyNumberFormat="1" applyFill="1" applyBorder="1" applyAlignment="1">
      <alignment horizontal="center"/>
    </xf>
    <xf numFmtId="0" fontId="21" fillId="0" borderId="0" xfId="0" applyFont="1" applyFill="1" applyAlignment="1"/>
    <xf numFmtId="0" fontId="0" fillId="0" borderId="0" xfId="0" applyFont="1" applyFill="1" applyAlignment="1"/>
    <xf numFmtId="174" fontId="41" fillId="0" borderId="0" xfId="0" applyNumberFormat="1" applyFont="1" applyFill="1" applyBorder="1" applyAlignment="1">
      <alignment horizontal="center" vertical="center"/>
    </xf>
    <xf numFmtId="0" fontId="18" fillId="34" borderId="0" xfId="0" applyFont="1" applyFill="1" applyBorder="1" applyAlignment="1"/>
    <xf numFmtId="0" fontId="40" fillId="37" borderId="0" xfId="0" applyFont="1" applyFill="1" applyBorder="1" applyAlignment="1">
      <alignment horizontal="center" vertical="center"/>
    </xf>
    <xf numFmtId="0" fontId="57" fillId="37" borderId="0" xfId="0" applyFont="1" applyFill="1" applyBorder="1" applyAlignment="1">
      <alignment horizontal="center" vertical="center"/>
    </xf>
    <xf numFmtId="174" fontId="41" fillId="0" borderId="0" xfId="0" applyNumberFormat="1" applyFont="1" applyFill="1" applyBorder="1" applyAlignment="1">
      <alignment vertical="center"/>
    </xf>
    <xf numFmtId="164" fontId="40" fillId="34" borderId="0" xfId="0" applyNumberFormat="1" applyFont="1" applyFill="1" applyBorder="1" applyAlignment="1">
      <alignment horizontal="center" vertical="center"/>
    </xf>
    <xf numFmtId="0" fontId="59" fillId="34" borderId="0" xfId="0" applyFont="1" applyFill="1" applyBorder="1" applyAlignment="1">
      <alignment horizontal="center" vertical="center"/>
    </xf>
    <xf numFmtId="0" fontId="46" fillId="34" borderId="0" xfId="0" applyFont="1" applyFill="1" applyBorder="1" applyAlignment="1">
      <alignment vertical="center"/>
    </xf>
    <xf numFmtId="0" fontId="51" fillId="34" borderId="0" xfId="0" applyFont="1" applyFill="1" applyBorder="1" applyAlignment="1">
      <alignment vertical="center"/>
    </xf>
    <xf numFmtId="0" fontId="47" fillId="34" borderId="0" xfId="0" applyFont="1" applyFill="1" applyBorder="1" applyAlignment="1">
      <alignment vertical="center"/>
    </xf>
    <xf numFmtId="0" fontId="52" fillId="34" borderId="0" xfId="0" applyFont="1" applyFill="1" applyBorder="1" applyAlignment="1">
      <alignment vertical="center"/>
    </xf>
    <xf numFmtId="0" fontId="53" fillId="34" borderId="0" xfId="0" applyFont="1" applyFill="1" applyBorder="1" applyAlignment="1">
      <alignment vertical="center"/>
    </xf>
    <xf numFmtId="0" fontId="48" fillId="34" borderId="0" xfId="0" applyFont="1" applyFill="1" applyBorder="1" applyAlignment="1">
      <alignment vertical="center"/>
    </xf>
    <xf numFmtId="0" fontId="54" fillId="34" borderId="0" xfId="0" applyFont="1" applyFill="1" applyBorder="1" applyAlignment="1">
      <alignment vertical="center"/>
    </xf>
    <xf numFmtId="0" fontId="49" fillId="34" borderId="0" xfId="0" applyFont="1" applyFill="1" applyBorder="1" applyAlignment="1">
      <alignment vertical="center"/>
    </xf>
    <xf numFmtId="0" fontId="56" fillId="34" borderId="0" xfId="0" applyFont="1" applyFill="1" applyBorder="1" applyAlignment="1">
      <alignment vertical="center"/>
    </xf>
    <xf numFmtId="0" fontId="40" fillId="38" borderId="0" xfId="0" applyFont="1" applyFill="1" applyBorder="1" applyAlignment="1">
      <alignment horizontal="center" vertical="center"/>
    </xf>
    <xf numFmtId="0" fontId="42" fillId="38" borderId="0" xfId="0" applyFont="1" applyFill="1" applyBorder="1" applyAlignment="1">
      <alignment horizontal="center" vertical="center" wrapText="1"/>
    </xf>
    <xf numFmtId="0" fontId="58" fillId="34" borderId="0" xfId="0" applyFont="1" applyFill="1" applyBorder="1" applyAlignment="1">
      <alignment horizontal="center" vertical="center"/>
    </xf>
    <xf numFmtId="0" fontId="59" fillId="0" borderId="0" xfId="0" applyFont="1" applyFill="1" applyBorder="1" applyAlignment="1">
      <alignment horizontal="center" vertical="center"/>
    </xf>
    <xf numFmtId="0" fontId="40" fillId="38" borderId="0" xfId="0" applyFont="1" applyFill="1" applyBorder="1" applyAlignment="1">
      <alignment horizontal="center" vertical="center" wrapText="1"/>
    </xf>
    <xf numFmtId="0" fontId="59" fillId="37" borderId="0" xfId="0" applyFont="1" applyFill="1" applyBorder="1" applyAlignment="1">
      <alignment horizontal="center" vertical="center"/>
    </xf>
    <xf numFmtId="0" fontId="40" fillId="37" borderId="0" xfId="0" applyFont="1" applyFill="1" applyBorder="1" applyAlignment="1">
      <alignment horizontal="center" vertical="center" wrapText="1"/>
    </xf>
    <xf numFmtId="164" fontId="40" fillId="37" borderId="0" xfId="0" applyNumberFormat="1" applyFont="1" applyFill="1" applyBorder="1" applyAlignment="1">
      <alignment horizontal="center" vertical="center"/>
    </xf>
    <xf numFmtId="0" fontId="41" fillId="34" borderId="0" xfId="0" applyFont="1" applyFill="1" applyBorder="1" applyAlignment="1">
      <alignment horizontal="center" vertical="center"/>
    </xf>
    <xf numFmtId="0" fontId="41" fillId="37" borderId="0" xfId="0" applyFont="1" applyFill="1" applyBorder="1" applyAlignment="1">
      <alignment horizontal="center" vertical="center"/>
    </xf>
    <xf numFmtId="164" fontId="40" fillId="0" borderId="0" xfId="0" applyNumberFormat="1" applyFont="1" applyFill="1" applyBorder="1" applyAlignment="1">
      <alignment horizontal="center" vertical="center"/>
    </xf>
    <xf numFmtId="0" fontId="0" fillId="35" borderId="0" xfId="0" applyFill="1" applyAlignment="1">
      <alignment horizontal="left"/>
    </xf>
    <xf numFmtId="10" fontId="21" fillId="0" borderId="0" xfId="0" applyNumberFormat="1" applyFont="1" applyFill="1"/>
    <xf numFmtId="179" fontId="0" fillId="0" borderId="0" xfId="0" applyNumberFormat="1"/>
    <xf numFmtId="180" fontId="0" fillId="0" borderId="0" xfId="0" applyNumberFormat="1"/>
    <xf numFmtId="2" fontId="16" fillId="0" borderId="0" xfId="0" applyNumberFormat="1" applyFont="1" applyFill="1" applyBorder="1"/>
    <xf numFmtId="0" fontId="16" fillId="0" borderId="0" xfId="0" applyFont="1" applyFill="1" applyBorder="1"/>
    <xf numFmtId="0" fontId="60" fillId="36" borderId="0" xfId="0" applyFont="1" applyFill="1" applyAlignment="1">
      <alignment horizontal="center" vertical="center"/>
    </xf>
    <xf numFmtId="0" fontId="61" fillId="0" borderId="0" xfId="0" applyFont="1" applyAlignment="1">
      <alignment horizontal="center" vertical="center"/>
    </xf>
    <xf numFmtId="173" fontId="62" fillId="0" borderId="0" xfId="0" applyNumberFormat="1" applyFont="1" applyAlignment="1">
      <alignment horizontal="center" vertical="center"/>
    </xf>
    <xf numFmtId="0" fontId="63" fillId="36" borderId="0" xfId="0" applyFont="1" applyFill="1" applyAlignment="1">
      <alignment horizontal="center"/>
    </xf>
    <xf numFmtId="0" fontId="64" fillId="0" borderId="0" xfId="0" applyFont="1"/>
    <xf numFmtId="0" fontId="60" fillId="36" borderId="0" xfId="0" applyFont="1" applyFill="1" applyAlignment="1">
      <alignment horizontal="center"/>
    </xf>
    <xf numFmtId="0" fontId="66" fillId="0" borderId="0" xfId="0" applyNumberFormat="1" applyFont="1" applyAlignment="1">
      <alignment horizontal="center"/>
    </xf>
    <xf numFmtId="0" fontId="62" fillId="0" borderId="0" xfId="0" applyNumberFormat="1" applyFont="1" applyAlignment="1">
      <alignment horizontal="center"/>
    </xf>
    <xf numFmtId="0" fontId="65" fillId="36" borderId="0" xfId="0" applyFont="1" applyFill="1" applyAlignment="1">
      <alignment horizontal="center" wrapText="1"/>
    </xf>
    <xf numFmtId="173" fontId="66" fillId="0" borderId="0" xfId="0" applyNumberFormat="1" applyFont="1" applyAlignment="1">
      <alignment horizontal="center" vertical="top"/>
    </xf>
    <xf numFmtId="0" fontId="67" fillId="36" borderId="0" xfId="0" applyFont="1" applyFill="1" applyAlignment="1">
      <alignment horizontal="center" wrapText="1"/>
    </xf>
    <xf numFmtId="173" fontId="68" fillId="0" borderId="0" xfId="0" applyNumberFormat="1" applyFont="1" applyAlignment="1">
      <alignment horizontal="center" vertical="center"/>
    </xf>
    <xf numFmtId="0" fontId="16" fillId="0" borderId="19" xfId="0" applyFont="1" applyFill="1" applyBorder="1"/>
    <xf numFmtId="0" fontId="16" fillId="0" borderId="13" xfId="0" applyFont="1" applyFill="1" applyBorder="1"/>
    <xf numFmtId="0" fontId="0" fillId="0" borderId="13" xfId="0" applyFont="1" applyFill="1" applyBorder="1"/>
    <xf numFmtId="178" fontId="0" fillId="0" borderId="0" xfId="0" applyNumberFormat="1"/>
    <xf numFmtId="2" fontId="0" fillId="0" borderId="10" xfId="0" applyNumberFormat="1" applyBorder="1" applyAlignment="1">
      <alignment horizontal="center"/>
    </xf>
    <xf numFmtId="182" fontId="21" fillId="0" borderId="0" xfId="0" applyNumberFormat="1" applyFont="1"/>
    <xf numFmtId="0" fontId="64" fillId="34" borderId="0" xfId="0" applyFont="1" applyFill="1" applyAlignment="1">
      <alignment horizontal="center" vertical="center"/>
    </xf>
    <xf numFmtId="0" fontId="64" fillId="34" borderId="0" xfId="0" applyFont="1" applyFill="1" applyBorder="1" applyAlignment="1">
      <alignment horizontal="center" vertical="center"/>
    </xf>
    <xf numFmtId="0" fontId="64" fillId="34" borderId="0" xfId="0" applyFont="1" applyFill="1" applyAlignment="1">
      <alignment horizontal="center" vertical="center" wrapText="1"/>
    </xf>
    <xf numFmtId="0" fontId="65" fillId="36" borderId="0" xfId="0" applyFont="1" applyFill="1" applyAlignment="1">
      <alignment horizontal="center" vertical="center"/>
    </xf>
    <xf numFmtId="0" fontId="65" fillId="36" borderId="0" xfId="0" applyFont="1" applyFill="1" applyBorder="1" applyAlignment="1">
      <alignment horizontal="center" vertical="center"/>
    </xf>
    <xf numFmtId="0" fontId="0" fillId="0" borderId="20" xfId="0" applyFill="1" applyBorder="1" applyAlignment="1"/>
    <xf numFmtId="0" fontId="69" fillId="0" borderId="21" xfId="0" applyFont="1" applyFill="1" applyBorder="1" applyAlignment="1">
      <alignment horizontal="center"/>
    </xf>
    <xf numFmtId="0" fontId="69" fillId="0" borderId="21" xfId="0" applyFont="1" applyFill="1" applyBorder="1" applyAlignment="1">
      <alignment horizontal="centerContinuous"/>
    </xf>
    <xf numFmtId="0" fontId="70" fillId="0" borderId="0" xfId="0" applyFont="1" applyFill="1" applyBorder="1" applyAlignment="1"/>
    <xf numFmtId="0" fontId="70" fillId="0" borderId="20" xfId="0" applyFont="1" applyFill="1" applyBorder="1" applyAlignment="1"/>
    <xf numFmtId="14" fontId="71" fillId="0" borderId="0" xfId="0" applyNumberFormat="1" applyFont="1" applyAlignment="1">
      <alignment horizontal="left"/>
    </xf>
    <xf numFmtId="0" fontId="72" fillId="0" borderId="0" xfId="0" applyFont="1"/>
    <xf numFmtId="0" fontId="0" fillId="35" borderId="20" xfId="0" applyFill="1" applyBorder="1" applyAlignment="1"/>
    <xf numFmtId="0" fontId="64" fillId="38" borderId="0" xfId="0" applyFont="1" applyFill="1" applyAlignment="1">
      <alignment horizontal="center" vertical="center" wrapText="1"/>
    </xf>
    <xf numFmtId="0" fontId="21" fillId="0" borderId="0" xfId="0" pivotButton="1" applyFont="1" applyAlignment="1">
      <alignment horizontal="center"/>
    </xf>
    <xf numFmtId="0" fontId="21" fillId="0" borderId="0" xfId="0" applyFont="1" applyAlignment="1">
      <alignment horizontal="center"/>
    </xf>
    <xf numFmtId="14" fontId="21" fillId="0" borderId="0" xfId="0" applyNumberFormat="1" applyFont="1" applyAlignment="1">
      <alignment horizontal="center"/>
    </xf>
    <xf numFmtId="1" fontId="21" fillId="0" borderId="0" xfId="0" applyNumberFormat="1" applyFont="1" applyAlignment="1">
      <alignment horizontal="center"/>
    </xf>
    <xf numFmtId="181" fontId="21" fillId="0" borderId="0" xfId="0" applyNumberFormat="1" applyFont="1" applyAlignment="1">
      <alignment horizontal="center"/>
    </xf>
    <xf numFmtId="0" fontId="0" fillId="35" borderId="10" xfId="0" applyFill="1" applyBorder="1" applyAlignment="1">
      <alignment horizontal="center"/>
    </xf>
    <xf numFmtId="0" fontId="0" fillId="0" borderId="10" xfId="0" applyBorder="1" applyAlignment="1">
      <alignment horizontal="center" wrapText="1"/>
    </xf>
    <xf numFmtId="14" fontId="0" fillId="0" borderId="10" xfId="0" applyNumberFormat="1" applyBorder="1" applyAlignment="1">
      <alignment horizontal="center" vertical="center" wrapText="1"/>
    </xf>
    <xf numFmtId="14" fontId="0" fillId="0" borderId="10" xfId="0" applyNumberFormat="1" applyBorder="1" applyAlignment="1">
      <alignment horizontal="center" vertical="center"/>
    </xf>
    <xf numFmtId="0" fontId="0" fillId="35" borderId="0" xfId="0" applyFill="1" applyAlignment="1">
      <alignment horizontal="center"/>
    </xf>
    <xf numFmtId="0" fontId="0" fillId="0" borderId="10" xfId="0" applyBorder="1" applyAlignment="1">
      <alignment horizontal="center"/>
    </xf>
    <xf numFmtId="0" fontId="0" fillId="0" borderId="10" xfId="0" applyBorder="1" applyAlignment="1">
      <alignment horizontal="center" vertical="center"/>
    </xf>
    <xf numFmtId="0" fontId="21" fillId="35" borderId="0" xfId="0" applyFont="1" applyFill="1" applyAlignment="1">
      <alignment horizontal="center"/>
    </xf>
    <xf numFmtId="14" fontId="21" fillId="35" borderId="0" xfId="0" applyNumberFormat="1" applyFont="1" applyFill="1" applyAlignment="1">
      <alignment horizontal="center"/>
    </xf>
    <xf numFmtId="0" fontId="42" fillId="34" borderId="0" xfId="0" applyFont="1" applyFill="1" applyAlignment="1">
      <alignment horizontal="center"/>
    </xf>
    <xf numFmtId="0" fontId="55" fillId="34" borderId="0" xfId="0" applyFont="1" applyFill="1" applyBorder="1" applyAlignment="1">
      <alignment horizontal="left" vertical="center"/>
    </xf>
    <xf numFmtId="0" fontId="0" fillId="34" borderId="0" xfId="0" applyFill="1" applyBorder="1" applyAlignment="1">
      <alignment horizontal="center"/>
    </xf>
    <xf numFmtId="0" fontId="51" fillId="34" borderId="0" xfId="0" applyFont="1" applyFill="1" applyBorder="1" applyAlignment="1">
      <alignment horizontal="center" vertical="center"/>
    </xf>
    <xf numFmtId="0" fontId="47" fillId="34" borderId="0" xfId="0" applyFont="1" applyFill="1" applyBorder="1" applyAlignment="1">
      <alignment horizontal="center" vertical="center"/>
    </xf>
    <xf numFmtId="0" fontId="52" fillId="34" borderId="0" xfId="0" applyFont="1" applyFill="1" applyBorder="1" applyAlignment="1">
      <alignment horizontal="center" vertical="center"/>
    </xf>
    <xf numFmtId="0" fontId="53" fillId="34" borderId="0" xfId="0" applyFont="1" applyFill="1" applyBorder="1" applyAlignment="1">
      <alignment horizontal="center" vertical="center"/>
    </xf>
    <xf numFmtId="0" fontId="48" fillId="34" borderId="0" xfId="0" applyFont="1" applyFill="1" applyBorder="1" applyAlignment="1">
      <alignment horizontal="center" vertical="center"/>
    </xf>
    <xf numFmtId="0" fontId="46" fillId="34" borderId="0" xfId="0" applyFont="1" applyFill="1" applyAlignment="1">
      <alignment horizontal="center" vertical="center"/>
    </xf>
    <xf numFmtId="0" fontId="51" fillId="34" borderId="0" xfId="0" applyFont="1" applyFill="1" applyAlignment="1">
      <alignment horizontal="center" vertical="center"/>
    </xf>
    <xf numFmtId="0" fontId="47" fillId="34" borderId="0" xfId="0" applyFont="1" applyFill="1" applyAlignment="1">
      <alignment horizontal="center" vertical="center"/>
    </xf>
    <xf numFmtId="0" fontId="40" fillId="0" borderId="0" xfId="0" applyFont="1" applyFill="1" applyBorder="1" applyAlignment="1">
      <alignment horizontal="center" vertical="center"/>
    </xf>
    <xf numFmtId="0" fontId="38" fillId="0" borderId="0" xfId="0" applyFont="1" applyFill="1" applyBorder="1" applyAlignment="1">
      <alignment horizontal="center" vertical="center"/>
    </xf>
    <xf numFmtId="0" fontId="49" fillId="34" borderId="0" xfId="0" applyFont="1" applyFill="1" applyBorder="1" applyAlignment="1">
      <alignment horizontal="center" vertical="center"/>
    </xf>
    <xf numFmtId="0" fontId="0" fillId="0" borderId="0" xfId="0" applyFill="1" applyBorder="1" applyAlignment="1">
      <alignment horizontal="center"/>
    </xf>
    <xf numFmtId="0" fontId="40" fillId="34" borderId="0" xfId="0" applyFont="1" applyFill="1" applyBorder="1" applyAlignment="1">
      <alignment horizontal="center" vertical="center"/>
    </xf>
    <xf numFmtId="0" fontId="40" fillId="0" borderId="0" xfId="0" applyFont="1" applyFill="1" applyBorder="1" applyAlignment="1">
      <alignment horizontal="center" vertical="center" wrapText="1"/>
    </xf>
    <xf numFmtId="0" fontId="38" fillId="34" borderId="0" xfId="0" applyFont="1" applyFill="1" applyBorder="1" applyAlignment="1">
      <alignment horizontal="center" vertical="center"/>
    </xf>
    <xf numFmtId="0" fontId="56" fillId="34" borderId="0" xfId="0" applyFont="1" applyFill="1" applyBorder="1" applyAlignment="1">
      <alignment horizontal="center" vertical="center"/>
    </xf>
    <xf numFmtId="0" fontId="48" fillId="34" borderId="0" xfId="0" applyFont="1" applyFill="1" applyAlignment="1">
      <alignment horizontal="center" vertical="center"/>
    </xf>
    <xf numFmtId="0" fontId="49" fillId="34" borderId="0" xfId="0" applyFont="1" applyFill="1" applyAlignment="1">
      <alignment horizontal="center" vertical="center"/>
    </xf>
    <xf numFmtId="0" fontId="46" fillId="34" borderId="0" xfId="0" applyFont="1" applyFill="1" applyBorder="1" applyAlignment="1">
      <alignment horizontal="center" vertical="center"/>
    </xf>
    <xf numFmtId="0" fontId="54" fillId="34" borderId="0" xfId="0" applyFont="1" applyFill="1" applyBorder="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90">
    <dxf>
      <font>
        <color theme="3"/>
      </font>
    </dxf>
    <dxf>
      <font>
        <b val="0"/>
        <i val="0"/>
        <strike val="0"/>
        <condense val="0"/>
        <extend val="0"/>
        <outline val="0"/>
        <shadow val="0"/>
        <u val="none"/>
        <vertAlign val="baseline"/>
        <sz val="11"/>
        <color theme="1"/>
        <name val="Calibri"/>
        <scheme val="minor"/>
      </font>
      <numFmt numFmtId="2"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numFmt numFmtId="2"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numFmt numFmtId="176" formatCode="mm/dd/yy;@"/>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border diagonalUp="0" diagonalDown="0">
        <left/>
        <right style="thin">
          <color indexed="64"/>
        </right>
        <top style="thin">
          <color indexed="64"/>
        </top>
        <bottom style="thin">
          <color indexed="64"/>
        </bottom>
        <vertical/>
        <horizontal/>
      </border>
    </dxf>
    <dxf>
      <border outline="0">
        <left style="thin">
          <color indexed="64"/>
        </left>
      </border>
    </dxf>
    <dxf>
      <numFmt numFmtId="1" formatCode="0"/>
    </dxf>
    <dxf>
      <numFmt numFmtId="182" formatCode="[$$-409]#,##0.0"/>
    </dxf>
    <dxf>
      <numFmt numFmtId="2" formatCode="0.00"/>
    </dxf>
    <dxf>
      <font>
        <color theme="1" tint="4.9989318521683403E-2"/>
      </font>
    </dxf>
    <dxf>
      <numFmt numFmtId="181" formatCode="[$$-409]#,##0"/>
    </dxf>
    <dxf>
      <alignment horizontal="center" readingOrder="0"/>
    </dxf>
    <dxf>
      <font>
        <color theme="1" tint="4.9989318521683403E-2"/>
      </font>
    </dxf>
    <dxf>
      <numFmt numFmtId="181" formatCode="[$$-409]#,##0"/>
    </dxf>
    <dxf>
      <alignment horizontal="center" readingOrder="0"/>
    </dxf>
    <dxf>
      <font>
        <color theme="1" tint="4.9989318521683403E-2"/>
      </font>
    </dxf>
    <dxf>
      <alignment horizontal="center" readingOrder="0"/>
    </dxf>
    <dxf>
      <numFmt numFmtId="1" formatCode="0"/>
    </dxf>
    <dxf>
      <font>
        <color theme="1" tint="4.9989318521683403E-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 formatCode="0"/>
    </dxf>
    <dxf>
      <numFmt numFmtId="1" formatCode="0"/>
    </dxf>
    <dxf>
      <numFmt numFmtId="167" formatCode="[$$-409]#,\K"/>
    </dxf>
    <dxf>
      <numFmt numFmtId="1" formatCode="0"/>
    </dxf>
    <dxf>
      <numFmt numFmtId="172" formatCode="[$$-409]#.00,\ \K"/>
    </dxf>
    <dxf>
      <numFmt numFmtId="170" formatCode="#,##0_ ;\-#,##0\ "/>
    </dxf>
    <dxf>
      <font>
        <color theme="1" tint="4.9989318521683403E-2"/>
      </font>
    </dxf>
    <dxf>
      <font>
        <b val="0"/>
      </font>
    </dxf>
    <dxf>
      <font>
        <b/>
      </font>
    </dxf>
    <dxf>
      <numFmt numFmtId="183" formatCode="[$$-409]#,##0_ ;\-[$$-409]#,##0\ "/>
    </dxf>
    <dxf>
      <numFmt numFmtId="14" formatCode="0.00%"/>
    </dxf>
    <dxf>
      <numFmt numFmtId="168" formatCode="[$$-409]#.0,\K"/>
    </dxf>
    <dxf>
      <font>
        <color theme="1" tint="4.9989318521683403E-2"/>
      </font>
    </dxf>
    <dxf>
      <numFmt numFmtId="168" formatCode="[$$-409]#.0,\K"/>
    </dxf>
    <dxf>
      <font>
        <color theme="1" tint="4.9989318521683403E-2"/>
      </font>
    </dxf>
    <dxf>
      <numFmt numFmtId="14" formatCode="0.00%"/>
    </dxf>
    <dxf>
      <font>
        <color theme="1" tint="4.9989318521683403E-2"/>
      </font>
    </dxf>
    <dxf>
      <numFmt numFmtId="167" formatCode="[$$-409]#,\K"/>
    </dxf>
    <dxf>
      <numFmt numFmtId="14" formatCode="0.00%"/>
    </dxf>
    <dxf>
      <font>
        <color theme="1" tint="4.9989318521683403E-2"/>
      </font>
    </dxf>
    <dxf>
      <numFmt numFmtId="167" formatCode="[$$-409]#,\K"/>
    </dxf>
    <dxf>
      <numFmt numFmtId="14" formatCode="0.00%"/>
    </dxf>
    <dxf>
      <font>
        <color theme="1" tint="4.9989318521683403E-2"/>
      </font>
    </dxf>
    <dxf>
      <numFmt numFmtId="167" formatCode="[$$-409]#,\K"/>
    </dxf>
    <dxf>
      <numFmt numFmtId="14" formatCode="0.00%"/>
    </dxf>
    <dxf>
      <numFmt numFmtId="167" formatCode="[$$-409]#,\K"/>
    </dxf>
    <dxf>
      <numFmt numFmtId="0" formatCode="General"/>
    </dxf>
    <dxf>
      <font>
        <color theme="1" tint="4.9989318521683403E-2"/>
      </font>
    </dxf>
    <dxf>
      <numFmt numFmtId="167" formatCode="[$$-409]#,\K"/>
    </dxf>
    <dxf>
      <font>
        <color theme="1" tint="4.9989318521683403E-2"/>
      </font>
    </dxf>
    <dxf>
      <font>
        <b val="0"/>
      </font>
    </dxf>
    <dxf>
      <numFmt numFmtId="14" formatCode="0.00%"/>
    </dxf>
    <dxf>
      <font>
        <b/>
      </font>
    </dxf>
    <dxf>
      <numFmt numFmtId="183" formatCode="[$$-409]#,##0_ ;\-[$$-409]#,##0\ "/>
    </dxf>
    <dxf>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numFmt numFmtId="13" formatCode="0%"/>
      <border diagonalUp="0" diagonalDown="0">
        <left style="thin">
          <color indexed="64"/>
        </left>
        <right style="thin">
          <color indexed="64"/>
        </right>
        <top style="thin">
          <color indexed="64"/>
        </top>
        <bottom style="thin">
          <color indexed="64"/>
        </bottom>
        <vertical/>
        <horizontal/>
      </border>
    </dxf>
    <dxf>
      <numFmt numFmtId="19" formatCode="dd/mm/yyyy"/>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name val="Cambria"/>
        <scheme val="major"/>
      </font>
    </dxf>
    <dxf>
      <font>
        <sz val="12"/>
      </font>
    </dxf>
    <dxf>
      <font>
        <b/>
      </font>
    </dxf>
    <dxf>
      <font>
        <color theme="0"/>
      </font>
    </dxf>
    <dxf>
      <fill>
        <patternFill patternType="solid">
          <bgColor theme="3" tint="-0.499984740745262"/>
        </patternFill>
      </fill>
    </dxf>
    <dxf>
      <alignment horizontal="center" readingOrder="0"/>
    </dxf>
    <dxf>
      <alignment horizontal="center" readingOrder="0"/>
    </dxf>
    <dxf>
      <numFmt numFmtId="175" formatCode="[$-409]dd\-mmm\-yy;@"/>
    </dxf>
    <dxf>
      <numFmt numFmtId="167" formatCode="[$$-409]#,\K"/>
    </dxf>
    <dxf>
      <font>
        <sz val="12"/>
      </font>
    </dxf>
    <dxf>
      <font>
        <name val="Cambria"/>
        <scheme val="major"/>
      </font>
    </dxf>
    <dxf>
      <alignment vertical="center" readingOrder="0"/>
    </dxf>
    <dxf>
      <alignment horizontal="center" readingOrder="0"/>
    </dxf>
    <dxf>
      <font>
        <b/>
      </font>
    </dxf>
    <dxf>
      <font>
        <color theme="0"/>
      </font>
    </dxf>
    <dxf>
      <fill>
        <patternFill>
          <bgColor theme="3" tint="-0.499984740745262"/>
        </patternFill>
      </fill>
    </dxf>
    <dxf>
      <fill>
        <patternFill patternType="solid">
          <bgColor rgb="FFEAEAEA"/>
        </patternFill>
      </fill>
    </dxf>
    <dxf>
      <alignment horizontal="center" readingOrder="0"/>
    </dxf>
    <dxf>
      <numFmt numFmtId="173" formatCode="[$$-409]#,##0.00"/>
    </dxf>
    <dxf>
      <alignment horizontal="center" readingOrder="0"/>
    </dxf>
    <dxf>
      <numFmt numFmtId="184" formatCode="_-[$$-409]* #.0000,\K"/>
    </dxf>
    <dxf>
      <numFmt numFmtId="167" formatCode="[$$-409]#,\K"/>
    </dxf>
    <dxf>
      <alignment vertical="center" readingOrder="0"/>
    </dxf>
    <dxf>
      <font>
        <sz val="12"/>
      </font>
    </dxf>
    <dxf>
      <font>
        <name val="Cambria"/>
        <scheme val="major"/>
      </font>
    </dxf>
    <dxf>
      <font>
        <b/>
      </font>
    </dxf>
    <dxf>
      <numFmt numFmtId="173" formatCode="[$$-409]#,##0.00"/>
    </dxf>
    <dxf>
      <alignment horizontal="center" readingOrder="0"/>
    </dxf>
    <dxf>
      <font>
        <b/>
      </font>
    </dxf>
    <dxf>
      <fill>
        <patternFill patternType="solid">
          <bgColor theme="3" tint="-0.499984740745262"/>
        </patternFill>
      </fill>
    </dxf>
    <dxf>
      <font>
        <color theme="0"/>
      </font>
    </dxf>
    <dxf>
      <alignment horizontal="center" readingOrder="0"/>
    </dxf>
    <dxf>
      <alignment wrapText="1" readingOrder="0"/>
    </dxf>
    <dxf>
      <numFmt numFmtId="167" formatCode="[$$-409]#,\K"/>
    </dxf>
    <dxf>
      <font>
        <sz val="12"/>
      </font>
    </dxf>
    <dxf>
      <font>
        <name val="Cambria"/>
        <scheme val="major"/>
      </font>
    </dxf>
    <dxf>
      <alignment vertical="center" readingOrder="0"/>
    </dxf>
    <dxf>
      <alignment horizontal="center" readingOrder="0"/>
    </dxf>
    <dxf>
      <font>
        <b/>
      </font>
    </dxf>
    <dxf>
      <alignment horizontal="center" readingOrder="0"/>
    </dxf>
    <dxf>
      <numFmt numFmtId="173" formatCode="[$$-409]#,##0.00"/>
    </dxf>
    <dxf>
      <alignment horizontal="center" readingOrder="0"/>
    </dxf>
    <dxf>
      <fill>
        <patternFill>
          <bgColor theme="3" tint="-0.499984740745262"/>
        </patternFill>
      </fill>
    </dxf>
    <dxf>
      <font>
        <color theme="0"/>
      </font>
    </dxf>
    <dxf>
      <fill>
        <patternFill patternType="solid">
          <bgColor theme="2" tint="-0.89999084444715716"/>
        </patternFill>
      </fill>
    </dxf>
    <dxf>
      <numFmt numFmtId="167" formatCode="[$$-409]#,\K"/>
    </dxf>
    <dxf>
      <font>
        <name val="Cambria"/>
        <scheme val="major"/>
      </font>
    </dxf>
    <dxf>
      <font>
        <b/>
      </font>
    </dxf>
    <dxf>
      <alignment vertical="top" readingOrder="0"/>
    </dxf>
    <dxf>
      <font>
        <color theme="0"/>
      </font>
    </dxf>
    <dxf>
      <fill>
        <patternFill patternType="solid">
          <bgColor theme="3" tint="-0.499984740745262"/>
        </patternFill>
      </fill>
    </dxf>
    <dxf>
      <alignment horizontal="center" readingOrder="0"/>
    </dxf>
    <dxf>
      <font>
        <b/>
      </font>
    </dxf>
    <dxf>
      <numFmt numFmtId="173" formatCode="[$$-409]#,##0.00"/>
    </dxf>
    <dxf>
      <alignment wrapText="1" readingOrder="0"/>
    </dxf>
    <dxf>
      <alignment horizontal="center" readingOrder="0"/>
    </dxf>
    <dxf>
      <numFmt numFmtId="14" formatCode="0.00%"/>
    </dxf>
    <dxf>
      <numFmt numFmtId="167" formatCode="[$$-409]#,\K"/>
    </dxf>
    <dxf>
      <font>
        <name val="Cambria"/>
        <scheme val="major"/>
      </font>
    </dxf>
    <dxf>
      <font>
        <b/>
      </font>
    </dxf>
    <dxf>
      <alignment horizontal="center" readingOrder="0"/>
    </dxf>
    <dxf>
      <font>
        <color theme="0"/>
      </font>
    </dxf>
    <dxf>
      <fill>
        <patternFill patternType="solid">
          <bgColor theme="3" tint="-0.499984740745262"/>
        </patternFill>
      </fill>
    </dxf>
    <dxf>
      <alignment horizontal="center" readingOrder="0"/>
    </dxf>
    <dxf>
      <numFmt numFmtId="167" formatCode="[$$-409]#,\K"/>
    </dxf>
    <dxf>
      <numFmt numFmtId="2" formatCode="0.00"/>
    </dxf>
    <dxf>
      <numFmt numFmtId="2" formatCode="0.00"/>
    </dxf>
    <dxf>
      <numFmt numFmtId="176" formatCode="mm/dd/yy;@"/>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sz val="75"/>
        <color theme="3" tint="-0.499984740745262"/>
        <name val="Cambria"/>
        <scheme val="major"/>
      </font>
      <fill>
        <patternFill patternType="none">
          <bgColor auto="1"/>
        </patternFill>
      </fill>
      <border diagonalUp="0" diagonalDown="0">
        <left/>
        <right/>
        <top/>
        <bottom style="thin">
          <color auto="1"/>
        </bottom>
        <vertical/>
        <horizontal/>
      </border>
    </dxf>
    <dxf>
      <font>
        <b val="0"/>
        <i val="0"/>
        <strike val="0"/>
        <sz val="48"/>
        <color theme="1"/>
        <name val="Calibri"/>
        <scheme val="minor"/>
      </font>
      <fill>
        <patternFill patternType="none">
          <bgColor auto="1"/>
        </patternFill>
      </fill>
      <border diagonalUp="0" diagonalDown="0">
        <left/>
        <right/>
        <top/>
        <bottom/>
        <vertical/>
        <horizontal/>
      </border>
    </dxf>
    <dxf>
      <fill>
        <patternFill>
          <fgColor theme="0" tint="-4.9989318521683403E-2"/>
          <bgColor theme="0" tint="-4.9989318521683403E-2"/>
        </patternFill>
      </fill>
    </dxf>
    <dxf>
      <font>
        <color theme="1"/>
      </font>
      <fill>
        <patternFill>
          <bgColor theme="3" tint="0.59996337778862885"/>
        </patternFill>
      </fill>
    </dxf>
    <dxf>
      <font>
        <color theme="0"/>
      </font>
      <fill>
        <patternFill>
          <bgColor theme="3" tint="-0.499984740745262"/>
        </patternFill>
      </fill>
    </dxf>
    <dxf>
      <fill>
        <patternFill>
          <bgColor theme="0" tint="-4.9989318521683403E-2"/>
        </patternFill>
      </fill>
    </dxf>
    <dxf>
      <fill>
        <patternFill>
          <bgColor theme="0" tint="-0.14996795556505021"/>
        </patternFill>
      </fill>
    </dxf>
    <dxf>
      <border>
        <top style="thin">
          <color theme="4" tint="0.79998168889431442"/>
        </top>
        <bottom style="thin">
          <color theme="4" tint="0.79998168889431442"/>
        </bottom>
      </border>
    </dxf>
    <dxf>
      <border>
        <top style="thin">
          <color theme="4" tint="0.79998168889431442"/>
        </top>
        <bottom style="thin">
          <color theme="4" tint="0.79998168889431442"/>
        </bottom>
      </border>
    </dxf>
    <dxf>
      <fill>
        <patternFill patternType="solid">
          <fgColor theme="4" tint="0.79998168889431442"/>
          <bgColor theme="4" tint="0.79998168889431442"/>
        </patternFill>
      </fill>
      <border>
        <bottom style="thin">
          <color theme="4"/>
        </bottom>
      </border>
    </dxf>
    <dxf>
      <font>
        <color theme="0"/>
      </font>
      <fill>
        <patternFill patternType="solid">
          <fgColor theme="4" tint="0.39997558519241921"/>
          <bgColor theme="4" tint="0.39997558519241921"/>
        </patternFill>
      </fill>
      <border>
        <bottom style="thin">
          <color theme="4" tint="0.79998168889431442"/>
        </bottom>
        <horizontal style="thin">
          <color theme="4" tint="0.39997558519241921"/>
        </horizontal>
      </border>
    </dxf>
    <dxf>
      <border>
        <bottom style="thin">
          <color theme="4" tint="0.59999389629810485"/>
        </bottom>
      </border>
    </dxf>
    <dxf>
      <font>
        <b/>
        <color theme="1"/>
      </font>
      <fill>
        <patternFill patternType="solid">
          <fgColor theme="0" tint="-0.14999847407452621"/>
          <bgColor theme="0" tint="-0.14999847407452621"/>
        </patternFill>
      </fill>
    </dxf>
    <dxf>
      <font>
        <b/>
        <color theme="0"/>
      </font>
      <fill>
        <patternFill patternType="solid">
          <fgColor theme="4" tint="0.39997558519241921"/>
          <bgColor theme="4" tint="0.39997558519241921"/>
        </patternFill>
      </fill>
    </dxf>
    <dxf>
      <font>
        <b/>
        <color theme="0"/>
      </font>
    </dxf>
    <dxf>
      <border>
        <left style="thin">
          <color theme="4" tint="-0.249977111117893"/>
        </left>
        <right style="thin">
          <color theme="4" tint="-0.249977111117893"/>
        </right>
      </border>
    </dxf>
    <dxf>
      <border>
        <top style="thin">
          <color theme="4" tint="-0.249977111117893"/>
        </top>
        <bottom style="thin">
          <color theme="4" tint="-0.249977111117893"/>
        </bottom>
        <horizontal style="thin">
          <color theme="4" tint="-0.249977111117893"/>
        </horizontal>
      </border>
    </dxf>
    <dxf>
      <font>
        <b/>
        <color theme="1"/>
      </font>
      <border>
        <top style="double">
          <color theme="4" tint="-0.249977111117893"/>
        </top>
      </border>
    </dxf>
    <dxf>
      <font>
        <color theme="0"/>
      </font>
      <fill>
        <patternFill patternType="solid">
          <fgColor theme="4" tint="-0.249977111117893"/>
          <bgColor theme="4" tint="-0.249977111117893"/>
        </patternFill>
      </fill>
      <border>
        <horizontal style="thin">
          <color theme="4" tint="-0.249977111117893"/>
        </horizontal>
      </border>
    </dxf>
    <dxf>
      <font>
        <color theme="1"/>
      </font>
      <border>
        <horizontal style="thin">
          <color theme="4" tint="0.79998168889431442"/>
        </horizontal>
      </border>
    </dxf>
    <dxf>
      <font>
        <color theme="0"/>
      </font>
      <fill>
        <patternFill patternType="solid">
          <fgColor theme="3" tint="-0.499984740745262"/>
          <bgColor theme="3" tint="-0.499984740745262"/>
        </patternFill>
      </fill>
      <border>
        <horizontal style="thin">
          <color theme="4" tint="-0.499984740745262"/>
        </horizontal>
      </border>
    </dxf>
    <dxf>
      <font>
        <b/>
        <color theme="0"/>
      </font>
      <fill>
        <patternFill patternType="solid">
          <fgColor theme="3" tint="-0.499984740745262"/>
          <bgColor theme="3" tint="-0.499984740745262"/>
        </patternFill>
      </fill>
      <border>
        <horizontal style="thin">
          <color theme="4" tint="-0.499984740745262"/>
        </horizontal>
      </border>
    </dxf>
    <dxf>
      <font>
        <b/>
        <color theme="1"/>
      </font>
    </dxf>
    <dxf>
      <font>
        <b/>
        <color theme="1"/>
      </font>
      <fill>
        <patternFill patternType="solid">
          <fgColor theme="3" tint="-0.499984740745262"/>
          <bgColor theme="3" tint="-0.499984740745262"/>
        </patternFill>
      </fill>
      <border>
        <top style="thin">
          <color theme="4" tint="0.39997558519241921"/>
        </top>
        <bottom style="thin">
          <color theme="4" tint="0.39997558519241921"/>
        </bottom>
      </border>
    </dxf>
    <dxf>
      <font>
        <b/>
        <color theme="1"/>
      </font>
      <border>
        <bottom style="thin">
          <color theme="4" tint="0.79998168889431442"/>
        </bottom>
      </border>
    </dxf>
    <dxf>
      <fill>
        <patternFill>
          <fgColor theme="3" tint="-0.499984740745262"/>
        </patternFill>
      </fill>
      <border>
        <left style="thin">
          <color theme="4" tint="0.79998168889431442"/>
        </left>
        <right style="thin">
          <color theme="4" tint="0.79998168889431442"/>
        </right>
      </border>
    </dxf>
    <dxf>
      <fill>
        <patternFill>
          <bgColor theme="3" tint="-0.499984740745262"/>
        </patternFill>
      </fill>
    </dxf>
    <dxf>
      <fill>
        <patternFill patternType="solid">
          <fgColor theme="3" tint="-0.499984740745262"/>
          <bgColor theme="3" tint="-0.499984740745262"/>
        </patternFill>
      </fill>
    </dxf>
    <dxf>
      <fill>
        <patternFill>
          <bgColor theme="3" tint="-0.499984740745262"/>
        </patternFill>
      </fill>
    </dxf>
    <dxf>
      <font>
        <b/>
        <color theme="0"/>
      </font>
      <fill>
        <patternFill patternType="solid">
          <fgColor theme="4" tint="-0.499984740745262"/>
          <bgColor theme="4" tint="-0.499984740745262"/>
        </patternFill>
      </fill>
    </dxf>
    <dxf>
      <font>
        <color theme="1"/>
      </font>
      <fill>
        <patternFill patternType="solid">
          <fgColor theme="0" tint="-4.9989318521683403E-2"/>
          <bgColor theme="0" tint="-4.9989318521683403E-2"/>
        </patternFill>
      </fill>
      <border>
        <bottom style="thin">
          <color theme="4"/>
        </bottom>
        <horizontal style="thin">
          <color theme="4" tint="-0.499984740745262"/>
        </horizontal>
      </border>
    </dxf>
    <dxf>
      <fill>
        <patternFill>
          <fgColor theme="0" tint="-4.9989318521683403E-2"/>
          <bgColor theme="0" tint="-4.9989318521683403E-2"/>
        </patternFill>
      </fill>
    </dxf>
    <dxf>
      <font>
        <color theme="1"/>
      </font>
    </dxf>
    <dxf>
      <font>
        <b/>
        <color theme="0"/>
      </font>
    </dxf>
    <dxf>
      <font>
        <b/>
        <color theme="0"/>
      </font>
    </dxf>
    <dxf>
      <font>
        <b/>
        <color theme="0"/>
      </font>
      <fill>
        <patternFill patternType="solid">
          <fgColor theme="4" tint="-0.249977111117893"/>
          <bgColor theme="4" tint="-0.249977111117893"/>
        </patternFill>
      </fill>
    </dxf>
    <dxf>
      <border>
        <bottom style="thin">
          <color theme="4" tint="0.39997558519241921"/>
        </bottom>
      </border>
    </dxf>
    <dxf>
      <font>
        <b/>
        <color theme="0"/>
      </font>
    </dxf>
    <dxf>
      <fill>
        <patternFill patternType="solid">
          <fgColor theme="4" tint="-0.249977111117893"/>
          <bgColor theme="4" tint="-0.249977111117893"/>
        </patternFill>
      </fill>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4506668294322"/>
        </left>
        <right style="thin">
          <color theme="4" tint="0.39994506668294322"/>
        </right>
        <top style="thin">
          <color theme="4" tint="0.39994506668294322"/>
        </top>
        <bottom style="thin">
          <color theme="4" tint="0.39994506668294322"/>
        </bottom>
      </border>
    </dxf>
    <dxf>
      <border>
        <top style="thin">
          <color theme="4" tint="0.39997558519241921"/>
        </top>
        <bottom style="thin">
          <color theme="4" tint="0.39997558519241921"/>
        </bottom>
      </border>
    </dxf>
    <dxf>
      <font>
        <color theme="1"/>
      </font>
    </dxf>
    <dxf>
      <font>
        <b/>
        <color theme="0"/>
      </font>
      <fill>
        <patternFill patternType="solid">
          <fgColor theme="1"/>
          <bgColor theme="1"/>
        </patternFill>
      </fill>
    </dxf>
    <dxf>
      <font>
        <color theme="1"/>
      </font>
      <fill>
        <patternFill patternType="solid">
          <fgColor theme="0" tint="-4.9989318521683403E-2"/>
          <bgColor theme="0" tint="-4.9989318521683403E-2"/>
        </patternFill>
      </fill>
    </dxf>
    <dxf>
      <font>
        <color theme="4" tint="0.79998168889431442"/>
      </font>
      <fill>
        <patternFill patternType="solid">
          <fgColor theme="0" tint="-4.9989318521683403E-2"/>
          <bgColor theme="0" tint="-4.9989318521683403E-2"/>
        </patternFill>
      </fill>
      <border diagonalUp="0" diagonalDown="0">
        <left/>
        <right/>
        <top/>
        <bottom/>
        <vertical/>
        <horizontal/>
      </border>
    </dxf>
  </dxfs>
  <tableStyles count="7" defaultTableStyle="TableStyleMedium2" defaultPivotStyle="PivotStyleLight16">
    <tableStyle name="PivotStyleDark16 2" table="0" count="13">
      <tableStyleElement type="wholeTable" dxfId="189"/>
      <tableStyleElement type="headerRow" dxfId="188"/>
      <tableStyleElement type="totalRow" dxfId="187"/>
      <tableStyleElement type="firstColumn" dxfId="186"/>
      <tableStyleElement type="firstRowStripe" dxfId="185"/>
      <tableStyleElement type="firstColumnStripe" dxfId="184"/>
      <tableStyleElement type="firstSubtotalColumn" dxfId="183"/>
      <tableStyleElement type="firstSubtotalRow" dxfId="182"/>
      <tableStyleElement type="firstColumnSubheading" dxfId="181"/>
      <tableStyleElement type="firstRowSubheading" dxfId="180"/>
      <tableStyleElement type="secondRowSubheading" dxfId="179"/>
      <tableStyleElement type="pageFieldLabels" dxfId="178"/>
      <tableStyleElement type="pageFieldValues" dxfId="177"/>
    </tableStyle>
    <tableStyle name="PivotStyleDark2 2" table="0" count="12">
      <tableStyleElement type="wholeTable" dxfId="176"/>
      <tableStyleElement type="headerRow" dxfId="175"/>
      <tableStyleElement type="totalRow" dxfId="174"/>
      <tableStyleElement type="firstRowStripe" dxfId="173"/>
      <tableStyleElement type="secondRowStripe" dxfId="172"/>
      <tableStyleElement type="firstColumnStripe" dxfId="171"/>
      <tableStyleElement type="secondColumnStripe" dxfId="170"/>
      <tableStyleElement type="firstSubtotalRow" dxfId="169"/>
      <tableStyleElement type="firstRowSubheading" dxfId="168"/>
      <tableStyleElement type="secondRowSubheading" dxfId="167"/>
      <tableStyleElement type="pageFieldLabels" dxfId="166"/>
      <tableStyleElement type="pageFieldValues" dxfId="165"/>
    </tableStyle>
    <tableStyle name="PivotStyleMedium2 3" table="0" count="13">
      <tableStyleElement type="wholeTable" dxfId="164"/>
      <tableStyleElement type="headerRow" dxfId="163"/>
      <tableStyleElement type="totalRow" dxfId="162"/>
      <tableStyleElement type="firstRowStripe" dxfId="161"/>
      <tableStyleElement type="firstColumnStripe" dxfId="160"/>
      <tableStyleElement type="firstHeaderCell" dxfId="159"/>
      <tableStyleElement type="firstSubtotalRow" dxfId="158"/>
      <tableStyleElement type="secondSubtotalRow" dxfId="157"/>
      <tableStyleElement type="firstColumnSubheading" dxfId="156"/>
      <tableStyleElement type="firstRowSubheading" dxfId="155"/>
      <tableStyleElement type="secondRowSubheading" dxfId="154"/>
      <tableStyleElement type="pageFieldLabels" dxfId="153"/>
      <tableStyleElement type="pageFieldValues" dxfId="152"/>
    </tableStyle>
    <tableStyle name="PivotTable Style 1" table="0" count="1">
      <tableStyleElement type="wholeTable" dxfId="151"/>
    </tableStyle>
    <tableStyle name="PivotTable Style 2" table="0" count="3">
      <tableStyleElement type="wholeTable" dxfId="150"/>
      <tableStyleElement type="firstRowStripe" dxfId="149"/>
      <tableStyleElement type="secondColumnStripe" dxfId="148"/>
    </tableStyle>
    <tableStyle name="PivotTable Style 3" table="0" count="1">
      <tableStyleElement type="wholeTable" dxfId="147"/>
    </tableStyle>
    <tableStyle name="SlicerStyleLight1 2" pivot="0" table="0" count="10">
      <tableStyleElement type="wholeTable" dxfId="146"/>
      <tableStyleElement type="headerRow" dxfId="145"/>
    </tableStyle>
  </tableStyles>
  <colors>
    <mruColors>
      <color rgb="FFFFFFFF"/>
      <color rgb="FFEAEAEA"/>
      <color rgb="FF478DE1"/>
      <color rgb="FFE9EFF7"/>
      <color rgb="FF9DDAFF"/>
      <color rgb="FF9DD7FF"/>
      <color rgb="FF9DBEFF"/>
      <color rgb="FF299EFF"/>
      <color rgb="FF9EA0FE"/>
      <color rgb="FFF9F9F9"/>
    </mruColors>
  </colors>
  <extLst>
    <ext xmlns:x14="http://schemas.microsoft.com/office/spreadsheetml/2009/9/main" uri="{46F421CA-312F-682f-3DD2-61675219B42D}">
      <x14:dxfs count="8">
        <dxf>
          <font>
            <b/>
            <i val="0"/>
            <sz val="60"/>
            <color rgb="FF000000"/>
            <name val="Cambria"/>
            <scheme val="major"/>
          </font>
          <fill>
            <gradientFill degree="270">
              <stop position="0">
                <color theme="0"/>
              </stop>
              <stop position="1">
                <color theme="5" tint="0.40000610370189521"/>
              </stop>
            </gradientFill>
          </fill>
          <border diagonalUp="0" diagonalDown="0">
            <left/>
            <right/>
            <top/>
            <bottom/>
            <vertical/>
            <horizontal/>
          </border>
        </dxf>
        <dxf>
          <font>
            <b/>
            <i val="0"/>
            <sz val="60"/>
            <color rgb="FF000000"/>
            <name val="Cambria"/>
            <scheme val="major"/>
          </font>
          <fill>
            <gradientFill degree="270">
              <stop position="0">
                <color theme="0"/>
              </stop>
              <stop position="1">
                <color theme="5" tint="0.40000610370189521"/>
              </stop>
            </gradientFill>
          </fill>
          <border diagonalUp="0" diagonalDown="0">
            <left/>
            <right/>
            <top/>
            <bottom/>
            <vertical/>
            <horizontal/>
          </border>
        </dxf>
        <dxf>
          <font>
            <b/>
            <i val="0"/>
            <sz val="60"/>
            <color theme="0"/>
            <name val="Cambria"/>
            <scheme val="major"/>
          </font>
          <fill>
            <patternFill patternType="solid">
              <fgColor auto="1"/>
              <bgColor theme="3" tint="-0.499984740745262"/>
            </patternFill>
          </fill>
          <border diagonalUp="0" diagonalDown="0">
            <left/>
            <right/>
            <top/>
            <bottom/>
            <vertical/>
            <horizontal/>
          </border>
        </dxf>
        <dxf>
          <font>
            <b/>
            <i val="0"/>
            <sz val="60"/>
            <color rgb="FF000000"/>
            <name val="Cambria"/>
            <scheme val="major"/>
          </font>
          <fill>
            <gradientFill degree="270">
              <stop position="0">
                <color theme="0"/>
              </stop>
              <stop position="1">
                <color theme="4" tint="0.40000610370189521"/>
              </stop>
            </gradientFill>
          </fill>
          <border diagonalUp="0" diagonalDown="0">
            <left/>
            <right/>
            <top/>
            <bottom/>
            <vertical/>
            <horizontal/>
          </border>
        </dxf>
        <dxf>
          <font>
            <b/>
            <i val="0"/>
            <sz val="60"/>
            <color theme="2" tint="-0.24994659260841701"/>
            <name val="Cambria"/>
            <scheme val="major"/>
          </font>
          <fill>
            <patternFill patternType="solid">
              <fgColor theme="4" tint="0.79992065187536243"/>
              <bgColor theme="0" tint="-4.9989318521683403E-2"/>
            </patternFill>
          </fill>
          <border diagonalUp="0" diagonalDown="0">
            <left/>
            <right/>
            <top/>
            <bottom/>
            <vertical/>
            <horizontal/>
          </border>
        </dxf>
        <dxf>
          <font>
            <b/>
            <i val="0"/>
            <sz val="60"/>
            <color theme="0"/>
            <name val="Cambria"/>
            <scheme val="major"/>
          </font>
          <fill>
            <patternFill patternType="solid">
              <fgColor theme="4" tint="0.59999389629810485"/>
              <bgColor theme="3" tint="-0.499984740745262"/>
            </patternFill>
          </fill>
          <border>
            <left style="thin">
              <color rgb="FF999999"/>
            </left>
            <right style="thin">
              <color rgb="FF999999"/>
            </right>
            <top style="thin">
              <color rgb="FF999999"/>
            </top>
            <bottom style="thin">
              <color rgb="FF999999"/>
            </bottom>
            <vertical/>
            <horizontal/>
          </border>
        </dxf>
        <dxf>
          <font>
            <sz val="60"/>
            <color theme="2" tint="-0.24994659260841701"/>
            <name val="Cambria"/>
            <scheme val="major"/>
          </font>
          <fill>
            <patternFill patternType="solid">
              <fgColor theme="0"/>
              <bgColor theme="0" tint="-4.9989318521683403E-2"/>
            </patternFill>
          </fill>
          <border diagonalUp="0" diagonalDown="0">
            <left/>
            <right/>
            <top/>
            <bottom/>
            <vertical/>
            <horizontal/>
          </border>
        </dxf>
        <dxf>
          <font>
            <b/>
            <i val="0"/>
            <sz val="60"/>
            <color rgb="FF000000"/>
            <name val="Cambria"/>
            <scheme val="major"/>
          </font>
          <fill>
            <gradientFill degree="270">
              <stop position="0">
                <color theme="0"/>
              </stop>
              <stop position="1">
                <color theme="4" tint="0.80001220740379042"/>
              </stop>
            </gradient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0207968890607264"/>
          <c:y val="8.8464524628578498E-2"/>
          <c:w val="0.72878371284938592"/>
          <c:h val="0.80740611713751353"/>
        </c:manualLayout>
      </c:layout>
      <c:lineChart>
        <c:grouping val="standard"/>
        <c:varyColors val="0"/>
        <c:ser>
          <c:idx val="0"/>
          <c:order val="0"/>
          <c:tx>
            <c:strRef>
              <c:f>Pivot_Chart_Tables!$H$17</c:f>
              <c:strCache>
                <c:ptCount val="1"/>
                <c:pt idx="0">
                  <c:v>Revenue Growth</c:v>
                </c:pt>
              </c:strCache>
            </c:strRef>
          </c:tx>
          <c:spPr>
            <a:ln w="76200">
              <a:solidFill>
                <a:schemeClr val="tx2">
                  <a:lumMod val="50000"/>
                </a:schemeClr>
              </a:solidFill>
            </a:ln>
          </c:spPr>
          <c:marker>
            <c:symbol val="none"/>
          </c:marker>
          <c:cat>
            <c:strRef>
              <c:f>Pivot_Chart_Tables!$G$18:$G$29</c:f>
              <c:strCache>
                <c:ptCount val="12"/>
                <c:pt idx="0">
                  <c:v>Jan</c:v>
                </c:pt>
                <c:pt idx="1">
                  <c:v>Feb</c:v>
                </c:pt>
                <c:pt idx="2">
                  <c:v>Mar</c:v>
                </c:pt>
                <c:pt idx="3">
                  <c:v>Apr</c:v>
                </c:pt>
                <c:pt idx="4">
                  <c:v>Mei</c:v>
                </c:pt>
                <c:pt idx="5">
                  <c:v>Jun</c:v>
                </c:pt>
                <c:pt idx="6">
                  <c:v>Jul</c:v>
                </c:pt>
                <c:pt idx="7">
                  <c:v>Agu</c:v>
                </c:pt>
                <c:pt idx="8">
                  <c:v>Sep</c:v>
                </c:pt>
                <c:pt idx="9">
                  <c:v>Okt</c:v>
                </c:pt>
                <c:pt idx="10">
                  <c:v>Nov</c:v>
                </c:pt>
                <c:pt idx="11">
                  <c:v>Des</c:v>
                </c:pt>
              </c:strCache>
            </c:strRef>
          </c:cat>
          <c:val>
            <c:numRef>
              <c:f>Pivot_Chart_Tables!$H$18:$H$29</c:f>
              <c:numCache>
                <c:formatCode>0.0%</c:formatCode>
                <c:ptCount val="12"/>
                <c:pt idx="0">
                  <c:v>0</c:v>
                </c:pt>
                <c:pt idx="1">
                  <c:v>0.24986425856044864</c:v>
                </c:pt>
                <c:pt idx="2">
                  <c:v>-7.9804281147905859E-2</c:v>
                </c:pt>
                <c:pt idx="3">
                  <c:v>-2.2772082301891872E-2</c:v>
                </c:pt>
                <c:pt idx="4">
                  <c:v>8.5391984699883808E-2</c:v>
                </c:pt>
                <c:pt idx="5">
                  <c:v>9.2734844566659848E-3</c:v>
                </c:pt>
                <c:pt idx="6">
                  <c:v>0.10563837351328298</c:v>
                </c:pt>
                <c:pt idx="7">
                  <c:v>-0.31353756287619539</c:v>
                </c:pt>
                <c:pt idx="8">
                  <c:v>2.6916041281889111E-2</c:v>
                </c:pt>
                <c:pt idx="9">
                  <c:v>0.48461725182450122</c:v>
                </c:pt>
                <c:pt idx="10">
                  <c:v>-0.10348460666194821</c:v>
                </c:pt>
                <c:pt idx="11">
                  <c:v>-2.7299535747107168E-2</c:v>
                </c:pt>
              </c:numCache>
            </c:numRef>
          </c:val>
          <c:smooth val="0"/>
        </c:ser>
        <c:ser>
          <c:idx val="1"/>
          <c:order val="1"/>
          <c:tx>
            <c:strRef>
              <c:f>Pivot_Chart_Tables!$I$17</c:f>
              <c:strCache>
                <c:ptCount val="1"/>
                <c:pt idx="0">
                  <c:v>MAX</c:v>
                </c:pt>
              </c:strCache>
            </c:strRef>
          </c:tx>
          <c:spPr>
            <a:ln w="38100">
              <a:solidFill>
                <a:srgbClr val="92D050"/>
              </a:solidFill>
            </a:ln>
          </c:spPr>
          <c:marker>
            <c:symbol val="circle"/>
            <c:size val="40"/>
            <c:spPr>
              <a:solidFill>
                <a:srgbClr val="92D050"/>
              </a:solidFill>
              <a:ln w="38100">
                <a:solidFill>
                  <a:srgbClr val="92D050"/>
                </a:solidFill>
              </a:ln>
            </c:spPr>
          </c:marker>
          <c:dLbls>
            <c:txPr>
              <a:bodyPr/>
              <a:lstStyle/>
              <a:p>
                <a:pPr>
                  <a:defRPr sz="6000" b="1">
                    <a:latin typeface="+mj-lt"/>
                  </a:defRPr>
                </a:pPr>
                <a:endParaRPr lang="id-ID"/>
              </a:p>
            </c:txPr>
            <c:dLblPos val="t"/>
            <c:showLegendKey val="0"/>
            <c:showVal val="1"/>
            <c:showCatName val="0"/>
            <c:showSerName val="0"/>
            <c:showPercent val="0"/>
            <c:showBubbleSize val="0"/>
            <c:showLeaderLines val="0"/>
          </c:dLbls>
          <c:cat>
            <c:strRef>
              <c:f>Pivot_Chart_Tables!$G$18:$G$29</c:f>
              <c:strCache>
                <c:ptCount val="12"/>
                <c:pt idx="0">
                  <c:v>Jan</c:v>
                </c:pt>
                <c:pt idx="1">
                  <c:v>Feb</c:v>
                </c:pt>
                <c:pt idx="2">
                  <c:v>Mar</c:v>
                </c:pt>
                <c:pt idx="3">
                  <c:v>Apr</c:v>
                </c:pt>
                <c:pt idx="4">
                  <c:v>Mei</c:v>
                </c:pt>
                <c:pt idx="5">
                  <c:v>Jun</c:v>
                </c:pt>
                <c:pt idx="6">
                  <c:v>Jul</c:v>
                </c:pt>
                <c:pt idx="7">
                  <c:v>Agu</c:v>
                </c:pt>
                <c:pt idx="8">
                  <c:v>Sep</c:v>
                </c:pt>
                <c:pt idx="9">
                  <c:v>Okt</c:v>
                </c:pt>
                <c:pt idx="10">
                  <c:v>Nov</c:v>
                </c:pt>
                <c:pt idx="11">
                  <c:v>Des</c:v>
                </c:pt>
              </c:strCache>
            </c:strRef>
          </c:cat>
          <c:val>
            <c:numRef>
              <c:f>Pivot_Chart_Tables!$I$18:$I$29</c:f>
              <c:numCache>
                <c:formatCode>0.0%</c:formatCode>
                <c:ptCount val="12"/>
                <c:pt idx="0">
                  <c:v>#N/A</c:v>
                </c:pt>
                <c:pt idx="1">
                  <c:v>#N/A</c:v>
                </c:pt>
                <c:pt idx="2">
                  <c:v>#N/A</c:v>
                </c:pt>
                <c:pt idx="3">
                  <c:v>#N/A</c:v>
                </c:pt>
                <c:pt idx="4">
                  <c:v>#N/A</c:v>
                </c:pt>
                <c:pt idx="5">
                  <c:v>#N/A</c:v>
                </c:pt>
                <c:pt idx="6">
                  <c:v>#N/A</c:v>
                </c:pt>
                <c:pt idx="7">
                  <c:v>#N/A</c:v>
                </c:pt>
                <c:pt idx="8">
                  <c:v>#N/A</c:v>
                </c:pt>
                <c:pt idx="9">
                  <c:v>0.48461725182450122</c:v>
                </c:pt>
                <c:pt idx="10">
                  <c:v>#N/A</c:v>
                </c:pt>
                <c:pt idx="11">
                  <c:v>#N/A</c:v>
                </c:pt>
              </c:numCache>
            </c:numRef>
          </c:val>
          <c:smooth val="0"/>
        </c:ser>
        <c:ser>
          <c:idx val="2"/>
          <c:order val="2"/>
          <c:tx>
            <c:strRef>
              <c:f>Pivot_Chart_Tables!$J$17</c:f>
              <c:strCache>
                <c:ptCount val="1"/>
                <c:pt idx="0">
                  <c:v>MIN</c:v>
                </c:pt>
              </c:strCache>
            </c:strRef>
          </c:tx>
          <c:spPr>
            <a:ln w="38100">
              <a:solidFill>
                <a:srgbClr val="FF0000"/>
              </a:solidFill>
            </a:ln>
          </c:spPr>
          <c:marker>
            <c:symbol val="triangle"/>
            <c:size val="40"/>
            <c:spPr>
              <a:solidFill>
                <a:srgbClr val="FF0000"/>
              </a:solidFill>
              <a:ln w="38100">
                <a:solidFill>
                  <a:srgbClr val="FF0000"/>
                </a:solidFill>
              </a:ln>
            </c:spPr>
          </c:marker>
          <c:dLbls>
            <c:txPr>
              <a:bodyPr/>
              <a:lstStyle/>
              <a:p>
                <a:pPr>
                  <a:defRPr sz="6000" b="1">
                    <a:latin typeface="+mj-lt"/>
                  </a:defRPr>
                </a:pPr>
                <a:endParaRPr lang="id-ID"/>
              </a:p>
            </c:txPr>
            <c:dLblPos val="b"/>
            <c:showLegendKey val="0"/>
            <c:showVal val="1"/>
            <c:showCatName val="0"/>
            <c:showSerName val="0"/>
            <c:showPercent val="0"/>
            <c:showBubbleSize val="0"/>
            <c:showLeaderLines val="0"/>
          </c:dLbls>
          <c:cat>
            <c:strRef>
              <c:f>Pivot_Chart_Tables!$G$18:$G$29</c:f>
              <c:strCache>
                <c:ptCount val="12"/>
                <c:pt idx="0">
                  <c:v>Jan</c:v>
                </c:pt>
                <c:pt idx="1">
                  <c:v>Feb</c:v>
                </c:pt>
                <c:pt idx="2">
                  <c:v>Mar</c:v>
                </c:pt>
                <c:pt idx="3">
                  <c:v>Apr</c:v>
                </c:pt>
                <c:pt idx="4">
                  <c:v>Mei</c:v>
                </c:pt>
                <c:pt idx="5">
                  <c:v>Jun</c:v>
                </c:pt>
                <c:pt idx="6">
                  <c:v>Jul</c:v>
                </c:pt>
                <c:pt idx="7">
                  <c:v>Agu</c:v>
                </c:pt>
                <c:pt idx="8">
                  <c:v>Sep</c:v>
                </c:pt>
                <c:pt idx="9">
                  <c:v>Okt</c:v>
                </c:pt>
                <c:pt idx="10">
                  <c:v>Nov</c:v>
                </c:pt>
                <c:pt idx="11">
                  <c:v>Des</c:v>
                </c:pt>
              </c:strCache>
            </c:strRef>
          </c:cat>
          <c:val>
            <c:numRef>
              <c:f>Pivot_Chart_Tables!$J$18:$J$29</c:f>
              <c:numCache>
                <c:formatCode>0.0%</c:formatCode>
                <c:ptCount val="12"/>
                <c:pt idx="0">
                  <c:v>#N/A</c:v>
                </c:pt>
                <c:pt idx="1">
                  <c:v>#N/A</c:v>
                </c:pt>
                <c:pt idx="2">
                  <c:v>#N/A</c:v>
                </c:pt>
                <c:pt idx="3">
                  <c:v>#N/A</c:v>
                </c:pt>
                <c:pt idx="4">
                  <c:v>#N/A</c:v>
                </c:pt>
                <c:pt idx="5">
                  <c:v>#N/A</c:v>
                </c:pt>
                <c:pt idx="6">
                  <c:v>#N/A</c:v>
                </c:pt>
                <c:pt idx="7">
                  <c:v>-0.31353756287619539</c:v>
                </c:pt>
                <c:pt idx="8">
                  <c:v>#N/A</c:v>
                </c:pt>
                <c:pt idx="9">
                  <c:v>#N/A</c:v>
                </c:pt>
                <c:pt idx="10">
                  <c:v>#N/A</c:v>
                </c:pt>
                <c:pt idx="11">
                  <c:v>#N/A</c:v>
                </c:pt>
              </c:numCache>
            </c:numRef>
          </c:val>
          <c:smooth val="0"/>
        </c:ser>
        <c:dLbls>
          <c:showLegendKey val="0"/>
          <c:showVal val="0"/>
          <c:showCatName val="0"/>
          <c:showSerName val="0"/>
          <c:showPercent val="0"/>
          <c:showBubbleSize val="0"/>
        </c:dLbls>
        <c:marker val="1"/>
        <c:smooth val="0"/>
        <c:axId val="260554112"/>
        <c:axId val="260564480"/>
      </c:lineChart>
      <c:catAx>
        <c:axId val="260554112"/>
        <c:scaling>
          <c:orientation val="minMax"/>
        </c:scaling>
        <c:delete val="0"/>
        <c:axPos val="b"/>
        <c:title>
          <c:tx>
            <c:rich>
              <a:bodyPr/>
              <a:lstStyle/>
              <a:p>
                <a:pPr>
                  <a:defRPr sz="6000" b="1"/>
                </a:pPr>
                <a:r>
                  <a:rPr lang="en-US" sz="6000" b="1">
                    <a:latin typeface="+mj-lt"/>
                  </a:rPr>
                  <a:t>Months</a:t>
                </a:r>
                <a:endParaRPr lang="id-ID" sz="6000" b="1">
                  <a:latin typeface="+mj-lt"/>
                </a:endParaRPr>
              </a:p>
            </c:rich>
          </c:tx>
          <c:layout>
            <c:manualLayout>
              <c:xMode val="edge"/>
              <c:yMode val="edge"/>
              <c:x val="0.44298011218060207"/>
              <c:y val="0.91166614697132908"/>
            </c:manualLayout>
          </c:layout>
          <c:overlay val="0"/>
        </c:title>
        <c:majorTickMark val="out"/>
        <c:minorTickMark val="none"/>
        <c:tickLblPos val="nextTo"/>
        <c:txPr>
          <a:bodyPr/>
          <a:lstStyle/>
          <a:p>
            <a:pPr>
              <a:defRPr sz="6600" b="1">
                <a:latin typeface="+mj-lt"/>
              </a:defRPr>
            </a:pPr>
            <a:endParaRPr lang="id-ID"/>
          </a:p>
        </c:txPr>
        <c:crossAx val="260564480"/>
        <c:crosses val="autoZero"/>
        <c:auto val="1"/>
        <c:lblAlgn val="ctr"/>
        <c:lblOffset val="100"/>
        <c:noMultiLvlLbl val="0"/>
      </c:catAx>
      <c:valAx>
        <c:axId val="260564480"/>
        <c:scaling>
          <c:orientation val="minMax"/>
        </c:scaling>
        <c:delete val="0"/>
        <c:axPos val="l"/>
        <c:title>
          <c:tx>
            <c:rich>
              <a:bodyPr rot="-5400000" vert="horz"/>
              <a:lstStyle/>
              <a:p>
                <a:pPr>
                  <a:defRPr sz="6000" b="1"/>
                </a:pPr>
                <a:r>
                  <a:rPr lang="en-US" sz="8000" b="1">
                    <a:latin typeface="+mj-lt"/>
                  </a:rPr>
                  <a:t>Percent</a:t>
                </a:r>
                <a:r>
                  <a:rPr lang="en-US" sz="8000" b="1" baseline="0">
                    <a:latin typeface="+mj-lt"/>
                  </a:rPr>
                  <a:t> Growth</a:t>
                </a:r>
                <a:endParaRPr lang="id-ID" sz="8000" b="1">
                  <a:latin typeface="+mj-lt"/>
                </a:endParaRPr>
              </a:p>
            </c:rich>
          </c:tx>
          <c:layout>
            <c:manualLayout>
              <c:xMode val="edge"/>
              <c:yMode val="edge"/>
              <c:x val="2.4745497514230223E-2"/>
              <c:y val="0.31623401124849437"/>
            </c:manualLayout>
          </c:layout>
          <c:overlay val="0"/>
        </c:title>
        <c:numFmt formatCode="0.0%" sourceLinked="1"/>
        <c:majorTickMark val="out"/>
        <c:minorTickMark val="none"/>
        <c:tickLblPos val="nextTo"/>
        <c:txPr>
          <a:bodyPr/>
          <a:lstStyle/>
          <a:p>
            <a:pPr>
              <a:defRPr sz="6600" b="1">
                <a:latin typeface="+mj-lt"/>
              </a:defRPr>
            </a:pPr>
            <a:endParaRPr lang="id-ID"/>
          </a:p>
        </c:txPr>
        <c:crossAx val="260554112"/>
        <c:crosses val="autoZero"/>
        <c:crossBetween val="between"/>
      </c:valAx>
      <c:spPr>
        <a:noFill/>
        <a:ln w="25400">
          <a:noFill/>
        </a:ln>
      </c:spPr>
    </c:plotArea>
    <c:plotVisOnly val="1"/>
    <c:dispBlanksAs val="gap"/>
    <c:showDLblsOverMax val="0"/>
  </c:chart>
  <c:spPr>
    <a:solidFill>
      <a:schemeClr val="accent1">
        <a:lumMod val="20000"/>
        <a:lumOff val="80000"/>
      </a:schemeClr>
    </a:solidFill>
    <a:ln>
      <a:noFill/>
    </a:ln>
    <a:scene3d>
      <a:camera prst="orthographicFront"/>
      <a:lightRig rig="threePt" dir="t">
        <a:rot lat="0" lon="0" rev="0"/>
      </a:lightRig>
    </a:scene3d>
    <a:sp3d prstMaterial="clear">
      <a:bevelT w="260350" h="50800" prst="softRound"/>
      <a:bevelB prst="softRound"/>
    </a:sp3d>
  </c:spPr>
  <c:printSettings>
    <c:headerFooter/>
    <c:pageMargins b="0.75" l="0.7" r="0.7" t="0.75" header="0.3" footer="0.3"/>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2828701001473925"/>
          <c:y val="0.12111914678695375"/>
          <c:w val="0.71412840563428259"/>
          <c:h val="0.66461151415766972"/>
        </c:manualLayout>
      </c:layout>
      <c:lineChart>
        <c:grouping val="standard"/>
        <c:varyColors val="0"/>
        <c:ser>
          <c:idx val="0"/>
          <c:order val="0"/>
          <c:tx>
            <c:strRef>
              <c:f>Pivot_Chart_Tables!$C$17</c:f>
              <c:strCache>
                <c:ptCount val="1"/>
                <c:pt idx="0">
                  <c:v>Revenue</c:v>
                </c:pt>
              </c:strCache>
            </c:strRef>
          </c:tx>
          <c:spPr>
            <a:ln w="76200">
              <a:solidFill>
                <a:schemeClr val="tx2">
                  <a:lumMod val="50000"/>
                </a:schemeClr>
              </a:solidFill>
            </a:ln>
          </c:spPr>
          <c:marker>
            <c:symbol val="none"/>
          </c:marker>
          <c:cat>
            <c:strRef>
              <c:f>Pivot_Chart_Tables!$B$18:$B$29</c:f>
              <c:strCache>
                <c:ptCount val="12"/>
                <c:pt idx="0">
                  <c:v>Jan</c:v>
                </c:pt>
                <c:pt idx="1">
                  <c:v>Feb</c:v>
                </c:pt>
                <c:pt idx="2">
                  <c:v>Mar</c:v>
                </c:pt>
                <c:pt idx="3">
                  <c:v>Apr</c:v>
                </c:pt>
                <c:pt idx="4">
                  <c:v>Mei</c:v>
                </c:pt>
                <c:pt idx="5">
                  <c:v>Jun</c:v>
                </c:pt>
                <c:pt idx="6">
                  <c:v>Jul</c:v>
                </c:pt>
                <c:pt idx="7">
                  <c:v>Agu</c:v>
                </c:pt>
                <c:pt idx="8">
                  <c:v>Sep</c:v>
                </c:pt>
                <c:pt idx="9">
                  <c:v>Okt</c:v>
                </c:pt>
                <c:pt idx="10">
                  <c:v>Nov</c:v>
                </c:pt>
                <c:pt idx="11">
                  <c:v>Des</c:v>
                </c:pt>
              </c:strCache>
            </c:strRef>
          </c:cat>
          <c:val>
            <c:numRef>
              <c:f>Pivot_Chart_Tables!$C$18:$C$29</c:f>
              <c:numCache>
                <c:formatCode>[$$-409]#.0,\K</c:formatCode>
                <c:ptCount val="12"/>
                <c:pt idx="0">
                  <c:v>102989.92000000003</c:v>
                </c:pt>
                <c:pt idx="1">
                  <c:v>128723.41999999995</c:v>
                </c:pt>
                <c:pt idx="2">
                  <c:v>118450.73999999999</c:v>
                </c:pt>
                <c:pt idx="3">
                  <c:v>115753.37</c:v>
                </c:pt>
                <c:pt idx="4">
                  <c:v>125637.77999999998</c:v>
                </c:pt>
                <c:pt idx="5">
                  <c:v>126802.88</c:v>
                </c:pt>
                <c:pt idx="6">
                  <c:v>140198.13</c:v>
                </c:pt>
                <c:pt idx="7">
                  <c:v>96240.749999999985</c:v>
                </c:pt>
                <c:pt idx="8">
                  <c:v>98831.169999999955</c:v>
                </c:pt>
                <c:pt idx="9">
                  <c:v>146726.46000000002</c:v>
                </c:pt>
                <c:pt idx="10">
                  <c:v>131542.52999999994</c:v>
                </c:pt>
                <c:pt idx="11">
                  <c:v>127951.48000000003</c:v>
                </c:pt>
              </c:numCache>
            </c:numRef>
          </c:val>
          <c:smooth val="0"/>
        </c:ser>
        <c:ser>
          <c:idx val="1"/>
          <c:order val="1"/>
          <c:tx>
            <c:strRef>
              <c:f>Pivot_Chart_Tables!$D$17</c:f>
              <c:strCache>
                <c:ptCount val="1"/>
                <c:pt idx="0">
                  <c:v>MAX</c:v>
                </c:pt>
              </c:strCache>
            </c:strRef>
          </c:tx>
          <c:spPr>
            <a:ln w="38100">
              <a:noFill/>
            </a:ln>
          </c:spPr>
          <c:marker>
            <c:symbol val="circle"/>
            <c:size val="40"/>
            <c:spPr>
              <a:solidFill>
                <a:srgbClr val="92D050"/>
              </a:solidFill>
              <a:ln w="38100">
                <a:noFill/>
              </a:ln>
            </c:spPr>
          </c:marker>
          <c:dLbls>
            <c:txPr>
              <a:bodyPr/>
              <a:lstStyle/>
              <a:p>
                <a:pPr>
                  <a:defRPr sz="6000" b="1">
                    <a:latin typeface="+mj-lt"/>
                  </a:defRPr>
                </a:pPr>
                <a:endParaRPr lang="id-ID"/>
              </a:p>
            </c:txPr>
            <c:dLblPos val="t"/>
            <c:showLegendKey val="0"/>
            <c:showVal val="1"/>
            <c:showCatName val="0"/>
            <c:showSerName val="0"/>
            <c:showPercent val="0"/>
            <c:showBubbleSize val="0"/>
            <c:showLeaderLines val="0"/>
          </c:dLbls>
          <c:cat>
            <c:strRef>
              <c:f>Pivot_Chart_Tables!$B$18:$B$29</c:f>
              <c:strCache>
                <c:ptCount val="12"/>
                <c:pt idx="0">
                  <c:v>Jan</c:v>
                </c:pt>
                <c:pt idx="1">
                  <c:v>Feb</c:v>
                </c:pt>
                <c:pt idx="2">
                  <c:v>Mar</c:v>
                </c:pt>
                <c:pt idx="3">
                  <c:v>Apr</c:v>
                </c:pt>
                <c:pt idx="4">
                  <c:v>Mei</c:v>
                </c:pt>
                <c:pt idx="5">
                  <c:v>Jun</c:v>
                </c:pt>
                <c:pt idx="6">
                  <c:v>Jul</c:v>
                </c:pt>
                <c:pt idx="7">
                  <c:v>Agu</c:v>
                </c:pt>
                <c:pt idx="8">
                  <c:v>Sep</c:v>
                </c:pt>
                <c:pt idx="9">
                  <c:v>Okt</c:v>
                </c:pt>
                <c:pt idx="10">
                  <c:v>Nov</c:v>
                </c:pt>
                <c:pt idx="11">
                  <c:v>Des</c:v>
                </c:pt>
              </c:strCache>
            </c:strRef>
          </c:cat>
          <c:val>
            <c:numRef>
              <c:f>Pivot_Chart_Tables!$D$18:$D$29</c:f>
              <c:numCache>
                <c:formatCode>[$$-409]#.0,\K</c:formatCode>
                <c:ptCount val="12"/>
                <c:pt idx="0">
                  <c:v>#N/A</c:v>
                </c:pt>
                <c:pt idx="1">
                  <c:v>#N/A</c:v>
                </c:pt>
                <c:pt idx="2">
                  <c:v>#N/A</c:v>
                </c:pt>
                <c:pt idx="3">
                  <c:v>#N/A</c:v>
                </c:pt>
                <c:pt idx="4">
                  <c:v>#N/A</c:v>
                </c:pt>
                <c:pt idx="5">
                  <c:v>#N/A</c:v>
                </c:pt>
                <c:pt idx="6">
                  <c:v>#N/A</c:v>
                </c:pt>
                <c:pt idx="7">
                  <c:v>#N/A</c:v>
                </c:pt>
                <c:pt idx="8">
                  <c:v>#N/A</c:v>
                </c:pt>
                <c:pt idx="9">
                  <c:v>146726.46000000002</c:v>
                </c:pt>
                <c:pt idx="10">
                  <c:v>#N/A</c:v>
                </c:pt>
                <c:pt idx="11">
                  <c:v>#N/A</c:v>
                </c:pt>
              </c:numCache>
            </c:numRef>
          </c:val>
          <c:smooth val="0"/>
        </c:ser>
        <c:ser>
          <c:idx val="2"/>
          <c:order val="2"/>
          <c:tx>
            <c:strRef>
              <c:f>Pivot_Chart_Tables!$E$17</c:f>
              <c:strCache>
                <c:ptCount val="1"/>
                <c:pt idx="0">
                  <c:v>MIN</c:v>
                </c:pt>
              </c:strCache>
            </c:strRef>
          </c:tx>
          <c:spPr>
            <a:ln w="38100">
              <a:solidFill>
                <a:srgbClr val="FF0000"/>
              </a:solidFill>
            </a:ln>
          </c:spPr>
          <c:marker>
            <c:symbol val="triangle"/>
            <c:size val="40"/>
            <c:spPr>
              <a:solidFill>
                <a:srgbClr val="FF0000"/>
              </a:solidFill>
              <a:ln w="38100">
                <a:solidFill>
                  <a:srgbClr val="FF0000"/>
                </a:solidFill>
              </a:ln>
            </c:spPr>
          </c:marker>
          <c:dLbls>
            <c:txPr>
              <a:bodyPr/>
              <a:lstStyle/>
              <a:p>
                <a:pPr>
                  <a:defRPr sz="6000" b="1">
                    <a:latin typeface="+mj-lt"/>
                  </a:defRPr>
                </a:pPr>
                <a:endParaRPr lang="id-ID"/>
              </a:p>
            </c:txPr>
            <c:dLblPos val="b"/>
            <c:showLegendKey val="0"/>
            <c:showVal val="1"/>
            <c:showCatName val="0"/>
            <c:showSerName val="0"/>
            <c:showPercent val="0"/>
            <c:showBubbleSize val="0"/>
            <c:showLeaderLines val="0"/>
          </c:dLbls>
          <c:cat>
            <c:strRef>
              <c:f>Pivot_Chart_Tables!$B$18:$B$29</c:f>
              <c:strCache>
                <c:ptCount val="12"/>
                <c:pt idx="0">
                  <c:v>Jan</c:v>
                </c:pt>
                <c:pt idx="1">
                  <c:v>Feb</c:v>
                </c:pt>
                <c:pt idx="2">
                  <c:v>Mar</c:v>
                </c:pt>
                <c:pt idx="3">
                  <c:v>Apr</c:v>
                </c:pt>
                <c:pt idx="4">
                  <c:v>Mei</c:v>
                </c:pt>
                <c:pt idx="5">
                  <c:v>Jun</c:v>
                </c:pt>
                <c:pt idx="6">
                  <c:v>Jul</c:v>
                </c:pt>
                <c:pt idx="7">
                  <c:v>Agu</c:v>
                </c:pt>
                <c:pt idx="8">
                  <c:v>Sep</c:v>
                </c:pt>
                <c:pt idx="9">
                  <c:v>Okt</c:v>
                </c:pt>
                <c:pt idx="10">
                  <c:v>Nov</c:v>
                </c:pt>
                <c:pt idx="11">
                  <c:v>Des</c:v>
                </c:pt>
              </c:strCache>
            </c:strRef>
          </c:cat>
          <c:val>
            <c:numRef>
              <c:f>Pivot_Chart_Tables!$E$18:$E$29</c:f>
              <c:numCache>
                <c:formatCode>[$$-409]#.0,\K</c:formatCode>
                <c:ptCount val="12"/>
                <c:pt idx="0">
                  <c:v>#N/A</c:v>
                </c:pt>
                <c:pt idx="1">
                  <c:v>#N/A</c:v>
                </c:pt>
                <c:pt idx="2">
                  <c:v>#N/A</c:v>
                </c:pt>
                <c:pt idx="3">
                  <c:v>#N/A</c:v>
                </c:pt>
                <c:pt idx="4">
                  <c:v>#N/A</c:v>
                </c:pt>
                <c:pt idx="5">
                  <c:v>#N/A</c:v>
                </c:pt>
                <c:pt idx="6">
                  <c:v>#N/A</c:v>
                </c:pt>
                <c:pt idx="7">
                  <c:v>96240.749999999985</c:v>
                </c:pt>
                <c:pt idx="8">
                  <c:v>#N/A</c:v>
                </c:pt>
                <c:pt idx="9">
                  <c:v>#N/A</c:v>
                </c:pt>
                <c:pt idx="10">
                  <c:v>#N/A</c:v>
                </c:pt>
                <c:pt idx="11">
                  <c:v>#N/A</c:v>
                </c:pt>
              </c:numCache>
            </c:numRef>
          </c:val>
          <c:smooth val="0"/>
        </c:ser>
        <c:dLbls>
          <c:showLegendKey val="0"/>
          <c:showVal val="0"/>
          <c:showCatName val="0"/>
          <c:showSerName val="0"/>
          <c:showPercent val="0"/>
          <c:showBubbleSize val="0"/>
        </c:dLbls>
        <c:marker val="1"/>
        <c:smooth val="0"/>
        <c:axId val="260750720"/>
        <c:axId val="260761088"/>
      </c:lineChart>
      <c:catAx>
        <c:axId val="260750720"/>
        <c:scaling>
          <c:orientation val="minMax"/>
        </c:scaling>
        <c:delete val="0"/>
        <c:axPos val="b"/>
        <c:title>
          <c:tx>
            <c:rich>
              <a:bodyPr/>
              <a:lstStyle/>
              <a:p>
                <a:pPr>
                  <a:defRPr sz="6000" b="1"/>
                </a:pPr>
                <a:r>
                  <a:rPr lang="en-US" sz="6000" b="1">
                    <a:latin typeface="+mj-lt"/>
                  </a:rPr>
                  <a:t>Months</a:t>
                </a:r>
                <a:endParaRPr lang="id-ID" sz="6000" b="1">
                  <a:latin typeface="+mj-lt"/>
                </a:endParaRPr>
              </a:p>
            </c:rich>
          </c:tx>
          <c:layout>
            <c:manualLayout>
              <c:xMode val="edge"/>
              <c:yMode val="edge"/>
              <c:x val="0.46115024259558884"/>
              <c:y val="0.91191281022251158"/>
            </c:manualLayout>
          </c:layout>
          <c:overlay val="0"/>
        </c:title>
        <c:majorTickMark val="out"/>
        <c:minorTickMark val="none"/>
        <c:tickLblPos val="nextTo"/>
        <c:txPr>
          <a:bodyPr/>
          <a:lstStyle/>
          <a:p>
            <a:pPr>
              <a:defRPr sz="6600" b="1">
                <a:latin typeface="+mj-lt"/>
              </a:defRPr>
            </a:pPr>
            <a:endParaRPr lang="id-ID"/>
          </a:p>
        </c:txPr>
        <c:crossAx val="260761088"/>
        <c:crosses val="autoZero"/>
        <c:auto val="1"/>
        <c:lblAlgn val="ctr"/>
        <c:lblOffset val="100"/>
        <c:noMultiLvlLbl val="0"/>
      </c:catAx>
      <c:valAx>
        <c:axId val="260761088"/>
        <c:scaling>
          <c:orientation val="minMax"/>
        </c:scaling>
        <c:delete val="0"/>
        <c:axPos val="l"/>
        <c:title>
          <c:tx>
            <c:rich>
              <a:bodyPr rot="-5400000" vert="horz"/>
              <a:lstStyle/>
              <a:p>
                <a:pPr>
                  <a:defRPr sz="6000" b="1"/>
                </a:pPr>
                <a:r>
                  <a:rPr lang="en-US" sz="8000" b="1">
                    <a:latin typeface="+mj-lt"/>
                  </a:rPr>
                  <a:t>Total</a:t>
                </a:r>
                <a:r>
                  <a:rPr lang="en-US" sz="8000" b="1" baseline="0">
                    <a:latin typeface="+mj-lt"/>
                  </a:rPr>
                  <a:t> </a:t>
                </a:r>
                <a:r>
                  <a:rPr lang="en-US" sz="8000" b="1">
                    <a:latin typeface="+mj-lt"/>
                  </a:rPr>
                  <a:t>Revenue</a:t>
                </a:r>
                <a:endParaRPr lang="id-ID" sz="8000" b="1">
                  <a:latin typeface="+mj-lt"/>
                </a:endParaRPr>
              </a:p>
            </c:rich>
          </c:tx>
          <c:layout>
            <c:manualLayout>
              <c:xMode val="edge"/>
              <c:yMode val="edge"/>
              <c:x val="3.4858384318487604E-2"/>
              <c:y val="0.32760139169905356"/>
            </c:manualLayout>
          </c:layout>
          <c:overlay val="0"/>
        </c:title>
        <c:numFmt formatCode="[$$-409]#.0,\K" sourceLinked="1"/>
        <c:majorTickMark val="out"/>
        <c:minorTickMark val="none"/>
        <c:tickLblPos val="nextTo"/>
        <c:txPr>
          <a:bodyPr/>
          <a:lstStyle/>
          <a:p>
            <a:pPr>
              <a:defRPr sz="6600" b="1">
                <a:latin typeface="+mj-lt"/>
              </a:defRPr>
            </a:pPr>
            <a:endParaRPr lang="id-ID"/>
          </a:p>
        </c:txPr>
        <c:crossAx val="260750720"/>
        <c:crosses val="autoZero"/>
        <c:crossBetween val="between"/>
      </c:valAx>
      <c:spPr>
        <a:noFill/>
        <a:ln w="25400">
          <a:noFill/>
        </a:ln>
      </c:spPr>
    </c:plotArea>
    <c:plotVisOnly val="1"/>
    <c:dispBlanksAs val="zero"/>
    <c:showDLblsOverMax val="0"/>
  </c:chart>
  <c:spPr>
    <a:solidFill>
      <a:schemeClr val="accent1">
        <a:lumMod val="20000"/>
        <a:lumOff val="80000"/>
      </a:schemeClr>
    </a:solidFill>
    <a:ln>
      <a:noFill/>
    </a:ln>
    <a:scene3d>
      <a:camera prst="orthographicFront"/>
      <a:lightRig rig="threePt" dir="t"/>
    </a:scene3d>
    <a:sp3d prstMaterial="clear">
      <a:bevelT w="260350" h="50800" prst="softRound"/>
      <a:bevelB prst="softRound"/>
    </a:sp3d>
  </c:spPr>
  <c:printSettings>
    <c:headerFooter/>
    <c:pageMargins b="0.75" l="0.7" r="0.7" t="0.75" header="0.3" footer="0.3"/>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7026211728422006"/>
          <c:y val="9.849186268984185E-2"/>
          <c:w val="0.67530930218298135"/>
          <c:h val="0.69406565368959572"/>
        </c:manualLayout>
      </c:layout>
      <c:scatterChart>
        <c:scatterStyle val="lineMarker"/>
        <c:varyColors val="0"/>
        <c:ser>
          <c:idx val="0"/>
          <c:order val="0"/>
          <c:spPr>
            <a:ln w="28575">
              <a:noFill/>
            </a:ln>
          </c:spPr>
          <c:marker>
            <c:symbol val="circle"/>
            <c:size val="50"/>
            <c:spPr>
              <a:solidFill>
                <a:schemeClr val="tx2">
                  <a:lumMod val="50000"/>
                </a:schemeClr>
              </a:solidFill>
              <a:ln>
                <a:noFill/>
              </a:ln>
            </c:spPr>
          </c:marker>
          <c:dLbls>
            <c:dLbl>
              <c:idx val="0"/>
              <c:layout/>
              <c:tx>
                <c:strRef>
                  <c:f>Pivot_Scatter!$I$3</c:f>
                  <c:strCache>
                    <c:ptCount val="1"/>
                  </c:strCache>
                </c:strRef>
              </c:tx>
              <c:showLegendKey val="0"/>
              <c:showVal val="1"/>
              <c:showCatName val="0"/>
              <c:showSerName val="0"/>
              <c:showPercent val="0"/>
              <c:showBubbleSize val="0"/>
            </c:dLbl>
            <c:dLbl>
              <c:idx val="1"/>
              <c:layout/>
              <c:tx>
                <c:strRef>
                  <c:f>Pivot_Scatter!$I$4</c:f>
                  <c:strCache>
                    <c:ptCount val="1"/>
                  </c:strCache>
                </c:strRef>
              </c:tx>
              <c:showLegendKey val="0"/>
              <c:showVal val="1"/>
              <c:showCatName val="0"/>
              <c:showSerName val="0"/>
              <c:showPercent val="0"/>
              <c:showBubbleSize val="0"/>
            </c:dLbl>
            <c:dLbl>
              <c:idx val="2"/>
              <c:layout/>
              <c:tx>
                <c:strRef>
                  <c:f>Pivot_Scatter!$I$5</c:f>
                  <c:strCache>
                    <c:ptCount val="1"/>
                  </c:strCache>
                </c:strRef>
              </c:tx>
              <c:showLegendKey val="0"/>
              <c:showVal val="1"/>
              <c:showCatName val="0"/>
              <c:showSerName val="0"/>
              <c:showPercent val="0"/>
              <c:showBubbleSize val="0"/>
            </c:dLbl>
            <c:dLbl>
              <c:idx val="3"/>
              <c:layout/>
              <c:tx>
                <c:strRef>
                  <c:f>Pivot_Scatter!$I$6</c:f>
                  <c:strCache>
                    <c:ptCount val="1"/>
                  </c:strCache>
                </c:strRef>
              </c:tx>
              <c:showLegendKey val="0"/>
              <c:showVal val="1"/>
              <c:showCatName val="0"/>
              <c:showSerName val="0"/>
              <c:showPercent val="0"/>
              <c:showBubbleSize val="0"/>
            </c:dLbl>
            <c:dLbl>
              <c:idx val="4"/>
              <c:layout/>
              <c:tx>
                <c:strRef>
                  <c:f>Pivot_Scatter!$I$7</c:f>
                  <c:strCache>
                    <c:ptCount val="1"/>
                  </c:strCache>
                </c:strRef>
              </c:tx>
              <c:showLegendKey val="0"/>
              <c:showVal val="1"/>
              <c:showCatName val="0"/>
              <c:showSerName val="0"/>
              <c:showPercent val="0"/>
              <c:showBubbleSize val="0"/>
            </c:dLbl>
            <c:dLbl>
              <c:idx val="5"/>
              <c:layout/>
              <c:tx>
                <c:strRef>
                  <c:f>Pivot_Scatter!$I$8</c:f>
                  <c:strCache>
                    <c:ptCount val="1"/>
                  </c:strCache>
                </c:strRef>
              </c:tx>
              <c:showLegendKey val="0"/>
              <c:showVal val="1"/>
              <c:showCatName val="0"/>
              <c:showSerName val="0"/>
              <c:showPercent val="0"/>
              <c:showBubbleSize val="0"/>
            </c:dLbl>
            <c:dLbl>
              <c:idx val="6"/>
              <c:layout/>
              <c:tx>
                <c:strRef>
                  <c:f>Pivot_Scatter!$I$9</c:f>
                  <c:strCache>
                    <c:ptCount val="1"/>
                  </c:strCache>
                </c:strRef>
              </c:tx>
              <c:spPr/>
              <c:txPr>
                <a:bodyPr/>
                <a:lstStyle/>
                <a:p>
                  <a:pPr>
                    <a:defRPr sz="6000" b="1">
                      <a:latin typeface="+mj-lt"/>
                    </a:defRPr>
                  </a:pPr>
                  <a:endParaRPr lang="id-ID"/>
                </a:p>
              </c:txPr>
              <c:showLegendKey val="0"/>
              <c:showVal val="1"/>
              <c:showCatName val="0"/>
              <c:showSerName val="0"/>
              <c:showPercent val="0"/>
              <c:showBubbleSize val="0"/>
            </c:dLbl>
            <c:dLbl>
              <c:idx val="7"/>
              <c:layout/>
              <c:tx>
                <c:strRef>
                  <c:f>Pivot_Scatter!$I$10</c:f>
                  <c:strCache>
                    <c:ptCount val="1"/>
                  </c:strCache>
                </c:strRef>
              </c:tx>
              <c:showLegendKey val="0"/>
              <c:showVal val="1"/>
              <c:showCatName val="0"/>
              <c:showSerName val="0"/>
              <c:showPercent val="0"/>
              <c:showBubbleSize val="0"/>
            </c:dLbl>
            <c:dLbl>
              <c:idx val="8"/>
              <c:layout/>
              <c:tx>
                <c:strRef>
                  <c:f>Pivot_Scatter!$I$11</c:f>
                  <c:strCache>
                    <c:ptCount val="1"/>
                  </c:strCache>
                </c:strRef>
              </c:tx>
              <c:showLegendKey val="0"/>
              <c:showVal val="1"/>
              <c:showCatName val="0"/>
              <c:showSerName val="0"/>
              <c:showPercent val="0"/>
              <c:showBubbleSize val="0"/>
            </c:dLbl>
            <c:dLbl>
              <c:idx val="9"/>
              <c:layout/>
              <c:tx>
                <c:strRef>
                  <c:f>Pivot_Scatter!$I$12</c:f>
                  <c:strCache>
                    <c:ptCount val="1"/>
                    <c:pt idx="0">
                      <c:v>Okt</c:v>
                    </c:pt>
                  </c:strCache>
                </c:strRef>
              </c:tx>
              <c:spPr/>
              <c:txPr>
                <a:bodyPr/>
                <a:lstStyle/>
                <a:p>
                  <a:pPr>
                    <a:defRPr sz="8000"/>
                  </a:pPr>
                  <a:endParaRPr lang="id-ID"/>
                </a:p>
              </c:txPr>
              <c:showLegendKey val="0"/>
              <c:showVal val="1"/>
              <c:showCatName val="0"/>
              <c:showSerName val="0"/>
              <c:showPercent val="0"/>
              <c:showBubbleSize val="0"/>
            </c:dLbl>
            <c:dLbl>
              <c:idx val="10"/>
              <c:layout/>
              <c:tx>
                <c:strRef>
                  <c:f>Pivot_Scatter!$I$13</c:f>
                  <c:strCache>
                    <c:ptCount val="1"/>
                  </c:strCache>
                </c:strRef>
              </c:tx>
              <c:showLegendKey val="0"/>
              <c:showVal val="1"/>
              <c:showCatName val="0"/>
              <c:showSerName val="0"/>
              <c:showPercent val="0"/>
              <c:showBubbleSize val="0"/>
            </c:dLbl>
            <c:dLbl>
              <c:idx val="11"/>
              <c:layout/>
              <c:tx>
                <c:strRef>
                  <c:f>Pivot_Scatter!$I$14</c:f>
                  <c:strCache>
                    <c:ptCount val="1"/>
                  </c:strCache>
                </c:strRef>
              </c:tx>
              <c:showLegendKey val="0"/>
              <c:showVal val="1"/>
              <c:showCatName val="0"/>
              <c:showSerName val="0"/>
              <c:showPercent val="0"/>
              <c:showBubbleSize val="0"/>
            </c:dLbl>
            <c:showLegendKey val="0"/>
            <c:showVal val="1"/>
            <c:showCatName val="0"/>
            <c:showSerName val="0"/>
            <c:showPercent val="0"/>
            <c:showBubbleSize val="0"/>
            <c:showLeaderLines val="0"/>
          </c:dLbls>
          <c:xVal>
            <c:numRef>
              <c:f>Pivot_Scatter!$G$3:$G$14</c:f>
              <c:numCache>
                <c:formatCode>General</c:formatCode>
                <c:ptCount val="12"/>
                <c:pt idx="0">
                  <c:v>70</c:v>
                </c:pt>
                <c:pt idx="1">
                  <c:v>93</c:v>
                </c:pt>
                <c:pt idx="2">
                  <c:v>86</c:v>
                </c:pt>
                <c:pt idx="3">
                  <c:v>77</c:v>
                </c:pt>
                <c:pt idx="4">
                  <c:v>91</c:v>
                </c:pt>
                <c:pt idx="5">
                  <c:v>91</c:v>
                </c:pt>
                <c:pt idx="6">
                  <c:v>90</c:v>
                </c:pt>
                <c:pt idx="7">
                  <c:v>77</c:v>
                </c:pt>
                <c:pt idx="8">
                  <c:v>70</c:v>
                </c:pt>
                <c:pt idx="9">
                  <c:v>98</c:v>
                </c:pt>
                <c:pt idx="10">
                  <c:v>76</c:v>
                </c:pt>
                <c:pt idx="11">
                  <c:v>87</c:v>
                </c:pt>
              </c:numCache>
            </c:numRef>
          </c:xVal>
          <c:yVal>
            <c:numRef>
              <c:f>Pivot_Scatter!$H$3:$H$14</c:f>
              <c:numCache>
                <c:formatCode>[$$-409]#.00,\ \K</c:formatCode>
                <c:ptCount val="12"/>
                <c:pt idx="0">
                  <c:v>102989.92000000003</c:v>
                </c:pt>
                <c:pt idx="1">
                  <c:v>128723.41999999995</c:v>
                </c:pt>
                <c:pt idx="2">
                  <c:v>118450.73999999999</c:v>
                </c:pt>
                <c:pt idx="3">
                  <c:v>115753.37</c:v>
                </c:pt>
                <c:pt idx="4">
                  <c:v>125637.77999999998</c:v>
                </c:pt>
                <c:pt idx="5">
                  <c:v>126802.88</c:v>
                </c:pt>
                <c:pt idx="6">
                  <c:v>140198.13</c:v>
                </c:pt>
                <c:pt idx="7">
                  <c:v>96240.749999999985</c:v>
                </c:pt>
                <c:pt idx="8">
                  <c:v>98831.169999999955</c:v>
                </c:pt>
                <c:pt idx="9">
                  <c:v>146726.46000000002</c:v>
                </c:pt>
                <c:pt idx="10">
                  <c:v>131542.52999999994</c:v>
                </c:pt>
                <c:pt idx="11">
                  <c:v>127951.48000000003</c:v>
                </c:pt>
              </c:numCache>
            </c:numRef>
          </c:yVal>
          <c:smooth val="0"/>
        </c:ser>
        <c:dLbls>
          <c:showLegendKey val="0"/>
          <c:showVal val="0"/>
          <c:showCatName val="0"/>
          <c:showSerName val="0"/>
          <c:showPercent val="0"/>
          <c:showBubbleSize val="0"/>
        </c:dLbls>
        <c:axId val="260795008"/>
        <c:axId val="260825856"/>
      </c:scatterChart>
      <c:valAx>
        <c:axId val="260795008"/>
        <c:scaling>
          <c:orientation val="minMax"/>
        </c:scaling>
        <c:delete val="0"/>
        <c:axPos val="b"/>
        <c:title>
          <c:tx>
            <c:rich>
              <a:bodyPr/>
              <a:lstStyle/>
              <a:p>
                <a:pPr>
                  <a:defRPr>
                    <a:latin typeface="+mj-lt"/>
                  </a:defRPr>
                </a:pPr>
                <a:r>
                  <a:rPr lang="en-US" sz="6000">
                    <a:latin typeface="+mj-lt"/>
                  </a:rPr>
                  <a:t>Total</a:t>
                </a:r>
                <a:r>
                  <a:rPr lang="en-US" sz="6000" baseline="0">
                    <a:latin typeface="+mj-lt"/>
                  </a:rPr>
                  <a:t> Transactions</a:t>
                </a:r>
                <a:endParaRPr lang="id-ID" sz="6000">
                  <a:latin typeface="+mj-lt"/>
                </a:endParaRPr>
              </a:p>
            </c:rich>
          </c:tx>
          <c:layout>
            <c:manualLayout>
              <c:xMode val="edge"/>
              <c:yMode val="edge"/>
              <c:x val="0.40995400818742606"/>
              <c:y val="0.89965382918951153"/>
            </c:manualLayout>
          </c:layout>
          <c:overlay val="0"/>
        </c:title>
        <c:numFmt formatCode="General" sourceLinked="1"/>
        <c:majorTickMark val="out"/>
        <c:minorTickMark val="none"/>
        <c:tickLblPos val="nextTo"/>
        <c:txPr>
          <a:bodyPr/>
          <a:lstStyle/>
          <a:p>
            <a:pPr>
              <a:defRPr sz="6600" b="1">
                <a:latin typeface="+mj-lt"/>
              </a:defRPr>
            </a:pPr>
            <a:endParaRPr lang="id-ID"/>
          </a:p>
        </c:txPr>
        <c:crossAx val="260825856"/>
        <c:crosses val="autoZero"/>
        <c:crossBetween val="midCat"/>
      </c:valAx>
      <c:valAx>
        <c:axId val="260825856"/>
        <c:scaling>
          <c:orientation val="minMax"/>
        </c:scaling>
        <c:delete val="0"/>
        <c:axPos val="l"/>
        <c:title>
          <c:tx>
            <c:rich>
              <a:bodyPr rot="-5400000" vert="horz"/>
              <a:lstStyle/>
              <a:p>
                <a:pPr>
                  <a:defRPr/>
                </a:pPr>
                <a:r>
                  <a:rPr lang="en-US" sz="8000">
                    <a:latin typeface="+mj-lt"/>
                  </a:rPr>
                  <a:t>Total</a:t>
                </a:r>
                <a:r>
                  <a:rPr lang="en-US" sz="8000" baseline="0">
                    <a:latin typeface="+mj-lt"/>
                  </a:rPr>
                  <a:t> Revenue</a:t>
                </a:r>
                <a:endParaRPr lang="id-ID" sz="8000">
                  <a:latin typeface="+mj-lt"/>
                </a:endParaRPr>
              </a:p>
            </c:rich>
          </c:tx>
          <c:layout>
            <c:manualLayout>
              <c:xMode val="edge"/>
              <c:yMode val="edge"/>
              <c:x val="4.045757497492259E-2"/>
              <c:y val="0.3275178569884199"/>
            </c:manualLayout>
          </c:layout>
          <c:overlay val="0"/>
        </c:title>
        <c:numFmt formatCode="[$$-409]#.00,\ \K" sourceLinked="1"/>
        <c:majorTickMark val="out"/>
        <c:minorTickMark val="none"/>
        <c:tickLblPos val="nextTo"/>
        <c:txPr>
          <a:bodyPr/>
          <a:lstStyle/>
          <a:p>
            <a:pPr>
              <a:defRPr sz="6600" b="1">
                <a:latin typeface="+mj-lt"/>
              </a:defRPr>
            </a:pPr>
            <a:endParaRPr lang="id-ID"/>
          </a:p>
        </c:txPr>
        <c:crossAx val="260795008"/>
        <c:crosses val="autoZero"/>
        <c:crossBetween val="midCat"/>
      </c:valAx>
      <c:spPr>
        <a:noFill/>
      </c:spPr>
    </c:plotArea>
    <c:plotVisOnly val="1"/>
    <c:dispBlanksAs val="gap"/>
    <c:showDLblsOverMax val="0"/>
  </c:chart>
  <c:spPr>
    <a:solidFill>
      <a:schemeClr val="accent1">
        <a:lumMod val="20000"/>
        <a:lumOff val="80000"/>
      </a:schemeClr>
    </a:solidFill>
    <a:ln>
      <a:noFill/>
    </a:ln>
    <a:scene3d>
      <a:camera prst="orthographicFront"/>
      <a:lightRig rig="threePt" dir="t"/>
    </a:scene3d>
    <a:sp3d prstMaterial="clear">
      <a:bevelT w="260350" h="50800" prst="softRound"/>
      <a:bevelB prst="softRound"/>
    </a:sp3d>
  </c:spPr>
  <c:txPr>
    <a:bodyPr/>
    <a:lstStyle/>
    <a:p>
      <a:pPr>
        <a:defRPr sz="8800"/>
      </a:pPr>
      <a:endParaRPr lang="id-ID"/>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[Shoe_Sales_Analytics_Dashboard.xlsx]Pivot_Chart_Tables!Mtrks_Country Contribution</c:name>
    <c:fmtId val="17"/>
  </c:pivotSource>
  <c:chart>
    <c:autoTitleDeleted val="0"/>
    <c:pivotFmts>
      <c:pivotFmt>
        <c:idx val="0"/>
        <c:marker>
          <c:symbol val="none"/>
        </c:marker>
        <c:dLbl>
          <c:idx val="0"/>
          <c:spPr/>
          <c:txPr>
            <a:bodyPr/>
            <a:lstStyle/>
            <a:p>
              <a:pPr>
                <a:defRPr/>
              </a:pPr>
              <a:endParaRPr lang="id-ID"/>
            </a:p>
          </c:txPr>
          <c:dLblPos val="outEnd"/>
          <c:showLegendKey val="0"/>
          <c:showVal val="1"/>
          <c:showCatName val="0"/>
          <c:showSerName val="0"/>
          <c:showPercent val="0"/>
          <c:showBubbleSize val="0"/>
        </c:dLbl>
      </c:pivotFmt>
      <c:pivotFmt>
        <c:idx val="1"/>
        <c:spPr>
          <a:noFill/>
          <a:ln>
            <a:noFill/>
          </a:ln>
        </c:spPr>
        <c:marker>
          <c:symbol val="none"/>
        </c:marker>
        <c:dLbl>
          <c:idx val="0"/>
          <c:spPr/>
          <c:txPr>
            <a:bodyPr/>
            <a:lstStyle/>
            <a:p>
              <a:pPr>
                <a:defRPr/>
              </a:pPr>
              <a:endParaRPr lang="id-ID"/>
            </a:p>
          </c:txPr>
          <c:dLblPos val="outEnd"/>
          <c:showLegendKey val="0"/>
          <c:showVal val="1"/>
          <c:showCatName val="0"/>
          <c:showSerName val="0"/>
          <c:showPercent val="0"/>
          <c:showBubbleSize val="0"/>
        </c:dLbl>
      </c:pivotFmt>
      <c:pivotFmt>
        <c:idx val="2"/>
        <c:marker>
          <c:symbol val="none"/>
        </c:marker>
        <c:dLbl>
          <c:idx val="0"/>
          <c:spPr/>
          <c:txPr>
            <a:bodyPr/>
            <a:lstStyle/>
            <a:p>
              <a:pPr>
                <a:defRPr/>
              </a:pPr>
              <a:endParaRPr lang="id-ID"/>
            </a:p>
          </c:txPr>
          <c:dLblPos val="outEnd"/>
          <c:showLegendKey val="0"/>
          <c:showVal val="1"/>
          <c:showCatName val="0"/>
          <c:showSerName val="0"/>
          <c:showPercent val="0"/>
          <c:showBubbleSize val="0"/>
        </c:dLbl>
      </c:pivotFmt>
      <c:pivotFmt>
        <c:idx val="3"/>
        <c:spPr>
          <a:noFill/>
          <a:ln>
            <a:noFill/>
          </a:ln>
        </c:spPr>
        <c:marker>
          <c:symbol val="none"/>
        </c:marker>
        <c:dLbl>
          <c:idx val="0"/>
          <c:spPr/>
          <c:txPr>
            <a:bodyPr/>
            <a:lstStyle/>
            <a:p>
              <a:pPr>
                <a:defRPr/>
              </a:pPr>
              <a:endParaRPr lang="id-ID"/>
            </a:p>
          </c:txPr>
          <c:dLblPos val="outEnd"/>
          <c:showLegendKey val="0"/>
          <c:showVal val="1"/>
          <c:showCatName val="0"/>
          <c:showSerName val="0"/>
          <c:showPercent val="0"/>
          <c:showBubbleSize val="0"/>
        </c:dLbl>
      </c:pivotFmt>
      <c:pivotFmt>
        <c:idx val="4"/>
        <c:spPr>
          <a:solidFill>
            <a:schemeClr val="tx2">
              <a:lumMod val="50000"/>
            </a:schemeClr>
          </a:solidFill>
          <a:ln>
            <a:solidFill>
              <a:schemeClr val="tx2">
                <a:lumMod val="50000"/>
              </a:schemeClr>
            </a:solidFill>
          </a:ln>
        </c:spPr>
        <c:marker>
          <c:symbol val="none"/>
        </c:marker>
        <c:dLbl>
          <c:idx val="0"/>
          <c:layout/>
          <c:spPr/>
          <c:txPr>
            <a:bodyPr/>
            <a:lstStyle/>
            <a:p>
              <a:pPr>
                <a:defRPr sz="6000" b="1">
                  <a:latin typeface="+mj-lt"/>
                </a:defRPr>
              </a:pPr>
              <a:endParaRPr lang="id-ID"/>
            </a:p>
          </c:txPr>
          <c:showLegendKey val="0"/>
          <c:showVal val="1"/>
          <c:showCatName val="0"/>
          <c:showSerName val="0"/>
          <c:showPercent val="0"/>
          <c:showBubbleSize val="0"/>
        </c:dLbl>
      </c:pivotFmt>
      <c:pivotFmt>
        <c:idx val="5"/>
        <c:spPr>
          <a:noFill/>
          <a:ln>
            <a:noFill/>
          </a:ln>
        </c:spPr>
        <c:marker>
          <c:symbol val="none"/>
        </c:marker>
        <c:dLbl>
          <c:idx val="0"/>
          <c:spPr/>
          <c:txPr>
            <a:bodyPr/>
            <a:lstStyle/>
            <a:p>
              <a:pPr>
                <a:defRPr sz="6000" b="1">
                  <a:latin typeface="+mj-lt"/>
                </a:defRPr>
              </a:pPr>
              <a:endParaRPr lang="id-ID"/>
            </a:p>
          </c:txPr>
          <c:showLegendKey val="0"/>
          <c:showVal val="1"/>
          <c:showCatName val="0"/>
          <c:showSerName val="0"/>
          <c:showPercent val="0"/>
          <c:showBubbleSize val="0"/>
        </c:dLbl>
      </c:pivotFmt>
      <c:pivotFmt>
        <c:idx val="6"/>
        <c:spPr>
          <a:noFill/>
          <a:ln>
            <a:noFill/>
          </a:ln>
        </c:spPr>
        <c:marker>
          <c:symbol val="none"/>
        </c:marker>
        <c:dLbl>
          <c:idx val="0"/>
          <c:spPr/>
          <c:txPr>
            <a:bodyPr/>
            <a:lstStyle/>
            <a:p>
              <a:pPr>
                <a:defRPr sz="6000" b="1">
                  <a:latin typeface="+mj-lt"/>
                </a:defRPr>
              </a:pPr>
              <a:endParaRPr lang="id-ID"/>
            </a:p>
          </c:txPr>
          <c:showLegendKey val="0"/>
          <c:showVal val="1"/>
          <c:showCatName val="0"/>
          <c:showSerName val="0"/>
          <c:showPercent val="0"/>
          <c:showBubbleSize val="0"/>
        </c:dLbl>
      </c:pivotFmt>
      <c:pivotFmt>
        <c:idx val="7"/>
        <c:spPr>
          <a:noFill/>
          <a:ln>
            <a:noFill/>
          </a:ln>
        </c:spPr>
        <c:marker>
          <c:symbol val="none"/>
        </c:marker>
        <c:dLbl>
          <c:idx val="0"/>
          <c:delete val="1"/>
        </c:dLbl>
      </c:pivotFmt>
      <c:pivotFmt>
        <c:idx val="8"/>
      </c:pivotFmt>
      <c:pivotFmt>
        <c:idx val="9"/>
        <c:dLbl>
          <c:idx val="0"/>
          <c:layout>
            <c:manualLayout>
              <c:x val="0.36657521935984111"/>
              <c:y val="2.8443889437501389E-2"/>
            </c:manualLayout>
          </c:layout>
          <c:dLblPos val="outEnd"/>
          <c:showLegendKey val="0"/>
          <c:showVal val="1"/>
          <c:showCatName val="0"/>
          <c:showSerName val="0"/>
          <c:showPercent val="0"/>
          <c:showBubbleSize val="0"/>
        </c:dLbl>
      </c:pivotFmt>
      <c:pivotFmt>
        <c:idx val="10"/>
        <c:spPr>
          <a:noFill/>
          <a:ln>
            <a:noFill/>
          </a:ln>
        </c:spPr>
        <c:marker>
          <c:symbol val="none"/>
        </c:marker>
        <c:dLbl>
          <c:idx val="0"/>
          <c:layout/>
          <c:spPr/>
          <c:txPr>
            <a:bodyPr/>
            <a:lstStyle/>
            <a:p>
              <a:pPr>
                <a:defRPr sz="6000" b="1">
                  <a:latin typeface="+mj-lt"/>
                </a:defRPr>
              </a:pPr>
              <a:endParaRPr lang="id-ID"/>
            </a:p>
          </c:txPr>
          <c:showLegendKey val="0"/>
          <c:showVal val="1"/>
          <c:showCatName val="0"/>
          <c:showSerName val="0"/>
          <c:showPercent val="0"/>
          <c:showBubbleSize val="0"/>
        </c:dLbl>
      </c:pivotFmt>
    </c:pivotFmts>
    <c:plotArea>
      <c:layout>
        <c:manualLayout>
          <c:layoutTarget val="inner"/>
          <c:xMode val="edge"/>
          <c:yMode val="edge"/>
          <c:x val="0.36976235488505393"/>
          <c:y val="1.1831508866269764E-2"/>
          <c:w val="0.58047532036065774"/>
          <c:h val="0.83272682869983727"/>
        </c:manualLayout>
      </c:layout>
      <c:barChart>
        <c:barDir val="bar"/>
        <c:grouping val="clustered"/>
        <c:varyColors val="0"/>
        <c:ser>
          <c:idx val="0"/>
          <c:order val="0"/>
          <c:tx>
            <c:strRef>
              <c:f>Pivot_Chart_Tables!$C$32</c:f>
              <c:strCache>
                <c:ptCount val="1"/>
                <c:pt idx="0">
                  <c:v>Sum of Revenue_USD2</c:v>
                </c:pt>
              </c:strCache>
            </c:strRef>
          </c:tx>
          <c:spPr>
            <a:solidFill>
              <a:schemeClr val="tx2">
                <a:lumMod val="50000"/>
              </a:schemeClr>
            </a:solidFill>
            <a:ln>
              <a:solidFill>
                <a:schemeClr val="tx2">
                  <a:lumMod val="50000"/>
                </a:schemeClr>
              </a:solidFill>
            </a:ln>
          </c:spPr>
          <c:invertIfNegative val="0"/>
          <c:dLbls>
            <c:spPr/>
            <c:txPr>
              <a:bodyPr/>
              <a:lstStyle/>
              <a:p>
                <a:pPr>
                  <a:defRPr sz="6000" b="1">
                    <a:latin typeface="+mj-lt"/>
                  </a:defRPr>
                </a:pPr>
                <a:endParaRPr lang="id-ID"/>
              </a:p>
            </c:txPr>
            <c:showLegendKey val="0"/>
            <c:showVal val="1"/>
            <c:showCatName val="0"/>
            <c:showSerName val="0"/>
            <c:showPercent val="0"/>
            <c:showBubbleSize val="0"/>
            <c:showLeaderLines val="0"/>
          </c:dLbls>
          <c:cat>
            <c:strRef>
              <c:f>Pivot_Chart_Tables!$B$33:$B$39</c:f>
              <c:strCache>
                <c:ptCount val="7"/>
                <c:pt idx="0">
                  <c:v>India</c:v>
                </c:pt>
                <c:pt idx="1">
                  <c:v>UK</c:v>
                </c:pt>
                <c:pt idx="2">
                  <c:v>Saudi Arabia</c:v>
                </c:pt>
                <c:pt idx="3">
                  <c:v>Germany</c:v>
                </c:pt>
                <c:pt idx="4">
                  <c:v>France</c:v>
                </c:pt>
                <c:pt idx="5">
                  <c:v>USA</c:v>
                </c:pt>
                <c:pt idx="6">
                  <c:v>UAE</c:v>
                </c:pt>
              </c:strCache>
            </c:strRef>
          </c:cat>
          <c:val>
            <c:numRef>
              <c:f>Pivot_Chart_Tables!$C$33:$C$39</c:f>
              <c:numCache>
                <c:formatCode>[$$-409]#,\K</c:formatCode>
                <c:ptCount val="7"/>
                <c:pt idx="0">
                  <c:v>177959.75999999992</c:v>
                </c:pt>
                <c:pt idx="1">
                  <c:v>186632.60999999993</c:v>
                </c:pt>
                <c:pt idx="2">
                  <c:v>191782.69999999998</c:v>
                </c:pt>
                <c:pt idx="3">
                  <c:v>202201.71</c:v>
                </c:pt>
                <c:pt idx="4">
                  <c:v>229435.44999999987</c:v>
                </c:pt>
                <c:pt idx="5">
                  <c:v>231784.47999999992</c:v>
                </c:pt>
                <c:pt idx="6">
                  <c:v>240051.9200000001</c:v>
                </c:pt>
              </c:numCache>
            </c:numRef>
          </c:val>
        </c:ser>
        <c:ser>
          <c:idx val="1"/>
          <c:order val="1"/>
          <c:tx>
            <c:strRef>
              <c:f>Pivot_Chart_Tables!$D$32</c:f>
              <c:strCache>
                <c:ptCount val="1"/>
                <c:pt idx="0">
                  <c:v>Sum of Revenue_USD</c:v>
                </c:pt>
              </c:strCache>
            </c:strRef>
          </c:tx>
          <c:spPr>
            <a:noFill/>
            <a:ln>
              <a:noFill/>
            </a:ln>
          </c:spPr>
          <c:invertIfNegative val="0"/>
          <c:dLbls>
            <c:spPr/>
            <c:txPr>
              <a:bodyPr/>
              <a:lstStyle/>
              <a:p>
                <a:pPr>
                  <a:defRPr sz="6000" b="1">
                    <a:latin typeface="+mj-lt"/>
                  </a:defRPr>
                </a:pPr>
                <a:endParaRPr lang="id-ID"/>
              </a:p>
            </c:txPr>
            <c:showLegendKey val="0"/>
            <c:showVal val="1"/>
            <c:showCatName val="0"/>
            <c:showSerName val="0"/>
            <c:showPercent val="0"/>
            <c:showBubbleSize val="0"/>
            <c:showLeaderLines val="0"/>
          </c:dLbls>
          <c:cat>
            <c:strRef>
              <c:f>Pivot_Chart_Tables!$B$33:$B$39</c:f>
              <c:strCache>
                <c:ptCount val="7"/>
                <c:pt idx="0">
                  <c:v>India</c:v>
                </c:pt>
                <c:pt idx="1">
                  <c:v>UK</c:v>
                </c:pt>
                <c:pt idx="2">
                  <c:v>Saudi Arabia</c:v>
                </c:pt>
                <c:pt idx="3">
                  <c:v>Germany</c:v>
                </c:pt>
                <c:pt idx="4">
                  <c:v>France</c:v>
                </c:pt>
                <c:pt idx="5">
                  <c:v>USA</c:v>
                </c:pt>
                <c:pt idx="6">
                  <c:v>UAE</c:v>
                </c:pt>
              </c:strCache>
            </c:strRef>
          </c:cat>
          <c:val>
            <c:numRef>
              <c:f>Pivot_Chart_Tables!$D$33:$D$39</c:f>
              <c:numCache>
                <c:formatCode>0.00%</c:formatCode>
                <c:ptCount val="7"/>
                <c:pt idx="0">
                  <c:v>0.12190288523269699</c:v>
                </c:pt>
                <c:pt idx="1">
                  <c:v>0.12784380939549872</c:v>
                </c:pt>
                <c:pt idx="2">
                  <c:v>0.13137163405770363</c:v>
                </c:pt>
                <c:pt idx="3">
                  <c:v>0.138508682232349</c:v>
                </c:pt>
                <c:pt idx="4">
                  <c:v>0.1571638629410502</c:v>
                </c:pt>
                <c:pt idx="5">
                  <c:v>0.1587729544261037</c:v>
                </c:pt>
                <c:pt idx="6">
                  <c:v>0.16443617171459765</c:v>
                </c:pt>
              </c:numCache>
            </c:numRef>
          </c:val>
        </c:ser>
        <c:dLbls>
          <c:showLegendKey val="0"/>
          <c:showVal val="1"/>
          <c:showCatName val="0"/>
          <c:showSerName val="0"/>
          <c:showPercent val="0"/>
          <c:showBubbleSize val="0"/>
        </c:dLbls>
        <c:gapWidth val="27"/>
        <c:overlap val="-37"/>
        <c:axId val="261223936"/>
        <c:axId val="261225856"/>
      </c:barChart>
      <c:catAx>
        <c:axId val="261223936"/>
        <c:scaling>
          <c:orientation val="minMax"/>
        </c:scaling>
        <c:delete val="0"/>
        <c:axPos val="l"/>
        <c:title>
          <c:tx>
            <c:rich>
              <a:bodyPr rot="-5400000" vert="horz"/>
              <a:lstStyle/>
              <a:p>
                <a:pPr>
                  <a:defRPr sz="5400" u="sng">
                    <a:latin typeface="+mj-lt"/>
                  </a:defRPr>
                </a:pPr>
                <a:r>
                  <a:rPr lang="en-US" sz="6000" b="1" u="sng">
                    <a:solidFill>
                      <a:schemeClr val="tx2">
                        <a:lumMod val="60000"/>
                        <a:lumOff val="40000"/>
                      </a:schemeClr>
                    </a:solidFill>
                    <a:latin typeface="+mj-lt"/>
                  </a:rPr>
                  <a:t>Country</a:t>
                </a:r>
                <a:endParaRPr lang="id-ID" sz="6000" b="1" u="sng">
                  <a:solidFill>
                    <a:schemeClr val="tx2">
                      <a:lumMod val="60000"/>
                      <a:lumOff val="40000"/>
                    </a:schemeClr>
                  </a:solidFill>
                  <a:latin typeface="+mj-lt"/>
                </a:endParaRPr>
              </a:p>
            </c:rich>
          </c:tx>
          <c:layout>
            <c:manualLayout>
              <c:xMode val="edge"/>
              <c:yMode val="edge"/>
              <c:x val="1.2597204608952924E-2"/>
              <c:y val="0.72979121326881458"/>
            </c:manualLayout>
          </c:layout>
          <c:overlay val="0"/>
        </c:title>
        <c:majorTickMark val="out"/>
        <c:minorTickMark val="none"/>
        <c:tickLblPos val="nextTo"/>
        <c:txPr>
          <a:bodyPr/>
          <a:lstStyle/>
          <a:p>
            <a:pPr>
              <a:defRPr sz="6000" b="1">
                <a:latin typeface="+mj-lt"/>
              </a:defRPr>
            </a:pPr>
            <a:endParaRPr lang="id-ID"/>
          </a:p>
        </c:txPr>
        <c:crossAx val="261225856"/>
        <c:crosses val="autoZero"/>
        <c:auto val="1"/>
        <c:lblAlgn val="ctr"/>
        <c:lblOffset val="100"/>
        <c:noMultiLvlLbl val="0"/>
      </c:catAx>
      <c:valAx>
        <c:axId val="261225856"/>
        <c:scaling>
          <c:orientation val="minMax"/>
        </c:scaling>
        <c:delete val="0"/>
        <c:axPos val="b"/>
        <c:title>
          <c:tx>
            <c:rich>
              <a:bodyPr/>
              <a:lstStyle/>
              <a:p>
                <a:pPr>
                  <a:defRPr sz="5400" b="1">
                    <a:latin typeface="+mj-lt"/>
                  </a:defRPr>
                </a:pPr>
                <a:r>
                  <a:rPr lang="en-US" sz="6000" b="1" u="sng">
                    <a:solidFill>
                      <a:schemeClr val="tx2">
                        <a:lumMod val="60000"/>
                        <a:lumOff val="40000"/>
                      </a:schemeClr>
                    </a:solidFill>
                    <a:latin typeface="+mj-lt"/>
                  </a:rPr>
                  <a:t>Total</a:t>
                </a:r>
                <a:r>
                  <a:rPr lang="en-US" sz="6000" b="1" u="sng" baseline="0">
                    <a:solidFill>
                      <a:schemeClr val="tx2">
                        <a:lumMod val="60000"/>
                        <a:lumOff val="40000"/>
                      </a:schemeClr>
                    </a:solidFill>
                    <a:latin typeface="+mj-lt"/>
                  </a:rPr>
                  <a:t> Revenue</a:t>
                </a:r>
                <a:endParaRPr lang="id-ID" sz="6000" b="1" u="sng">
                  <a:solidFill>
                    <a:schemeClr val="tx2">
                      <a:lumMod val="60000"/>
                      <a:lumOff val="40000"/>
                    </a:schemeClr>
                  </a:solidFill>
                  <a:latin typeface="+mj-lt"/>
                </a:endParaRPr>
              </a:p>
            </c:rich>
          </c:tx>
          <c:layout>
            <c:manualLayout>
              <c:xMode val="edge"/>
              <c:yMode val="edge"/>
              <c:x val="1.7045819326179001E-2"/>
              <c:y val="0.91189351856160994"/>
            </c:manualLayout>
          </c:layout>
          <c:overlay val="0"/>
        </c:title>
        <c:numFmt formatCode="[$$-409]#,\K" sourceLinked="1"/>
        <c:majorTickMark val="out"/>
        <c:minorTickMark val="none"/>
        <c:tickLblPos val="nextTo"/>
        <c:txPr>
          <a:bodyPr/>
          <a:lstStyle/>
          <a:p>
            <a:pPr>
              <a:defRPr sz="6000" b="1"/>
            </a:pPr>
            <a:endParaRPr lang="id-ID"/>
          </a:p>
        </c:txPr>
        <c:crossAx val="261223936"/>
        <c:crosses val="autoZero"/>
        <c:crossBetween val="between"/>
      </c:valAx>
      <c:spPr>
        <a:noFill/>
      </c:spPr>
    </c:plotArea>
    <c:plotVisOnly val="1"/>
    <c:dispBlanksAs val="gap"/>
    <c:showDLblsOverMax val="0"/>
  </c:chart>
  <c:spPr>
    <a:solidFill>
      <a:schemeClr val="accent1">
        <a:lumMod val="20000"/>
        <a:lumOff val="80000"/>
      </a:schemeClr>
    </a:solidFill>
    <a:ln>
      <a:noFill/>
    </a:ln>
    <a:scene3d>
      <a:camera prst="orthographicFront"/>
      <a:lightRig rig="threePt" dir="t"/>
    </a:scene3d>
    <a:sp3d prstMaterial="clear">
      <a:bevelT w="260350" h="50800" prst="softRound"/>
      <a:bevelB prst="softRound"/>
    </a:sp3d>
  </c:sp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[Shoe_Sales_Analytics_Dashboard.xlsx]Pivot_Chart_Tables!Mtks_Brand Rev Performance</c:name>
    <c:fmtId val="29"/>
  </c:pivotSource>
  <c:chart>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spPr>
          <a:solidFill>
            <a:schemeClr val="tx2">
              <a:lumMod val="50000"/>
            </a:schemeClr>
          </a:solidFill>
          <a:ln>
            <a:solidFill>
              <a:schemeClr val="tx2">
                <a:lumMod val="50000"/>
              </a:schemeClr>
            </a:solidFill>
          </a:ln>
        </c:spPr>
        <c:marker>
          <c:symbol val="none"/>
        </c:marker>
        <c:dLbl>
          <c:idx val="0"/>
          <c:layout/>
          <c:spPr/>
          <c:txPr>
            <a:bodyPr/>
            <a:lstStyle/>
            <a:p>
              <a:pPr>
                <a:defRPr sz="6000" b="1">
                  <a:latin typeface="+mj-lt"/>
                </a:defRPr>
              </a:pPr>
              <a:endParaRPr lang="id-ID"/>
            </a:p>
          </c:txPr>
          <c:dLblPos val="outEnd"/>
          <c:showLegendKey val="0"/>
          <c:showVal val="1"/>
          <c:showCatName val="0"/>
          <c:showSerName val="0"/>
          <c:showPercent val="0"/>
          <c:showBubbleSize val="0"/>
        </c:dLbl>
      </c:pivotFmt>
      <c:pivotFmt>
        <c:idx val="5"/>
        <c:spPr>
          <a:noFill/>
          <a:ln>
            <a:noFill/>
          </a:ln>
        </c:spPr>
        <c:marker>
          <c:symbol val="none"/>
        </c:marker>
        <c:dLbl>
          <c:idx val="0"/>
          <c:spPr/>
          <c:txPr>
            <a:bodyPr/>
            <a:lstStyle/>
            <a:p>
              <a:pPr>
                <a:defRPr sz="6000" b="1">
                  <a:latin typeface="+mj-lt"/>
                </a:defRPr>
              </a:pPr>
              <a:endParaRPr lang="id-ID"/>
            </a:p>
          </c:txPr>
          <c:dLblPos val="outEnd"/>
          <c:showLegendKey val="0"/>
          <c:showVal val="1"/>
          <c:showCatName val="0"/>
          <c:showSerName val="0"/>
          <c:showPercent val="0"/>
          <c:showBubbleSize val="0"/>
        </c:dLbl>
      </c:pivotFmt>
      <c:pivotFmt>
        <c:idx val="6"/>
        <c:marker>
          <c:symbol val="none"/>
        </c:marker>
        <c:dLbl>
          <c:idx val="0"/>
          <c:spPr/>
          <c:txPr>
            <a:bodyPr/>
            <a:lstStyle/>
            <a:p>
              <a:pPr>
                <a:defRPr sz="6000" b="1">
                  <a:latin typeface="+mj-lt"/>
                </a:defRPr>
              </a:pPr>
              <a:endParaRPr lang="id-ID"/>
            </a:p>
          </c:txPr>
          <c:dLblPos val="outEnd"/>
          <c:showLegendKey val="0"/>
          <c:showVal val="1"/>
          <c:showCatName val="0"/>
          <c:showSerName val="0"/>
          <c:showPercent val="0"/>
          <c:showBubbleSize val="0"/>
        </c:dLbl>
      </c:pivotFmt>
      <c:pivotFmt>
        <c:idx val="7"/>
        <c:spPr>
          <a:noFill/>
          <a:ln>
            <a:noFill/>
          </a:ln>
        </c:spPr>
        <c:marker>
          <c:symbol val="none"/>
        </c:marker>
        <c:dLbl>
          <c:idx val="0"/>
          <c:spPr/>
          <c:txPr>
            <a:bodyPr/>
            <a:lstStyle/>
            <a:p>
              <a:pPr>
                <a:defRPr sz="6000" b="1">
                  <a:latin typeface="+mj-lt"/>
                </a:defRPr>
              </a:pPr>
              <a:endParaRPr lang="id-ID"/>
            </a:p>
          </c:txPr>
          <c:dLblPos val="outEnd"/>
          <c:showLegendKey val="0"/>
          <c:showVal val="1"/>
          <c:showCatName val="0"/>
          <c:showSerName val="0"/>
          <c:showPercent val="0"/>
          <c:showBubbleSize val="0"/>
        </c:dLbl>
      </c:pivotFmt>
      <c:pivotFmt>
        <c:idx val="8"/>
        <c:spPr>
          <a:noFill/>
          <a:ln>
            <a:noFill/>
          </a:ln>
        </c:spPr>
        <c:marker>
          <c:symbol val="none"/>
        </c:marker>
        <c:dLbl>
          <c:idx val="0"/>
          <c:layout/>
          <c:spPr/>
          <c:txPr>
            <a:bodyPr/>
            <a:lstStyle/>
            <a:p>
              <a:pPr>
                <a:defRPr sz="6000" b="1">
                  <a:latin typeface="+mj-lt"/>
                </a:defRPr>
              </a:pPr>
              <a:endParaRPr lang="id-ID"/>
            </a:p>
          </c:txPr>
          <c:dLblPos val="outEnd"/>
          <c:showLegendKey val="0"/>
          <c:showVal val="1"/>
          <c:showCatName val="0"/>
          <c:showSerName val="0"/>
          <c:showPercent val="0"/>
          <c:showBubbleSize val="0"/>
        </c:dLbl>
      </c:pivotFmt>
    </c:pivotFmts>
    <c:plotArea>
      <c:layout>
        <c:manualLayout>
          <c:layoutTarget val="inner"/>
          <c:xMode val="edge"/>
          <c:yMode val="edge"/>
          <c:x val="0.36935381933511335"/>
          <c:y val="1.7522215007176257E-2"/>
          <c:w val="0.57735057754974761"/>
          <c:h val="0.82113524743445754"/>
        </c:manualLayout>
      </c:layout>
      <c:barChart>
        <c:barDir val="bar"/>
        <c:grouping val="clustered"/>
        <c:varyColors val="0"/>
        <c:ser>
          <c:idx val="0"/>
          <c:order val="0"/>
          <c:tx>
            <c:strRef>
              <c:f>Pivot_Chart_Tables!$C$43</c:f>
              <c:strCache>
                <c:ptCount val="1"/>
                <c:pt idx="0">
                  <c:v>Sum of Revenue_USD</c:v>
                </c:pt>
              </c:strCache>
            </c:strRef>
          </c:tx>
          <c:spPr>
            <a:solidFill>
              <a:schemeClr val="tx2">
                <a:lumMod val="50000"/>
              </a:schemeClr>
            </a:solidFill>
            <a:ln>
              <a:solidFill>
                <a:schemeClr val="tx2">
                  <a:lumMod val="50000"/>
                </a:schemeClr>
              </a:solidFill>
            </a:ln>
          </c:spPr>
          <c:invertIfNegative val="0"/>
          <c:dLbls>
            <c:spPr/>
            <c:txPr>
              <a:bodyPr/>
              <a:lstStyle/>
              <a:p>
                <a:pPr>
                  <a:defRPr sz="6000" b="1">
                    <a:latin typeface="+mj-lt"/>
                  </a:defRPr>
                </a:pPr>
                <a:endParaRPr lang="id-ID"/>
              </a:p>
            </c:txPr>
            <c:dLblPos val="outEnd"/>
            <c:showLegendKey val="0"/>
            <c:showVal val="1"/>
            <c:showCatName val="0"/>
            <c:showSerName val="0"/>
            <c:showPercent val="0"/>
            <c:showBubbleSize val="0"/>
            <c:showLeaderLines val="0"/>
          </c:dLbls>
          <c:cat>
            <c:strRef>
              <c:f>Pivot_Chart_Tables!$B$44:$B$49</c:f>
              <c:strCache>
                <c:ptCount val="6"/>
                <c:pt idx="0">
                  <c:v>Nike</c:v>
                </c:pt>
                <c:pt idx="1">
                  <c:v>Reebok</c:v>
                </c:pt>
                <c:pt idx="2">
                  <c:v>Puma</c:v>
                </c:pt>
                <c:pt idx="3">
                  <c:v>Adidas</c:v>
                </c:pt>
                <c:pt idx="4">
                  <c:v>New Balance</c:v>
                </c:pt>
                <c:pt idx="5">
                  <c:v>Skechers</c:v>
                </c:pt>
              </c:strCache>
            </c:strRef>
          </c:cat>
          <c:val>
            <c:numRef>
              <c:f>Pivot_Chart_Tables!$C$44:$C$49</c:f>
              <c:numCache>
                <c:formatCode>[$$-409]#,\K</c:formatCode>
                <c:ptCount val="6"/>
                <c:pt idx="0">
                  <c:v>192770.14999999997</c:v>
                </c:pt>
                <c:pt idx="1">
                  <c:v>238826.94000000003</c:v>
                </c:pt>
                <c:pt idx="2">
                  <c:v>239055.77999999997</c:v>
                </c:pt>
                <c:pt idx="3">
                  <c:v>257039.03999999989</c:v>
                </c:pt>
                <c:pt idx="4">
                  <c:v>261631.67999999993</c:v>
                </c:pt>
                <c:pt idx="5">
                  <c:v>270525.0400000001</c:v>
                </c:pt>
              </c:numCache>
            </c:numRef>
          </c:val>
        </c:ser>
        <c:ser>
          <c:idx val="1"/>
          <c:order val="1"/>
          <c:tx>
            <c:strRef>
              <c:f>Pivot_Chart_Tables!$D$43</c:f>
              <c:strCache>
                <c:ptCount val="1"/>
                <c:pt idx="0">
                  <c:v>Sum of Revenue_USD2</c:v>
                </c:pt>
              </c:strCache>
            </c:strRef>
          </c:tx>
          <c:spPr>
            <a:noFill/>
            <a:ln>
              <a:noFill/>
            </a:ln>
          </c:spPr>
          <c:invertIfNegative val="0"/>
          <c:dLbls>
            <c:spPr/>
            <c:txPr>
              <a:bodyPr/>
              <a:lstStyle/>
              <a:p>
                <a:pPr>
                  <a:defRPr sz="6000" b="1">
                    <a:latin typeface="+mj-lt"/>
                  </a:defRPr>
                </a:pPr>
                <a:endParaRPr lang="id-ID"/>
              </a:p>
            </c:txPr>
            <c:dLblPos val="outEnd"/>
            <c:showLegendKey val="0"/>
            <c:showVal val="1"/>
            <c:showCatName val="0"/>
            <c:showSerName val="0"/>
            <c:showPercent val="0"/>
            <c:showBubbleSize val="0"/>
            <c:showLeaderLines val="0"/>
          </c:dLbls>
          <c:cat>
            <c:strRef>
              <c:f>Pivot_Chart_Tables!$B$44:$B$49</c:f>
              <c:strCache>
                <c:ptCount val="6"/>
                <c:pt idx="0">
                  <c:v>Nike</c:v>
                </c:pt>
                <c:pt idx="1">
                  <c:v>Reebok</c:v>
                </c:pt>
                <c:pt idx="2">
                  <c:v>Puma</c:v>
                </c:pt>
                <c:pt idx="3">
                  <c:v>Adidas</c:v>
                </c:pt>
                <c:pt idx="4">
                  <c:v>New Balance</c:v>
                </c:pt>
                <c:pt idx="5">
                  <c:v>Skechers</c:v>
                </c:pt>
              </c:strCache>
            </c:strRef>
          </c:cat>
          <c:val>
            <c:numRef>
              <c:f>Pivot_Chart_Tables!$D$44:$D$49</c:f>
              <c:numCache>
                <c:formatCode>0.00%</c:formatCode>
                <c:ptCount val="6"/>
                <c:pt idx="0">
                  <c:v>0.13204803980259239</c:v>
                </c:pt>
                <c:pt idx="1">
                  <c:v>0.16359705731956611</c:v>
                </c:pt>
                <c:pt idx="2">
                  <c:v>0.16375381329775265</c:v>
                </c:pt>
                <c:pt idx="3">
                  <c:v>0.17607239183421361</c:v>
                </c:pt>
                <c:pt idx="4">
                  <c:v>0.17921836183796669</c:v>
                </c:pt>
                <c:pt idx="5">
                  <c:v>0.18531033590790855</c:v>
                </c:pt>
              </c:numCache>
            </c:numRef>
          </c:val>
        </c:ser>
        <c:dLbls>
          <c:showLegendKey val="0"/>
          <c:showVal val="0"/>
          <c:showCatName val="0"/>
          <c:showSerName val="0"/>
          <c:showPercent val="0"/>
          <c:showBubbleSize val="0"/>
        </c:dLbls>
        <c:gapWidth val="9"/>
        <c:overlap val="-14"/>
        <c:axId val="261501696"/>
        <c:axId val="261503616"/>
      </c:barChart>
      <c:catAx>
        <c:axId val="261501696"/>
        <c:scaling>
          <c:orientation val="minMax"/>
        </c:scaling>
        <c:delete val="0"/>
        <c:axPos val="l"/>
        <c:title>
          <c:tx>
            <c:rich>
              <a:bodyPr rot="-5400000" vert="horz"/>
              <a:lstStyle/>
              <a:p>
                <a:pPr>
                  <a:defRPr sz="6000" u="sng">
                    <a:solidFill>
                      <a:schemeClr val="tx2">
                        <a:lumMod val="60000"/>
                        <a:lumOff val="40000"/>
                      </a:schemeClr>
                    </a:solidFill>
                  </a:defRPr>
                </a:pPr>
                <a:r>
                  <a:rPr lang="en-US" sz="6000" u="sng">
                    <a:solidFill>
                      <a:schemeClr val="tx2">
                        <a:lumMod val="60000"/>
                        <a:lumOff val="40000"/>
                      </a:schemeClr>
                    </a:solidFill>
                  </a:rPr>
                  <a:t>Brands</a:t>
                </a:r>
                <a:endParaRPr lang="id-ID" sz="6000" u="sng">
                  <a:solidFill>
                    <a:schemeClr val="tx2">
                      <a:lumMod val="60000"/>
                      <a:lumOff val="40000"/>
                    </a:schemeClr>
                  </a:solidFill>
                </a:endParaRPr>
              </a:p>
            </c:rich>
          </c:tx>
          <c:layout>
            <c:manualLayout>
              <c:xMode val="edge"/>
              <c:yMode val="edge"/>
              <c:x val="1.8592695039897468E-4"/>
              <c:y val="0.75639218156718557"/>
            </c:manualLayout>
          </c:layout>
          <c:overlay val="0"/>
        </c:title>
        <c:majorTickMark val="out"/>
        <c:minorTickMark val="none"/>
        <c:tickLblPos val="nextTo"/>
        <c:txPr>
          <a:bodyPr/>
          <a:lstStyle/>
          <a:p>
            <a:pPr>
              <a:defRPr sz="6000" b="1">
                <a:latin typeface="+mj-lt"/>
              </a:defRPr>
            </a:pPr>
            <a:endParaRPr lang="id-ID"/>
          </a:p>
        </c:txPr>
        <c:crossAx val="261503616"/>
        <c:crosses val="autoZero"/>
        <c:auto val="1"/>
        <c:lblAlgn val="ctr"/>
        <c:lblOffset val="100"/>
        <c:noMultiLvlLbl val="0"/>
      </c:catAx>
      <c:valAx>
        <c:axId val="261503616"/>
        <c:scaling>
          <c:orientation val="minMax"/>
        </c:scaling>
        <c:delete val="0"/>
        <c:axPos val="b"/>
        <c:title>
          <c:tx>
            <c:rich>
              <a:bodyPr/>
              <a:lstStyle/>
              <a:p>
                <a:pPr>
                  <a:defRPr sz="6000">
                    <a:solidFill>
                      <a:schemeClr val="tx2">
                        <a:lumMod val="60000"/>
                        <a:lumOff val="40000"/>
                      </a:schemeClr>
                    </a:solidFill>
                  </a:defRPr>
                </a:pPr>
                <a:r>
                  <a:rPr lang="en-US" sz="6000" u="sng">
                    <a:solidFill>
                      <a:schemeClr val="tx2">
                        <a:lumMod val="60000"/>
                        <a:lumOff val="40000"/>
                      </a:schemeClr>
                    </a:solidFill>
                  </a:rPr>
                  <a:t>Total</a:t>
                </a:r>
                <a:r>
                  <a:rPr lang="en-US" sz="6000" u="sng" baseline="0">
                    <a:solidFill>
                      <a:schemeClr val="tx2">
                        <a:lumMod val="60000"/>
                        <a:lumOff val="40000"/>
                      </a:schemeClr>
                    </a:solidFill>
                  </a:rPr>
                  <a:t> Revenue</a:t>
                </a:r>
                <a:endParaRPr lang="id-ID" sz="6000" u="sng">
                  <a:solidFill>
                    <a:schemeClr val="tx2">
                      <a:lumMod val="60000"/>
                      <a:lumOff val="40000"/>
                    </a:schemeClr>
                  </a:solidFill>
                </a:endParaRPr>
              </a:p>
            </c:rich>
          </c:tx>
          <c:layout>
            <c:manualLayout>
              <c:xMode val="edge"/>
              <c:yMode val="edge"/>
              <c:x val="1.9116845243084241E-2"/>
              <c:y val="0.90792424380306291"/>
            </c:manualLayout>
          </c:layout>
          <c:overlay val="0"/>
        </c:title>
        <c:numFmt formatCode="[$$-409]#,\K" sourceLinked="1"/>
        <c:majorTickMark val="out"/>
        <c:minorTickMark val="none"/>
        <c:tickLblPos val="nextTo"/>
        <c:txPr>
          <a:bodyPr/>
          <a:lstStyle/>
          <a:p>
            <a:pPr>
              <a:defRPr sz="6000" b="1">
                <a:latin typeface="+mj-lt"/>
              </a:defRPr>
            </a:pPr>
            <a:endParaRPr lang="id-ID"/>
          </a:p>
        </c:txPr>
        <c:crossAx val="261501696"/>
        <c:crosses val="autoZero"/>
        <c:crossBetween val="between"/>
      </c:valAx>
      <c:spPr>
        <a:noFill/>
        <a:ln>
          <a:noFill/>
        </a:ln>
      </c:spPr>
    </c:plotArea>
    <c:plotVisOnly val="1"/>
    <c:dispBlanksAs val="gap"/>
    <c:showDLblsOverMax val="0"/>
  </c:chart>
  <c:spPr>
    <a:solidFill>
      <a:schemeClr val="accent1">
        <a:lumMod val="20000"/>
        <a:lumOff val="80000"/>
      </a:schemeClr>
    </a:solidFill>
    <a:ln>
      <a:noFill/>
    </a:ln>
    <a:scene3d>
      <a:camera prst="orthographicFront"/>
      <a:lightRig rig="threePt" dir="t"/>
    </a:scene3d>
    <a:sp3d prstMaterial="clear">
      <a:bevelT w="260350" h="50800" prst="softRound"/>
      <a:bevelB prst="softRound"/>
    </a:sp3d>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[Shoe_Sales_Analytics_Dashboard.xlsx]Pivot_Chart_Tables!Mtrks_Channel_Rev</c:name>
    <c:fmtId val="46"/>
  </c:pivotSource>
  <c:chart>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spPr>
          <a:solidFill>
            <a:schemeClr val="tx2">
              <a:lumMod val="50000"/>
            </a:schemeClr>
          </a:solidFill>
          <a:ln>
            <a:solidFill>
              <a:schemeClr val="tx2">
                <a:lumMod val="50000"/>
              </a:schemeClr>
            </a:solidFill>
          </a:ln>
        </c:spPr>
        <c:marker>
          <c:symbol val="none"/>
        </c:marker>
        <c:dLbl>
          <c:idx val="0"/>
          <c:layout/>
          <c:spPr/>
          <c:txPr>
            <a:bodyPr/>
            <a:lstStyle/>
            <a:p>
              <a:pPr>
                <a:defRPr sz="6000" b="1">
                  <a:latin typeface="+mj-lt"/>
                </a:defRPr>
              </a:pPr>
              <a:endParaRPr lang="id-ID"/>
            </a:p>
          </c:txPr>
          <c:dLblPos val="outEnd"/>
          <c:showLegendKey val="0"/>
          <c:showVal val="1"/>
          <c:showCatName val="0"/>
          <c:showSerName val="0"/>
          <c:showPercent val="0"/>
          <c:showBubbleSize val="0"/>
        </c:dLbl>
      </c:pivotFmt>
      <c:pivotFmt>
        <c:idx val="5"/>
        <c:spPr>
          <a:noFill/>
          <a:ln>
            <a:noFill/>
          </a:ln>
        </c:spPr>
        <c:marker>
          <c:symbol val="none"/>
        </c:marker>
        <c:dLbl>
          <c:idx val="0"/>
          <c:spPr/>
          <c:txPr>
            <a:bodyPr/>
            <a:lstStyle/>
            <a:p>
              <a:pPr>
                <a:defRPr sz="6000" b="1"/>
              </a:pPr>
              <a:endParaRPr lang="id-ID"/>
            </a:p>
          </c:txPr>
          <c:dLblPos val="outEnd"/>
          <c:showLegendKey val="0"/>
          <c:showVal val="1"/>
          <c:showCatName val="0"/>
          <c:showSerName val="0"/>
          <c:showPercent val="0"/>
          <c:showBubbleSize val="0"/>
        </c:dLbl>
      </c:pivotFmt>
      <c:pivotFmt>
        <c:idx val="6"/>
        <c:spPr>
          <a:noFill/>
          <a:ln>
            <a:noFill/>
          </a:ln>
        </c:spPr>
        <c:marker>
          <c:symbol val="none"/>
        </c:marker>
        <c:dLbl>
          <c:idx val="0"/>
          <c:spPr/>
          <c:txPr>
            <a:bodyPr/>
            <a:lstStyle/>
            <a:p>
              <a:pPr>
                <a:defRPr sz="6000" b="1">
                  <a:latin typeface="+mj-lt"/>
                </a:defRPr>
              </a:pPr>
              <a:endParaRPr lang="id-ID"/>
            </a:p>
          </c:txPr>
          <c:dLblPos val="outEnd"/>
          <c:showLegendKey val="0"/>
          <c:showVal val="1"/>
          <c:showCatName val="0"/>
          <c:showSerName val="0"/>
          <c:showPercent val="0"/>
          <c:showBubbleSize val="0"/>
        </c:dLbl>
      </c:pivotFmt>
      <c:pivotFmt>
        <c:idx val="7"/>
        <c:spPr>
          <a:noFill/>
          <a:ln>
            <a:noFill/>
          </a:ln>
        </c:spPr>
        <c:marker>
          <c:symbol val="none"/>
        </c:marker>
        <c:dLbl>
          <c:idx val="0"/>
          <c:layout/>
          <c:spPr/>
          <c:txPr>
            <a:bodyPr/>
            <a:lstStyle/>
            <a:p>
              <a:pPr>
                <a:defRPr sz="6000" b="1">
                  <a:latin typeface="+mj-lt"/>
                </a:defRPr>
              </a:pPr>
              <a:endParaRPr lang="id-ID"/>
            </a:p>
          </c:txPr>
          <c:dLblPos val="outEnd"/>
          <c:showLegendKey val="0"/>
          <c:showVal val="1"/>
          <c:showCatName val="0"/>
          <c:showSerName val="0"/>
          <c:showPercent val="0"/>
          <c:showBubbleSize val="0"/>
        </c:dLbl>
      </c:pivotFmt>
    </c:pivotFmts>
    <c:plotArea>
      <c:layout>
        <c:manualLayout>
          <c:layoutTarget val="inner"/>
          <c:xMode val="edge"/>
          <c:yMode val="edge"/>
          <c:x val="0.36828610011854629"/>
          <c:y val="2.345243600136241E-2"/>
          <c:w val="0.58907991608690025"/>
          <c:h val="0.82422812536879875"/>
        </c:manualLayout>
      </c:layout>
      <c:barChart>
        <c:barDir val="bar"/>
        <c:grouping val="clustered"/>
        <c:varyColors val="0"/>
        <c:ser>
          <c:idx val="0"/>
          <c:order val="0"/>
          <c:tx>
            <c:strRef>
              <c:f>Pivot_Chart_Tables!$C$52</c:f>
              <c:strCache>
                <c:ptCount val="1"/>
                <c:pt idx="0">
                  <c:v>Sum of Revenue_USD</c:v>
                </c:pt>
              </c:strCache>
            </c:strRef>
          </c:tx>
          <c:spPr>
            <a:solidFill>
              <a:schemeClr val="tx2">
                <a:lumMod val="50000"/>
              </a:schemeClr>
            </a:solidFill>
            <a:ln>
              <a:solidFill>
                <a:schemeClr val="tx2">
                  <a:lumMod val="50000"/>
                </a:schemeClr>
              </a:solidFill>
            </a:ln>
          </c:spPr>
          <c:invertIfNegative val="0"/>
          <c:dLbls>
            <c:spPr/>
            <c:txPr>
              <a:bodyPr/>
              <a:lstStyle/>
              <a:p>
                <a:pPr>
                  <a:defRPr sz="6000" b="1">
                    <a:latin typeface="+mj-lt"/>
                  </a:defRPr>
                </a:pPr>
                <a:endParaRPr lang="id-ID"/>
              </a:p>
            </c:txPr>
            <c:dLblPos val="outEnd"/>
            <c:showLegendKey val="0"/>
            <c:showVal val="1"/>
            <c:showCatName val="0"/>
            <c:showSerName val="0"/>
            <c:showPercent val="0"/>
            <c:showBubbleSize val="0"/>
            <c:showLeaderLines val="0"/>
          </c:dLbls>
          <c:cat>
            <c:strRef>
              <c:f>Pivot_Chart_Tables!$B$53:$B$55</c:f>
              <c:strCache>
                <c:ptCount val="3"/>
                <c:pt idx="0">
                  <c:v>Mall</c:v>
                </c:pt>
                <c:pt idx="1">
                  <c:v>Online</c:v>
                </c:pt>
                <c:pt idx="2">
                  <c:v>Retail Store</c:v>
                </c:pt>
              </c:strCache>
            </c:strRef>
          </c:cat>
          <c:val>
            <c:numRef>
              <c:f>Pivot_Chart_Tables!$C$53:$C$55</c:f>
              <c:numCache>
                <c:formatCode>[$$-409]#,\K</c:formatCode>
                <c:ptCount val="3"/>
                <c:pt idx="0">
                  <c:v>483057.52000000019</c:v>
                </c:pt>
                <c:pt idx="1">
                  <c:v>470665.9800000001</c:v>
                </c:pt>
                <c:pt idx="2">
                  <c:v>506125.1299999996</c:v>
                </c:pt>
              </c:numCache>
            </c:numRef>
          </c:val>
        </c:ser>
        <c:ser>
          <c:idx val="1"/>
          <c:order val="1"/>
          <c:tx>
            <c:strRef>
              <c:f>Pivot_Chart_Tables!$D$52</c:f>
              <c:strCache>
                <c:ptCount val="1"/>
                <c:pt idx="0">
                  <c:v>Sum of Revenue_USD2</c:v>
                </c:pt>
              </c:strCache>
            </c:strRef>
          </c:tx>
          <c:spPr>
            <a:noFill/>
            <a:ln>
              <a:noFill/>
            </a:ln>
          </c:spPr>
          <c:invertIfNegative val="0"/>
          <c:dLbls>
            <c:spPr/>
            <c:txPr>
              <a:bodyPr/>
              <a:lstStyle/>
              <a:p>
                <a:pPr>
                  <a:defRPr sz="6000" b="1">
                    <a:latin typeface="+mj-lt"/>
                  </a:defRPr>
                </a:pPr>
                <a:endParaRPr lang="id-ID"/>
              </a:p>
            </c:txPr>
            <c:dLblPos val="outEnd"/>
            <c:showLegendKey val="0"/>
            <c:showVal val="1"/>
            <c:showCatName val="0"/>
            <c:showSerName val="0"/>
            <c:showPercent val="0"/>
            <c:showBubbleSize val="0"/>
            <c:showLeaderLines val="0"/>
          </c:dLbls>
          <c:cat>
            <c:strRef>
              <c:f>Pivot_Chart_Tables!$B$53:$B$55</c:f>
              <c:strCache>
                <c:ptCount val="3"/>
                <c:pt idx="0">
                  <c:v>Mall</c:v>
                </c:pt>
                <c:pt idx="1">
                  <c:v>Online</c:v>
                </c:pt>
                <c:pt idx="2">
                  <c:v>Retail Store</c:v>
                </c:pt>
              </c:strCache>
            </c:strRef>
          </c:cat>
          <c:val>
            <c:numRef>
              <c:f>Pivot_Chart_Tables!$D$53:$D$55</c:f>
              <c:numCache>
                <c:formatCode>0.00%</c:formatCode>
                <c:ptCount val="3"/>
                <c:pt idx="0">
                  <c:v>0.33089562169195597</c:v>
                </c:pt>
                <c:pt idx="1">
                  <c:v>0.3224073854835211</c:v>
                </c:pt>
                <c:pt idx="2">
                  <c:v>0.34669699282452293</c:v>
                </c:pt>
              </c:numCache>
            </c:numRef>
          </c:val>
        </c:ser>
        <c:dLbls>
          <c:showLegendKey val="0"/>
          <c:showVal val="0"/>
          <c:showCatName val="0"/>
          <c:showSerName val="0"/>
          <c:showPercent val="0"/>
          <c:showBubbleSize val="0"/>
        </c:dLbls>
        <c:gapWidth val="0"/>
        <c:overlap val="6"/>
        <c:axId val="261630592"/>
        <c:axId val="261649152"/>
      </c:barChart>
      <c:catAx>
        <c:axId val="261630592"/>
        <c:scaling>
          <c:orientation val="minMax"/>
        </c:scaling>
        <c:delete val="0"/>
        <c:axPos val="l"/>
        <c:title>
          <c:tx>
            <c:rich>
              <a:bodyPr rot="-5400000" vert="horz"/>
              <a:lstStyle/>
              <a:p>
                <a:pPr>
                  <a:defRPr sz="6000"/>
                </a:pPr>
                <a:r>
                  <a:rPr lang="en-US" sz="6000" u="sng">
                    <a:solidFill>
                      <a:schemeClr val="accent1"/>
                    </a:solidFill>
                  </a:rPr>
                  <a:t>Channel</a:t>
                </a:r>
                <a:endParaRPr lang="id-ID" sz="6000" u="sng">
                  <a:solidFill>
                    <a:schemeClr val="accent1"/>
                  </a:solidFill>
                </a:endParaRPr>
              </a:p>
            </c:rich>
          </c:tx>
          <c:layout>
            <c:manualLayout>
              <c:xMode val="edge"/>
              <c:yMode val="edge"/>
              <c:x val="1.0989348627163996E-3"/>
              <c:y val="0.75309655526065644"/>
            </c:manualLayout>
          </c:layout>
          <c:overlay val="0"/>
        </c:title>
        <c:majorTickMark val="out"/>
        <c:minorTickMark val="none"/>
        <c:tickLblPos val="nextTo"/>
        <c:txPr>
          <a:bodyPr/>
          <a:lstStyle/>
          <a:p>
            <a:pPr>
              <a:defRPr sz="6000" b="1"/>
            </a:pPr>
            <a:endParaRPr lang="id-ID"/>
          </a:p>
        </c:txPr>
        <c:crossAx val="261649152"/>
        <c:crosses val="autoZero"/>
        <c:auto val="1"/>
        <c:lblAlgn val="ctr"/>
        <c:lblOffset val="100"/>
        <c:noMultiLvlLbl val="0"/>
      </c:catAx>
      <c:valAx>
        <c:axId val="261649152"/>
        <c:scaling>
          <c:orientation val="minMax"/>
        </c:scaling>
        <c:delete val="0"/>
        <c:axPos val="b"/>
        <c:title>
          <c:tx>
            <c:rich>
              <a:bodyPr/>
              <a:lstStyle/>
              <a:p>
                <a:pPr>
                  <a:defRPr sz="6000"/>
                </a:pPr>
                <a:r>
                  <a:rPr lang="en-US" sz="6000" u="sng">
                    <a:solidFill>
                      <a:schemeClr val="accent1"/>
                    </a:solidFill>
                  </a:rPr>
                  <a:t>Total</a:t>
                </a:r>
                <a:r>
                  <a:rPr lang="en-US" sz="6000" u="sng" baseline="0">
                    <a:solidFill>
                      <a:schemeClr val="accent1"/>
                    </a:solidFill>
                  </a:rPr>
                  <a:t> Revenue</a:t>
                </a:r>
                <a:endParaRPr lang="id-ID" sz="6000" u="sng">
                  <a:solidFill>
                    <a:schemeClr val="accent1"/>
                  </a:solidFill>
                </a:endParaRPr>
              </a:p>
            </c:rich>
          </c:tx>
          <c:layout>
            <c:manualLayout>
              <c:xMode val="edge"/>
              <c:yMode val="edge"/>
              <c:x val="5.145466170362792E-3"/>
              <c:y val="0.91285818368410143"/>
            </c:manualLayout>
          </c:layout>
          <c:overlay val="0"/>
        </c:title>
        <c:numFmt formatCode="[$$-409]#,\K" sourceLinked="1"/>
        <c:majorTickMark val="out"/>
        <c:minorTickMark val="none"/>
        <c:tickLblPos val="nextTo"/>
        <c:txPr>
          <a:bodyPr/>
          <a:lstStyle/>
          <a:p>
            <a:pPr>
              <a:defRPr sz="6000" b="1"/>
            </a:pPr>
            <a:endParaRPr lang="id-ID"/>
          </a:p>
        </c:txPr>
        <c:crossAx val="261630592"/>
        <c:crosses val="autoZero"/>
        <c:crossBetween val="between"/>
      </c:valAx>
      <c:spPr>
        <a:noFill/>
        <a:ln>
          <a:noFill/>
        </a:ln>
      </c:spPr>
    </c:plotArea>
    <c:plotVisOnly val="1"/>
    <c:dispBlanksAs val="gap"/>
    <c:showDLblsOverMax val="0"/>
  </c:chart>
  <c:spPr>
    <a:solidFill>
      <a:schemeClr val="accent1">
        <a:lumMod val="20000"/>
        <a:lumOff val="80000"/>
      </a:schemeClr>
    </a:solidFill>
    <a:ln>
      <a:noFill/>
    </a:ln>
    <a:scene3d>
      <a:camera prst="orthographicFront"/>
      <a:lightRig rig="threePt" dir="t"/>
    </a:scene3d>
    <a:sp3d prstMaterial="clear">
      <a:bevelT w="260350" h="50800" prst="softRound"/>
      <a:bevelB prst="softRound"/>
    </a:sp3d>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[Shoe_Sales_Analytics_Dashboard.xlsx]Pivot_Chart_Tables!mtrk_TypeofShoe</c:name>
    <c:fmtId val="51"/>
  </c:pivotSource>
  <c:chart>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spPr>
          <a:solidFill>
            <a:schemeClr val="tx2">
              <a:lumMod val="50000"/>
            </a:schemeClr>
          </a:solidFill>
          <a:ln>
            <a:solidFill>
              <a:schemeClr val="tx2">
                <a:lumMod val="50000"/>
              </a:schemeClr>
            </a:solidFill>
          </a:ln>
        </c:spPr>
        <c:marker>
          <c:symbol val="none"/>
        </c:marker>
        <c:dLbl>
          <c:idx val="0"/>
          <c:layout/>
          <c:spPr/>
          <c:txPr>
            <a:bodyPr/>
            <a:lstStyle/>
            <a:p>
              <a:pPr>
                <a:defRPr sz="6000" b="1">
                  <a:latin typeface="+mj-lt"/>
                </a:defRPr>
              </a:pPr>
              <a:endParaRPr lang="id-ID"/>
            </a:p>
          </c:txPr>
          <c:dLblPos val="outEnd"/>
          <c:showLegendKey val="0"/>
          <c:showVal val="1"/>
          <c:showCatName val="0"/>
          <c:showSerName val="0"/>
          <c:showPercent val="0"/>
          <c:showBubbleSize val="0"/>
        </c:dLbl>
      </c:pivotFmt>
      <c:pivotFmt>
        <c:idx val="5"/>
        <c:spPr>
          <a:noFill/>
          <a:ln>
            <a:noFill/>
          </a:ln>
        </c:spPr>
        <c:marker>
          <c:symbol val="none"/>
        </c:marker>
        <c:dLbl>
          <c:idx val="0"/>
          <c:spPr/>
          <c:txPr>
            <a:bodyPr/>
            <a:lstStyle/>
            <a:p>
              <a:pPr>
                <a:defRPr sz="6000" b="1">
                  <a:latin typeface="+mj-lt"/>
                </a:defRPr>
              </a:pPr>
              <a:endParaRPr lang="id-ID"/>
            </a:p>
          </c:txPr>
          <c:dLblPos val="outEnd"/>
          <c:showLegendKey val="0"/>
          <c:showVal val="1"/>
          <c:showCatName val="0"/>
          <c:showSerName val="0"/>
          <c:showPercent val="0"/>
          <c:showBubbleSize val="0"/>
        </c:dLbl>
      </c:pivotFmt>
      <c:pivotFmt>
        <c:idx val="6"/>
        <c:spPr>
          <a:noFill/>
          <a:ln>
            <a:noFill/>
          </a:ln>
        </c:spPr>
        <c:marker>
          <c:symbol val="none"/>
        </c:marker>
        <c:dLbl>
          <c:idx val="0"/>
          <c:spPr/>
          <c:txPr>
            <a:bodyPr/>
            <a:lstStyle/>
            <a:p>
              <a:pPr>
                <a:defRPr sz="6000" b="1">
                  <a:latin typeface="+mj-lt"/>
                </a:defRPr>
              </a:pPr>
              <a:endParaRPr lang="id-ID"/>
            </a:p>
          </c:txPr>
          <c:dLblPos val="outEnd"/>
          <c:showLegendKey val="0"/>
          <c:showVal val="1"/>
          <c:showCatName val="0"/>
          <c:showSerName val="0"/>
          <c:showPercent val="0"/>
          <c:showBubbleSize val="0"/>
        </c:dLbl>
      </c:pivotFmt>
      <c:pivotFmt>
        <c:idx val="7"/>
        <c:spPr>
          <a:noFill/>
          <a:ln>
            <a:noFill/>
          </a:ln>
        </c:spPr>
        <c:marker>
          <c:symbol val="none"/>
        </c:marker>
        <c:dLbl>
          <c:idx val="0"/>
          <c:layout/>
          <c:spPr/>
          <c:txPr>
            <a:bodyPr/>
            <a:lstStyle/>
            <a:p>
              <a:pPr>
                <a:defRPr sz="6000" b="1">
                  <a:latin typeface="+mj-lt"/>
                </a:defRPr>
              </a:pPr>
              <a:endParaRPr lang="id-ID"/>
            </a:p>
          </c:txPr>
          <c:dLblPos val="outEnd"/>
          <c:showLegendKey val="0"/>
          <c:showVal val="1"/>
          <c:showCatName val="0"/>
          <c:showSerName val="0"/>
          <c:showPercent val="0"/>
          <c:showBubbleSize val="0"/>
        </c:dLbl>
      </c:pivotFmt>
    </c:pivotFmts>
    <c:plotArea>
      <c:layout>
        <c:manualLayout>
          <c:layoutTarget val="inner"/>
          <c:xMode val="edge"/>
          <c:yMode val="edge"/>
          <c:x val="0.36883467362723582"/>
          <c:y val="7.1895424836601303E-3"/>
          <c:w val="0.57690587684367423"/>
          <c:h val="0.83368126790987873"/>
        </c:manualLayout>
      </c:layout>
      <c:barChart>
        <c:barDir val="bar"/>
        <c:grouping val="clustered"/>
        <c:varyColors val="0"/>
        <c:ser>
          <c:idx val="0"/>
          <c:order val="0"/>
          <c:tx>
            <c:strRef>
              <c:f>Pivot_Chart_Tables!$C$58</c:f>
              <c:strCache>
                <c:ptCount val="1"/>
                <c:pt idx="0">
                  <c:v>Sum of Revenue_USD</c:v>
                </c:pt>
              </c:strCache>
            </c:strRef>
          </c:tx>
          <c:spPr>
            <a:solidFill>
              <a:schemeClr val="tx2">
                <a:lumMod val="50000"/>
              </a:schemeClr>
            </a:solidFill>
            <a:ln>
              <a:solidFill>
                <a:schemeClr val="tx2">
                  <a:lumMod val="50000"/>
                </a:schemeClr>
              </a:solidFill>
            </a:ln>
          </c:spPr>
          <c:invertIfNegative val="0"/>
          <c:dLbls>
            <c:spPr/>
            <c:txPr>
              <a:bodyPr/>
              <a:lstStyle/>
              <a:p>
                <a:pPr>
                  <a:defRPr sz="6000" b="1">
                    <a:latin typeface="+mj-lt"/>
                  </a:defRPr>
                </a:pPr>
                <a:endParaRPr lang="id-ID"/>
              </a:p>
            </c:txPr>
            <c:dLblPos val="outEnd"/>
            <c:showLegendKey val="0"/>
            <c:showVal val="1"/>
            <c:showCatName val="0"/>
            <c:showSerName val="0"/>
            <c:showPercent val="0"/>
            <c:showBubbleSize val="0"/>
            <c:showLeaderLines val="0"/>
          </c:dLbls>
          <c:cat>
            <c:strRef>
              <c:f>Pivot_Chart_Tables!$B$59:$B$64</c:f>
              <c:strCache>
                <c:ptCount val="6"/>
                <c:pt idx="0">
                  <c:v>Sports</c:v>
                </c:pt>
                <c:pt idx="1">
                  <c:v>Casual</c:v>
                </c:pt>
                <c:pt idx="2">
                  <c:v>Running</c:v>
                </c:pt>
                <c:pt idx="3">
                  <c:v>Formal</c:v>
                </c:pt>
                <c:pt idx="4">
                  <c:v>Boots</c:v>
                </c:pt>
                <c:pt idx="5">
                  <c:v>Sneakers</c:v>
                </c:pt>
              </c:strCache>
            </c:strRef>
          </c:cat>
          <c:val>
            <c:numRef>
              <c:f>Pivot_Chart_Tables!$C$59:$C$64</c:f>
              <c:numCache>
                <c:formatCode>[$$-409]#,\K</c:formatCode>
                <c:ptCount val="6"/>
                <c:pt idx="0">
                  <c:v>203885.75000000009</c:v>
                </c:pt>
                <c:pt idx="1">
                  <c:v>223235.78000000012</c:v>
                </c:pt>
                <c:pt idx="2">
                  <c:v>230560.18999999994</c:v>
                </c:pt>
                <c:pt idx="3">
                  <c:v>246771.00999999998</c:v>
                </c:pt>
                <c:pt idx="4">
                  <c:v>270824.45999999996</c:v>
                </c:pt>
                <c:pt idx="5">
                  <c:v>284571.43999999989</c:v>
                </c:pt>
              </c:numCache>
            </c:numRef>
          </c:val>
        </c:ser>
        <c:ser>
          <c:idx val="1"/>
          <c:order val="1"/>
          <c:tx>
            <c:strRef>
              <c:f>Pivot_Chart_Tables!$D$58</c:f>
              <c:strCache>
                <c:ptCount val="1"/>
                <c:pt idx="0">
                  <c:v>Sum of Revenue_USD2</c:v>
                </c:pt>
              </c:strCache>
            </c:strRef>
          </c:tx>
          <c:spPr>
            <a:noFill/>
            <a:ln>
              <a:noFill/>
            </a:ln>
          </c:spPr>
          <c:invertIfNegative val="0"/>
          <c:dLbls>
            <c:spPr/>
            <c:txPr>
              <a:bodyPr/>
              <a:lstStyle/>
              <a:p>
                <a:pPr>
                  <a:defRPr sz="6000" b="1">
                    <a:latin typeface="+mj-lt"/>
                  </a:defRPr>
                </a:pPr>
                <a:endParaRPr lang="id-ID"/>
              </a:p>
            </c:txPr>
            <c:dLblPos val="outEnd"/>
            <c:showLegendKey val="0"/>
            <c:showVal val="1"/>
            <c:showCatName val="0"/>
            <c:showSerName val="0"/>
            <c:showPercent val="0"/>
            <c:showBubbleSize val="0"/>
            <c:showLeaderLines val="0"/>
          </c:dLbls>
          <c:cat>
            <c:strRef>
              <c:f>Pivot_Chart_Tables!$B$59:$B$64</c:f>
              <c:strCache>
                <c:ptCount val="6"/>
                <c:pt idx="0">
                  <c:v>Sports</c:v>
                </c:pt>
                <c:pt idx="1">
                  <c:v>Casual</c:v>
                </c:pt>
                <c:pt idx="2">
                  <c:v>Running</c:v>
                </c:pt>
                <c:pt idx="3">
                  <c:v>Formal</c:v>
                </c:pt>
                <c:pt idx="4">
                  <c:v>Boots</c:v>
                </c:pt>
                <c:pt idx="5">
                  <c:v>Sneakers</c:v>
                </c:pt>
              </c:strCache>
            </c:strRef>
          </c:cat>
          <c:val>
            <c:numRef>
              <c:f>Pivot_Chart_Tables!$D$59:$D$64</c:f>
              <c:numCache>
                <c:formatCode>0.00%</c:formatCode>
                <c:ptCount val="6"/>
                <c:pt idx="0">
                  <c:v>0.13966225388724043</c:v>
                </c:pt>
                <c:pt idx="1">
                  <c:v>0.15291707332697921</c:v>
                </c:pt>
                <c:pt idx="2">
                  <c:v>0.15793431268281558</c:v>
                </c:pt>
                <c:pt idx="3">
                  <c:v>0.16903876534103401</c:v>
                </c:pt>
                <c:pt idx="4">
                  <c:v>0.1855154393644223</c:v>
                </c:pt>
                <c:pt idx="5">
                  <c:v>0.19493215539750852</c:v>
                </c:pt>
              </c:numCache>
            </c:numRef>
          </c:val>
        </c:ser>
        <c:dLbls>
          <c:showLegendKey val="0"/>
          <c:showVal val="0"/>
          <c:showCatName val="0"/>
          <c:showSerName val="0"/>
          <c:showPercent val="0"/>
          <c:showBubbleSize val="0"/>
        </c:dLbls>
        <c:gapWidth val="25"/>
        <c:overlap val="-37"/>
        <c:axId val="261690496"/>
        <c:axId val="261692416"/>
      </c:barChart>
      <c:catAx>
        <c:axId val="261690496"/>
        <c:scaling>
          <c:orientation val="minMax"/>
        </c:scaling>
        <c:delete val="0"/>
        <c:axPos val="l"/>
        <c:title>
          <c:tx>
            <c:rich>
              <a:bodyPr rot="-5400000" vert="horz"/>
              <a:lstStyle/>
              <a:p>
                <a:pPr>
                  <a:defRPr sz="6000">
                    <a:latin typeface="+mj-lt"/>
                  </a:defRPr>
                </a:pPr>
                <a:r>
                  <a:rPr lang="en-US" sz="6000" u="sng">
                    <a:solidFill>
                      <a:schemeClr val="accent1"/>
                    </a:solidFill>
                    <a:latin typeface="+mj-lt"/>
                  </a:rPr>
                  <a:t>Shoe</a:t>
                </a:r>
                <a:r>
                  <a:rPr lang="en-US" sz="6000" u="sng" baseline="0">
                    <a:solidFill>
                      <a:schemeClr val="accent1"/>
                    </a:solidFill>
                    <a:latin typeface="+mj-lt"/>
                  </a:rPr>
                  <a:t> of Type</a:t>
                </a:r>
                <a:endParaRPr lang="id-ID" sz="6000" u="sng">
                  <a:solidFill>
                    <a:schemeClr val="accent1"/>
                  </a:solidFill>
                  <a:latin typeface="+mj-lt"/>
                </a:endParaRPr>
              </a:p>
            </c:rich>
          </c:tx>
          <c:layout>
            <c:manualLayout>
              <c:xMode val="edge"/>
              <c:yMode val="edge"/>
              <c:x val="1.0069997078637026E-2"/>
              <c:y val="0.67769062862494889"/>
            </c:manualLayout>
          </c:layout>
          <c:overlay val="0"/>
        </c:title>
        <c:majorTickMark val="out"/>
        <c:minorTickMark val="none"/>
        <c:tickLblPos val="nextTo"/>
        <c:txPr>
          <a:bodyPr/>
          <a:lstStyle/>
          <a:p>
            <a:pPr>
              <a:defRPr sz="6000" b="1">
                <a:latin typeface="+mj-lt"/>
              </a:defRPr>
            </a:pPr>
            <a:endParaRPr lang="id-ID"/>
          </a:p>
        </c:txPr>
        <c:crossAx val="261692416"/>
        <c:crosses val="autoZero"/>
        <c:auto val="1"/>
        <c:lblAlgn val="ctr"/>
        <c:lblOffset val="100"/>
        <c:noMultiLvlLbl val="0"/>
      </c:catAx>
      <c:valAx>
        <c:axId val="261692416"/>
        <c:scaling>
          <c:orientation val="minMax"/>
        </c:scaling>
        <c:delete val="0"/>
        <c:axPos val="b"/>
        <c:title>
          <c:tx>
            <c:rich>
              <a:bodyPr/>
              <a:lstStyle/>
              <a:p>
                <a:pPr>
                  <a:defRPr sz="6000">
                    <a:latin typeface="+mj-lt"/>
                  </a:defRPr>
                </a:pPr>
                <a:r>
                  <a:rPr lang="en-US" sz="6000" u="sng">
                    <a:solidFill>
                      <a:schemeClr val="accent1"/>
                    </a:solidFill>
                    <a:latin typeface="+mj-lt"/>
                  </a:rPr>
                  <a:t>Total</a:t>
                </a:r>
                <a:r>
                  <a:rPr lang="en-US" sz="6000" u="sng" baseline="0">
                    <a:solidFill>
                      <a:schemeClr val="accent1"/>
                    </a:solidFill>
                    <a:latin typeface="+mj-lt"/>
                  </a:rPr>
                  <a:t> Revenue</a:t>
                </a:r>
                <a:endParaRPr lang="id-ID" sz="6000" u="sng">
                  <a:solidFill>
                    <a:schemeClr val="accent1"/>
                  </a:solidFill>
                  <a:latin typeface="+mj-lt"/>
                </a:endParaRPr>
              </a:p>
            </c:rich>
          </c:tx>
          <c:layout>
            <c:manualLayout>
              <c:xMode val="edge"/>
              <c:yMode val="edge"/>
              <c:x val="9.5906230139258825E-3"/>
              <c:y val="0.92100624485665483"/>
            </c:manualLayout>
          </c:layout>
          <c:overlay val="0"/>
        </c:title>
        <c:numFmt formatCode="[$$-409]#,\K" sourceLinked="1"/>
        <c:majorTickMark val="out"/>
        <c:minorTickMark val="none"/>
        <c:tickLblPos val="nextTo"/>
        <c:txPr>
          <a:bodyPr/>
          <a:lstStyle/>
          <a:p>
            <a:pPr>
              <a:defRPr sz="6000" b="1">
                <a:latin typeface="+mj-lt"/>
              </a:defRPr>
            </a:pPr>
            <a:endParaRPr lang="id-ID"/>
          </a:p>
        </c:txPr>
        <c:crossAx val="261690496"/>
        <c:crosses val="autoZero"/>
        <c:crossBetween val="between"/>
      </c:valAx>
      <c:spPr>
        <a:noFill/>
      </c:spPr>
    </c:plotArea>
    <c:plotVisOnly val="1"/>
    <c:dispBlanksAs val="gap"/>
    <c:showDLblsOverMax val="0"/>
  </c:chart>
  <c:spPr>
    <a:solidFill>
      <a:schemeClr val="accent1">
        <a:lumMod val="20000"/>
        <a:lumOff val="80000"/>
      </a:schemeClr>
    </a:solidFill>
    <a:ln>
      <a:noFill/>
    </a:ln>
    <a:scene3d>
      <a:camera prst="orthographicFront"/>
      <a:lightRig rig="threePt" dir="t"/>
    </a:scene3d>
    <a:sp3d prstMaterial="clear">
      <a:bevelT w="260350" h="50800" prst="softRound"/>
      <a:bevelB prst="softRound"/>
    </a:sp3d>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id-ID"/>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26406018587299224"/>
          <c:y val="9.5946281714785656E-2"/>
          <c:w val="0.73551877713399028"/>
          <c:h val="0.83886679790026242"/>
        </c:manualLayout>
      </c:layout>
      <c:barChart>
        <c:barDir val="bar"/>
        <c:grouping val="stacked"/>
        <c:varyColors val="0"/>
        <c:ser>
          <c:idx val="0"/>
          <c:order val="0"/>
          <c:tx>
            <c:strRef>
              <c:f>Pivot_Heatmap!$J$12</c:f>
              <c:strCache>
                <c:ptCount val="1"/>
                <c:pt idx="0">
                  <c:v>Black</c:v>
                </c:pt>
              </c:strCache>
            </c:strRef>
          </c:tx>
          <c:spPr>
            <a:solidFill>
              <a:schemeClr val="tx1">
                <a:lumMod val="50000"/>
                <a:lumOff val="50000"/>
              </a:schemeClr>
            </a:solidFill>
            <a:ln>
              <a:solidFill>
                <a:schemeClr val="tx1"/>
              </a:solidFill>
            </a:ln>
          </c:spPr>
          <c:invertIfNegative val="0"/>
          <c:dLbls>
            <c:txPr>
              <a:bodyPr/>
              <a:lstStyle/>
              <a:p>
                <a:pPr>
                  <a:defRPr sz="7200" b="1">
                    <a:latin typeface="+mj-lt"/>
                  </a:defRPr>
                </a:pPr>
                <a:endParaRPr lang="id-ID"/>
              </a:p>
            </c:txPr>
            <c:showLegendKey val="0"/>
            <c:showVal val="1"/>
            <c:showCatName val="0"/>
            <c:showSerName val="0"/>
            <c:showPercent val="0"/>
            <c:showBubbleSize val="0"/>
            <c:showLeaderLines val="0"/>
          </c:dLbls>
          <c:cat>
            <c:strRef>
              <c:f>Pivot_Heatmap!$K$11:$P$11</c:f>
              <c:strCache>
                <c:ptCount val="6"/>
                <c:pt idx="0">
                  <c:v>Boots</c:v>
                </c:pt>
                <c:pt idx="1">
                  <c:v>Casual</c:v>
                </c:pt>
                <c:pt idx="2">
                  <c:v>Formal</c:v>
                </c:pt>
                <c:pt idx="3">
                  <c:v>Running</c:v>
                </c:pt>
                <c:pt idx="4">
                  <c:v>Sneakers</c:v>
                </c:pt>
                <c:pt idx="5">
                  <c:v>Sports</c:v>
                </c:pt>
              </c:strCache>
            </c:strRef>
          </c:cat>
          <c:val>
            <c:numRef>
              <c:f>Pivot_Heatmap!$K$12:$P$12</c:f>
              <c:numCache>
                <c:formatCode>General</c:formatCode>
                <c:ptCount val="6"/>
                <c:pt idx="0">
                  <c:v>270</c:v>
                </c:pt>
                <c:pt idx="1">
                  <c:v>357</c:v>
                </c:pt>
                <c:pt idx="2">
                  <c:v>367</c:v>
                </c:pt>
                <c:pt idx="3">
                  <c:v>252</c:v>
                </c:pt>
                <c:pt idx="4">
                  <c:v>289</c:v>
                </c:pt>
                <c:pt idx="5">
                  <c:v>271</c:v>
                </c:pt>
              </c:numCache>
            </c:numRef>
          </c:val>
        </c:ser>
        <c:ser>
          <c:idx val="1"/>
          <c:order val="1"/>
          <c:tx>
            <c:strRef>
              <c:f>Pivot_Heatmap!$J$13</c:f>
              <c:strCache>
                <c:ptCount val="1"/>
                <c:pt idx="0">
                  <c:v>Blue</c:v>
                </c:pt>
              </c:strCache>
            </c:strRef>
          </c:tx>
          <c:spPr>
            <a:solidFill>
              <a:schemeClr val="tx2">
                <a:lumMod val="40000"/>
                <a:lumOff val="60000"/>
              </a:schemeClr>
            </a:solidFill>
            <a:ln>
              <a:solidFill>
                <a:schemeClr val="tx1">
                  <a:lumMod val="95000"/>
                  <a:lumOff val="5000"/>
                </a:schemeClr>
              </a:solidFill>
            </a:ln>
          </c:spPr>
          <c:invertIfNegative val="0"/>
          <c:dLbls>
            <c:txPr>
              <a:bodyPr/>
              <a:lstStyle/>
              <a:p>
                <a:pPr>
                  <a:defRPr sz="7200" b="1">
                    <a:latin typeface="+mj-lt"/>
                  </a:defRPr>
                </a:pPr>
                <a:endParaRPr lang="id-ID"/>
              </a:p>
            </c:txPr>
            <c:showLegendKey val="0"/>
            <c:showVal val="1"/>
            <c:showCatName val="0"/>
            <c:showSerName val="0"/>
            <c:showPercent val="0"/>
            <c:showBubbleSize val="0"/>
            <c:showLeaderLines val="0"/>
          </c:dLbls>
          <c:cat>
            <c:strRef>
              <c:f>Pivot_Heatmap!$K$11:$P$11</c:f>
              <c:strCache>
                <c:ptCount val="6"/>
                <c:pt idx="0">
                  <c:v>Boots</c:v>
                </c:pt>
                <c:pt idx="1">
                  <c:v>Casual</c:v>
                </c:pt>
                <c:pt idx="2">
                  <c:v>Formal</c:v>
                </c:pt>
                <c:pt idx="3">
                  <c:v>Running</c:v>
                </c:pt>
                <c:pt idx="4">
                  <c:v>Sneakers</c:v>
                </c:pt>
                <c:pt idx="5">
                  <c:v>Sports</c:v>
                </c:pt>
              </c:strCache>
            </c:strRef>
          </c:cat>
          <c:val>
            <c:numRef>
              <c:f>Pivot_Heatmap!$K$13:$P$13</c:f>
              <c:numCache>
                <c:formatCode>General</c:formatCode>
                <c:ptCount val="6"/>
                <c:pt idx="0">
                  <c:v>360</c:v>
                </c:pt>
                <c:pt idx="1">
                  <c:v>234</c:v>
                </c:pt>
                <c:pt idx="2">
                  <c:v>329</c:v>
                </c:pt>
                <c:pt idx="3">
                  <c:v>255</c:v>
                </c:pt>
                <c:pt idx="4">
                  <c:v>380</c:v>
                </c:pt>
                <c:pt idx="5">
                  <c:v>380</c:v>
                </c:pt>
              </c:numCache>
            </c:numRef>
          </c:val>
        </c:ser>
        <c:ser>
          <c:idx val="2"/>
          <c:order val="2"/>
          <c:tx>
            <c:strRef>
              <c:f>Pivot_Heatmap!$J$14</c:f>
              <c:strCache>
                <c:ptCount val="1"/>
                <c:pt idx="0">
                  <c:v>Green</c:v>
                </c:pt>
              </c:strCache>
            </c:strRef>
          </c:tx>
          <c:spPr>
            <a:solidFill>
              <a:schemeClr val="accent3">
                <a:lumMod val="40000"/>
                <a:lumOff val="60000"/>
              </a:schemeClr>
            </a:solidFill>
            <a:ln>
              <a:solidFill>
                <a:schemeClr val="tx1">
                  <a:lumMod val="95000"/>
                  <a:lumOff val="5000"/>
                </a:schemeClr>
              </a:solidFill>
            </a:ln>
          </c:spPr>
          <c:invertIfNegative val="0"/>
          <c:dLbls>
            <c:txPr>
              <a:bodyPr/>
              <a:lstStyle/>
              <a:p>
                <a:pPr>
                  <a:defRPr sz="7200" b="1">
                    <a:latin typeface="+mj-lt"/>
                  </a:defRPr>
                </a:pPr>
                <a:endParaRPr lang="id-ID"/>
              </a:p>
            </c:txPr>
            <c:showLegendKey val="0"/>
            <c:showVal val="1"/>
            <c:showCatName val="0"/>
            <c:showSerName val="0"/>
            <c:showPercent val="0"/>
            <c:showBubbleSize val="0"/>
            <c:showLeaderLines val="0"/>
          </c:dLbls>
          <c:cat>
            <c:strRef>
              <c:f>Pivot_Heatmap!$K$11:$P$11</c:f>
              <c:strCache>
                <c:ptCount val="6"/>
                <c:pt idx="0">
                  <c:v>Boots</c:v>
                </c:pt>
                <c:pt idx="1">
                  <c:v>Casual</c:v>
                </c:pt>
                <c:pt idx="2">
                  <c:v>Formal</c:v>
                </c:pt>
                <c:pt idx="3">
                  <c:v>Running</c:v>
                </c:pt>
                <c:pt idx="4">
                  <c:v>Sneakers</c:v>
                </c:pt>
                <c:pt idx="5">
                  <c:v>Sports</c:v>
                </c:pt>
              </c:strCache>
            </c:strRef>
          </c:cat>
          <c:val>
            <c:numRef>
              <c:f>Pivot_Heatmap!$K$14:$P$14</c:f>
              <c:numCache>
                <c:formatCode>General</c:formatCode>
                <c:ptCount val="6"/>
                <c:pt idx="0">
                  <c:v>256</c:v>
                </c:pt>
                <c:pt idx="1">
                  <c:v>266</c:v>
                </c:pt>
                <c:pt idx="2">
                  <c:v>434</c:v>
                </c:pt>
                <c:pt idx="3">
                  <c:v>275</c:v>
                </c:pt>
                <c:pt idx="4">
                  <c:v>322</c:v>
                </c:pt>
                <c:pt idx="5">
                  <c:v>215</c:v>
                </c:pt>
              </c:numCache>
            </c:numRef>
          </c:val>
        </c:ser>
        <c:ser>
          <c:idx val="3"/>
          <c:order val="3"/>
          <c:tx>
            <c:strRef>
              <c:f>Pivot_Heatmap!$J$15</c:f>
              <c:strCache>
                <c:ptCount val="1"/>
                <c:pt idx="0">
                  <c:v>White</c:v>
                </c:pt>
              </c:strCache>
            </c:strRef>
          </c:tx>
          <c:spPr>
            <a:noFill/>
            <a:ln>
              <a:solidFill>
                <a:schemeClr val="tx1">
                  <a:lumMod val="95000"/>
                  <a:lumOff val="5000"/>
                </a:schemeClr>
              </a:solidFill>
            </a:ln>
          </c:spPr>
          <c:invertIfNegative val="0"/>
          <c:dLbls>
            <c:txPr>
              <a:bodyPr/>
              <a:lstStyle/>
              <a:p>
                <a:pPr>
                  <a:defRPr sz="7200" b="1">
                    <a:latin typeface="+mj-lt"/>
                  </a:defRPr>
                </a:pPr>
                <a:endParaRPr lang="id-ID"/>
              </a:p>
            </c:txPr>
            <c:showLegendKey val="0"/>
            <c:showVal val="1"/>
            <c:showCatName val="0"/>
            <c:showSerName val="0"/>
            <c:showPercent val="0"/>
            <c:showBubbleSize val="0"/>
            <c:showLeaderLines val="0"/>
          </c:dLbls>
          <c:cat>
            <c:strRef>
              <c:f>Pivot_Heatmap!$K$11:$P$11</c:f>
              <c:strCache>
                <c:ptCount val="6"/>
                <c:pt idx="0">
                  <c:v>Boots</c:v>
                </c:pt>
                <c:pt idx="1">
                  <c:v>Casual</c:v>
                </c:pt>
                <c:pt idx="2">
                  <c:v>Formal</c:v>
                </c:pt>
                <c:pt idx="3">
                  <c:v>Running</c:v>
                </c:pt>
                <c:pt idx="4">
                  <c:v>Sneakers</c:v>
                </c:pt>
                <c:pt idx="5">
                  <c:v>Sports</c:v>
                </c:pt>
              </c:strCache>
            </c:strRef>
          </c:cat>
          <c:val>
            <c:numRef>
              <c:f>Pivot_Heatmap!$K$15:$P$15</c:f>
              <c:numCache>
                <c:formatCode>General</c:formatCode>
                <c:ptCount val="6"/>
                <c:pt idx="0">
                  <c:v>266</c:v>
                </c:pt>
                <c:pt idx="1">
                  <c:v>164</c:v>
                </c:pt>
                <c:pt idx="2">
                  <c:v>228</c:v>
                </c:pt>
                <c:pt idx="3">
                  <c:v>261</c:v>
                </c:pt>
                <c:pt idx="4">
                  <c:v>387</c:v>
                </c:pt>
                <c:pt idx="5">
                  <c:v>207</c:v>
                </c:pt>
              </c:numCache>
            </c:numRef>
          </c:val>
        </c:ser>
        <c:ser>
          <c:idx val="4"/>
          <c:order val="4"/>
          <c:tx>
            <c:strRef>
              <c:f>Pivot_Heatmap!$J$16</c:f>
              <c:strCache>
                <c:ptCount val="1"/>
                <c:pt idx="0">
                  <c:v>Red</c:v>
                </c:pt>
              </c:strCache>
            </c:strRef>
          </c:tx>
          <c:spPr>
            <a:solidFill>
              <a:schemeClr val="accent2">
                <a:lumMod val="20000"/>
                <a:lumOff val="80000"/>
              </a:schemeClr>
            </a:solidFill>
            <a:ln>
              <a:solidFill>
                <a:schemeClr val="tx1">
                  <a:lumMod val="95000"/>
                  <a:lumOff val="5000"/>
                </a:schemeClr>
              </a:solidFill>
            </a:ln>
          </c:spPr>
          <c:invertIfNegative val="0"/>
          <c:dLbls>
            <c:txPr>
              <a:bodyPr/>
              <a:lstStyle/>
              <a:p>
                <a:pPr>
                  <a:defRPr sz="7200" b="1">
                    <a:latin typeface="+mj-lt"/>
                  </a:defRPr>
                </a:pPr>
                <a:endParaRPr lang="id-ID"/>
              </a:p>
            </c:txPr>
            <c:showLegendKey val="0"/>
            <c:showVal val="1"/>
            <c:showCatName val="0"/>
            <c:showSerName val="0"/>
            <c:showPercent val="0"/>
            <c:showBubbleSize val="0"/>
            <c:showLeaderLines val="0"/>
          </c:dLbls>
          <c:cat>
            <c:strRef>
              <c:f>Pivot_Heatmap!$K$11:$P$11</c:f>
              <c:strCache>
                <c:ptCount val="6"/>
                <c:pt idx="0">
                  <c:v>Boots</c:v>
                </c:pt>
                <c:pt idx="1">
                  <c:v>Casual</c:v>
                </c:pt>
                <c:pt idx="2">
                  <c:v>Formal</c:v>
                </c:pt>
                <c:pt idx="3">
                  <c:v>Running</c:v>
                </c:pt>
                <c:pt idx="4">
                  <c:v>Sneakers</c:v>
                </c:pt>
                <c:pt idx="5">
                  <c:v>Sports</c:v>
                </c:pt>
              </c:strCache>
            </c:strRef>
          </c:cat>
          <c:val>
            <c:numRef>
              <c:f>Pivot_Heatmap!$K$16:$P$16</c:f>
              <c:numCache>
                <c:formatCode>General</c:formatCode>
                <c:ptCount val="6"/>
                <c:pt idx="0">
                  <c:v>339</c:v>
                </c:pt>
                <c:pt idx="1">
                  <c:v>354</c:v>
                </c:pt>
                <c:pt idx="2">
                  <c:v>245</c:v>
                </c:pt>
                <c:pt idx="3">
                  <c:v>297</c:v>
                </c:pt>
                <c:pt idx="4">
                  <c:v>264</c:v>
                </c:pt>
                <c:pt idx="5">
                  <c:v>231</c:v>
                </c:pt>
              </c:numCache>
            </c:numRef>
          </c:val>
        </c:ser>
        <c:ser>
          <c:idx val="5"/>
          <c:order val="5"/>
          <c:tx>
            <c:strRef>
              <c:f>Pivot_Heatmap!$J$17</c:f>
              <c:strCache>
                <c:ptCount val="1"/>
                <c:pt idx="0">
                  <c:v>Grey</c:v>
                </c:pt>
              </c:strCache>
            </c:strRef>
          </c:tx>
          <c:spPr>
            <a:solidFill>
              <a:schemeClr val="bg1">
                <a:lumMod val="85000"/>
              </a:schemeClr>
            </a:solidFill>
            <a:ln w="9525">
              <a:solidFill>
                <a:schemeClr val="tx1">
                  <a:lumMod val="95000"/>
                  <a:lumOff val="5000"/>
                </a:schemeClr>
              </a:solidFill>
            </a:ln>
          </c:spPr>
          <c:invertIfNegative val="0"/>
          <c:dLbls>
            <c:txPr>
              <a:bodyPr/>
              <a:lstStyle/>
              <a:p>
                <a:pPr>
                  <a:defRPr sz="7200" b="1">
                    <a:latin typeface="+mj-lt"/>
                  </a:defRPr>
                </a:pPr>
                <a:endParaRPr lang="id-ID"/>
              </a:p>
            </c:txPr>
            <c:showLegendKey val="0"/>
            <c:showVal val="1"/>
            <c:showCatName val="0"/>
            <c:showSerName val="0"/>
            <c:showPercent val="0"/>
            <c:showBubbleSize val="0"/>
            <c:showLeaderLines val="0"/>
          </c:dLbls>
          <c:cat>
            <c:strRef>
              <c:f>Pivot_Heatmap!$K$11:$P$11</c:f>
              <c:strCache>
                <c:ptCount val="6"/>
                <c:pt idx="0">
                  <c:v>Boots</c:v>
                </c:pt>
                <c:pt idx="1">
                  <c:v>Casual</c:v>
                </c:pt>
                <c:pt idx="2">
                  <c:v>Formal</c:v>
                </c:pt>
                <c:pt idx="3">
                  <c:v>Running</c:v>
                </c:pt>
                <c:pt idx="4">
                  <c:v>Sneakers</c:v>
                </c:pt>
                <c:pt idx="5">
                  <c:v>Sports</c:v>
                </c:pt>
              </c:strCache>
            </c:strRef>
          </c:cat>
          <c:val>
            <c:numRef>
              <c:f>Pivot_Heatmap!$K$17:$P$17</c:f>
              <c:numCache>
                <c:formatCode>General</c:formatCode>
                <c:ptCount val="6"/>
                <c:pt idx="0">
                  <c:v>376</c:v>
                </c:pt>
                <c:pt idx="1">
                  <c:v>340</c:v>
                </c:pt>
                <c:pt idx="2">
                  <c:v>289</c:v>
                </c:pt>
                <c:pt idx="3">
                  <c:v>334</c:v>
                </c:pt>
                <c:pt idx="4">
                  <c:v>356</c:v>
                </c:pt>
                <c:pt idx="5">
                  <c:v>201</c:v>
                </c:pt>
              </c:numCache>
            </c:numRef>
          </c:val>
        </c:ser>
        <c:dLbls>
          <c:showLegendKey val="0"/>
          <c:showVal val="1"/>
          <c:showCatName val="0"/>
          <c:showSerName val="0"/>
          <c:showPercent val="0"/>
          <c:showBubbleSize val="0"/>
        </c:dLbls>
        <c:gapWidth val="95"/>
        <c:overlap val="100"/>
        <c:axId val="261320064"/>
        <c:axId val="261330048"/>
      </c:barChart>
      <c:catAx>
        <c:axId val="261320064"/>
        <c:scaling>
          <c:orientation val="minMax"/>
        </c:scaling>
        <c:delete val="0"/>
        <c:axPos val="l"/>
        <c:majorTickMark val="none"/>
        <c:minorTickMark val="none"/>
        <c:tickLblPos val="nextTo"/>
        <c:txPr>
          <a:bodyPr/>
          <a:lstStyle/>
          <a:p>
            <a:pPr>
              <a:defRPr sz="8000" b="1">
                <a:latin typeface="+mj-lt"/>
              </a:defRPr>
            </a:pPr>
            <a:endParaRPr lang="id-ID"/>
          </a:p>
        </c:txPr>
        <c:crossAx val="261330048"/>
        <c:crosses val="autoZero"/>
        <c:auto val="1"/>
        <c:lblAlgn val="ctr"/>
        <c:lblOffset val="100"/>
        <c:noMultiLvlLbl val="0"/>
      </c:catAx>
      <c:valAx>
        <c:axId val="261330048"/>
        <c:scaling>
          <c:orientation val="minMax"/>
        </c:scaling>
        <c:delete val="1"/>
        <c:axPos val="b"/>
        <c:numFmt formatCode="General" sourceLinked="1"/>
        <c:majorTickMark val="out"/>
        <c:minorTickMark val="none"/>
        <c:tickLblPos val="nextTo"/>
        <c:crossAx val="261320064"/>
        <c:crosses val="autoZero"/>
        <c:crossBetween val="between"/>
      </c:valAx>
      <c:spPr>
        <a:noFill/>
        <a:ln>
          <a:noFill/>
        </a:ln>
      </c:spPr>
    </c:plotArea>
    <c:legend>
      <c:legendPos val="t"/>
      <c:layout>
        <c:manualLayout>
          <c:xMode val="edge"/>
          <c:yMode val="edge"/>
          <c:x val="0.12254292741709173"/>
          <c:y val="1.9470404984423675E-2"/>
          <c:w val="0.8241114247511514"/>
          <c:h val="6.1590109647509016E-2"/>
        </c:manualLayout>
      </c:layout>
      <c:overlay val="0"/>
      <c:txPr>
        <a:bodyPr/>
        <a:lstStyle/>
        <a:p>
          <a:pPr>
            <a:defRPr sz="8000" b="1">
              <a:latin typeface="+mj-lt"/>
            </a:defRPr>
          </a:pPr>
          <a:endParaRPr lang="id-ID"/>
        </a:p>
      </c:txPr>
    </c:legend>
    <c:plotVisOnly val="1"/>
    <c:dispBlanksAs val="gap"/>
    <c:showDLblsOverMax val="0"/>
  </c:chart>
  <c:spPr>
    <a:noFill/>
    <a:ln>
      <a:noFill/>
    </a:ln>
  </c:spPr>
  <c:printSettings>
    <c:headerFooter/>
    <c:pageMargins b="0.75" l="0.7" r="0.7" t="0.75" header="0.3" footer="0.3"/>
    <c:pageSetup/>
  </c:printSettings>
</c:chartSpace>
</file>

<file path=xl/drawings/_rels/drawing4.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wmf"/><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13</xdr:col>
      <xdr:colOff>107156</xdr:colOff>
      <xdr:row>0</xdr:row>
      <xdr:rowOff>178594</xdr:rowOff>
    </xdr:from>
    <xdr:to>
      <xdr:col>15</xdr:col>
      <xdr:colOff>23812</xdr:colOff>
      <xdr:row>5</xdr:row>
      <xdr:rowOff>178594</xdr:rowOff>
    </xdr:to>
    <xdr:sp macro="" textlink="">
      <xdr:nvSpPr>
        <xdr:cNvPr id="3" name="TextBox 2"/>
        <xdr:cNvSpPr txBox="1"/>
      </xdr:nvSpPr>
      <xdr:spPr>
        <a:xfrm>
          <a:off x="11322844" y="178594"/>
          <a:ext cx="1964531" cy="95250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d-ID" sz="1200" b="1">
              <a:latin typeface="+mj-lt"/>
            </a:rPr>
            <a:t>The results indicate that the numerical variables do not exhibit any outliers.</a:t>
          </a:r>
        </a:p>
      </xdr:txBody>
    </xdr:sp>
    <xdr:clientData/>
  </xdr:twoCellAnchor>
  <xdr:twoCellAnchor>
    <xdr:from>
      <xdr:col>17</xdr:col>
      <xdr:colOff>11905</xdr:colOff>
      <xdr:row>12</xdr:row>
      <xdr:rowOff>21433</xdr:rowOff>
    </xdr:from>
    <xdr:to>
      <xdr:col>17</xdr:col>
      <xdr:colOff>1381125</xdr:colOff>
      <xdr:row>16</xdr:row>
      <xdr:rowOff>154781</xdr:rowOff>
    </xdr:to>
    <xdr:sp macro="" textlink="">
      <xdr:nvSpPr>
        <xdr:cNvPr id="6" name="TextBox 5"/>
        <xdr:cNvSpPr txBox="1"/>
      </xdr:nvSpPr>
      <xdr:spPr>
        <a:xfrm>
          <a:off x="14454186" y="2307433"/>
          <a:ext cx="1369220" cy="895348"/>
        </a:xfrm>
        <a:prstGeom prst="rect">
          <a:avLst/>
        </a:prstGeom>
        <a:solidFill>
          <a:schemeClr val="tx2">
            <a:lumMod val="20000"/>
            <a:lumOff val="80000"/>
          </a:schemeClr>
        </a:solidFill>
        <a:ln w="9525" cmpd="sng">
          <a:solidFill>
            <a:schemeClr val="tx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id-ID" sz="900" b="1">
              <a:latin typeface="+mj-lt"/>
            </a:rPr>
            <a:t>Use of COUNT with INDEX and MATCH</a:t>
          </a:r>
          <a:r>
            <a:rPr lang="id-ID" sz="900">
              <a:latin typeface="+mj-lt"/>
            </a:rPr>
            <a:t>: to count the total number of data entries in each column</a:t>
          </a:r>
        </a:p>
      </xdr:txBody>
    </xdr:sp>
    <xdr:clientData/>
  </xdr:twoCellAnchor>
  <xdr:twoCellAnchor>
    <xdr:from>
      <xdr:col>18</xdr:col>
      <xdr:colOff>16666</xdr:colOff>
      <xdr:row>11</xdr:row>
      <xdr:rowOff>178593</xdr:rowOff>
    </xdr:from>
    <xdr:to>
      <xdr:col>18</xdr:col>
      <xdr:colOff>1393031</xdr:colOff>
      <xdr:row>16</xdr:row>
      <xdr:rowOff>154780</xdr:rowOff>
    </xdr:to>
    <xdr:sp macro="" textlink="">
      <xdr:nvSpPr>
        <xdr:cNvPr id="7" name="TextBox 6"/>
        <xdr:cNvSpPr txBox="1"/>
      </xdr:nvSpPr>
      <xdr:spPr>
        <a:xfrm>
          <a:off x="15863885" y="2274093"/>
          <a:ext cx="1376365" cy="928687"/>
        </a:xfrm>
        <a:prstGeom prst="rect">
          <a:avLst/>
        </a:prstGeom>
        <a:solidFill>
          <a:schemeClr val="tx2">
            <a:lumMod val="20000"/>
            <a:lumOff val="80000"/>
          </a:schemeClr>
        </a:solidFill>
        <a:ln w="9525" cmpd="sng">
          <a:solidFill>
            <a:schemeClr val="tx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id-ID" sz="900" b="1">
              <a:latin typeface="+mj-lt"/>
            </a:rPr>
            <a:t>Use of COUNTBLANK with INDEX and MATCH: </a:t>
          </a:r>
          <a:r>
            <a:rPr lang="id-ID" sz="900" b="0">
              <a:latin typeface="+mj-lt"/>
            </a:rPr>
            <a:t>to count the  missing vlues in each column</a:t>
          </a:r>
        </a:p>
      </xdr:txBody>
    </xdr:sp>
    <xdr:clientData/>
  </xdr:twoCellAnchor>
  <xdr:twoCellAnchor>
    <xdr:from>
      <xdr:col>19</xdr:col>
      <xdr:colOff>35719</xdr:colOff>
      <xdr:row>11</xdr:row>
      <xdr:rowOff>190499</xdr:rowOff>
    </xdr:from>
    <xdr:to>
      <xdr:col>20</xdr:col>
      <xdr:colOff>35719</xdr:colOff>
      <xdr:row>16</xdr:row>
      <xdr:rowOff>130969</xdr:rowOff>
    </xdr:to>
    <xdr:sp macro="" textlink="">
      <xdr:nvSpPr>
        <xdr:cNvPr id="8" name="TextBox 7"/>
        <xdr:cNvSpPr txBox="1"/>
      </xdr:nvSpPr>
      <xdr:spPr>
        <a:xfrm>
          <a:off x="17287875" y="2285999"/>
          <a:ext cx="1404938" cy="892970"/>
        </a:xfrm>
        <a:prstGeom prst="rect">
          <a:avLst/>
        </a:prstGeom>
        <a:solidFill>
          <a:schemeClr val="tx2">
            <a:lumMod val="20000"/>
            <a:lumOff val="80000"/>
          </a:schemeClr>
        </a:solidFill>
        <a:ln w="9525" cmpd="sng">
          <a:solidFill>
            <a:schemeClr val="tx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id-ID" sz="900" b="1">
              <a:latin typeface="+mj-lt"/>
            </a:rPr>
            <a:t>Use of TYPE with IF,INDEX and MATCH: </a:t>
          </a:r>
          <a:r>
            <a:rPr lang="id-ID" sz="900" b="0">
              <a:latin typeface="+mj-lt"/>
            </a:rPr>
            <a:t>to know the format data in each column</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47625</xdr:colOff>
      <xdr:row>31</xdr:row>
      <xdr:rowOff>127000</xdr:rowOff>
    </xdr:from>
    <xdr:to>
      <xdr:col>6</xdr:col>
      <xdr:colOff>1441450</xdr:colOff>
      <xdr:row>34</xdr:row>
      <xdr:rowOff>158750</xdr:rowOff>
    </xdr:to>
    <xdr:sp macro="" textlink="">
      <xdr:nvSpPr>
        <xdr:cNvPr id="13" name="Rectangle 12"/>
        <xdr:cNvSpPr/>
      </xdr:nvSpPr>
      <xdr:spPr>
        <a:xfrm>
          <a:off x="4524375" y="6445250"/>
          <a:ext cx="2425700" cy="619125"/>
        </a:xfrm>
        <a:prstGeom prst="rect">
          <a:avLst/>
        </a:prstGeom>
        <a:solidFill>
          <a:srgbClr val="E9EFF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id-ID" b="1">
              <a:solidFill>
                <a:schemeClr val="tx1"/>
              </a:solidFill>
            </a:rPr>
            <a:t>Used VLOOKUP to retrieve the MoM (%) values for a KPI dashboard.</a:t>
          </a:r>
          <a:endParaRPr lang="id-ID" sz="1100" b="1">
            <a:solidFill>
              <a:schemeClr val="tx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333375</xdr:colOff>
      <xdr:row>35</xdr:row>
      <xdr:rowOff>1</xdr:rowOff>
    </xdr:from>
    <xdr:to>
      <xdr:col>4</xdr:col>
      <xdr:colOff>571498</xdr:colOff>
      <xdr:row>37</xdr:row>
      <xdr:rowOff>166688</xdr:rowOff>
    </xdr:to>
    <xdr:sp macro="" textlink="">
      <xdr:nvSpPr>
        <xdr:cNvPr id="12" name="Rectangle 11"/>
        <xdr:cNvSpPr/>
      </xdr:nvSpPr>
      <xdr:spPr>
        <a:xfrm>
          <a:off x="333375" y="6869907"/>
          <a:ext cx="4024311" cy="547687"/>
        </a:xfrm>
        <a:prstGeom prst="rect">
          <a:avLst/>
        </a:prstGeom>
        <a:solidFill>
          <a:srgbClr val="E9EFF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id-ID" sz="1400" b="1">
              <a:solidFill>
                <a:schemeClr val="tx1"/>
              </a:solidFill>
            </a:rPr>
            <a:t>Used VLOOKUP</a:t>
          </a:r>
          <a:r>
            <a:rPr lang="en-US" sz="1400" b="1">
              <a:solidFill>
                <a:schemeClr val="tx1"/>
              </a:solidFill>
            </a:rPr>
            <a:t>,IFERROR,and</a:t>
          </a:r>
          <a:r>
            <a:rPr lang="en-US" sz="1400" b="1" baseline="0">
              <a:solidFill>
                <a:schemeClr val="tx1"/>
              </a:solidFill>
            </a:rPr>
            <a:t> MATCH</a:t>
          </a:r>
          <a:r>
            <a:rPr lang="id-ID" sz="1400" b="1">
              <a:solidFill>
                <a:schemeClr val="tx1"/>
              </a:solidFill>
            </a:rPr>
            <a:t> to retrieve the values for a </a:t>
          </a:r>
          <a:r>
            <a:rPr lang="en-US" sz="1400" b="1">
              <a:solidFill>
                <a:schemeClr val="tx1"/>
              </a:solidFill>
            </a:rPr>
            <a:t>HeatMap</a:t>
          </a:r>
          <a:r>
            <a:rPr lang="en-US" sz="1400" b="1" baseline="0">
              <a:solidFill>
                <a:schemeClr val="tx1"/>
              </a:solidFill>
            </a:rPr>
            <a:t> Dashboard</a:t>
          </a:r>
          <a:endParaRPr lang="id-ID" sz="1400" b="1">
            <a:solidFill>
              <a:schemeClr val="tx1"/>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2000250</xdr:colOff>
      <xdr:row>3</xdr:row>
      <xdr:rowOff>666750</xdr:rowOff>
    </xdr:to>
    <xdr:sp macro="" textlink="">
      <xdr:nvSpPr>
        <xdr:cNvPr id="4" name="Rectangle 3"/>
        <xdr:cNvSpPr/>
      </xdr:nvSpPr>
      <xdr:spPr>
        <a:xfrm>
          <a:off x="0" y="0"/>
          <a:ext cx="35718750" cy="5238750"/>
        </a:xfrm>
        <a:prstGeom prst="rect">
          <a:avLst/>
        </a:prstGeom>
        <a:solidFill>
          <a:schemeClr val="tx2">
            <a:lumMod val="50000"/>
          </a:schemeClr>
        </a:solidFill>
        <a:ln>
          <a:noFill/>
        </a:ln>
        <a:effectLst>
          <a:glow rad="127000">
            <a:schemeClr val="tx2">
              <a:lumMod val="5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2</xdr:col>
      <xdr:colOff>190500</xdr:colOff>
      <xdr:row>0</xdr:row>
      <xdr:rowOff>285750</xdr:rowOff>
    </xdr:from>
    <xdr:to>
      <xdr:col>7</xdr:col>
      <xdr:colOff>666750</xdr:colOff>
      <xdr:row>3</xdr:row>
      <xdr:rowOff>247650</xdr:rowOff>
    </xdr:to>
    <xdr:sp macro="" textlink="">
      <xdr:nvSpPr>
        <xdr:cNvPr id="2" name="Rectangle 1"/>
        <xdr:cNvSpPr/>
      </xdr:nvSpPr>
      <xdr:spPr>
        <a:xfrm>
          <a:off x="6286500" y="285750"/>
          <a:ext cx="28098750" cy="4629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500" b="1" i="0">
              <a:solidFill>
                <a:schemeClr val="bg1"/>
              </a:solidFill>
              <a:latin typeface="+mj-lt"/>
            </a:rPr>
            <a:t>ANNUAL</a:t>
          </a:r>
          <a:r>
            <a:rPr lang="en-US" sz="11500" b="1" i="0" baseline="0">
              <a:solidFill>
                <a:schemeClr val="bg1"/>
              </a:solidFill>
              <a:latin typeface="+mj-lt"/>
            </a:rPr>
            <a:t> SHOE SALES PERFORMANCE DASHBOARD 2025</a:t>
          </a:r>
          <a:endParaRPr lang="id-ID" sz="11500" b="1" i="0">
            <a:solidFill>
              <a:schemeClr val="bg1"/>
            </a:solidFill>
            <a:latin typeface="+mj-lt"/>
          </a:endParaRPr>
        </a:p>
      </xdr:txBody>
    </xdr:sp>
    <xdr:clientData/>
  </xdr:twoCellAnchor>
  <xdr:twoCellAnchor>
    <xdr:from>
      <xdr:col>1</xdr:col>
      <xdr:colOff>9525</xdr:colOff>
      <xdr:row>0</xdr:row>
      <xdr:rowOff>762000</xdr:rowOff>
    </xdr:from>
    <xdr:to>
      <xdr:col>1</xdr:col>
      <xdr:colOff>4572000</xdr:colOff>
      <xdr:row>3</xdr:row>
      <xdr:rowOff>80578</xdr:rowOff>
    </xdr:to>
    <xdr:pic>
      <xdr:nvPicPr>
        <xdr:cNvPr id="3" name="Picture 2" descr="C:\Program Files (x86)\Microsoft Office\MEDIA\CAGCAT10\j0222015.wmf"/>
        <xdr:cNvPicPr>
          <a:picLocks noChangeAspect="1" noChangeArrowheads="1"/>
        </xdr:cNvPicPr>
      </xdr:nvPicPr>
      <xdr:blipFill>
        <a:blip xmlns:r="http://schemas.openxmlformats.org/officeDocument/2006/relationships" r:embed="rId1" cstate="print">
          <a:biLevel thresh="50000"/>
          <a:extLst>
            <a:ext uri="{28A0092B-C50C-407E-A947-70E740481C1C}">
              <a14:useLocalDpi xmlns:a14="http://schemas.microsoft.com/office/drawing/2010/main" val="0"/>
            </a:ext>
          </a:extLst>
        </a:blip>
        <a:srcRect/>
        <a:stretch>
          <a:fillRect/>
        </a:stretch>
      </xdr:blipFill>
      <xdr:spPr bwMode="auto">
        <a:xfrm>
          <a:off x="581025" y="762000"/>
          <a:ext cx="4562475" cy="4462078"/>
        </a:xfrm>
        <a:prstGeom prst="rect">
          <a:avLst/>
        </a:prstGeom>
        <a:solidFill>
          <a:schemeClr val="tx2">
            <a:lumMod val="50000"/>
          </a:schemeClr>
        </a:solidFill>
        <a:extLst/>
      </xdr:spPr>
    </xdr:pic>
    <xdr:clientData/>
  </xdr:twoCellAnchor>
  <xdr:twoCellAnchor>
    <xdr:from>
      <xdr:col>1</xdr:col>
      <xdr:colOff>485775</xdr:colOff>
      <xdr:row>4</xdr:row>
      <xdr:rowOff>628007</xdr:rowOff>
    </xdr:from>
    <xdr:to>
      <xdr:col>3</xdr:col>
      <xdr:colOff>2952750</xdr:colOff>
      <xdr:row>40</xdr:row>
      <xdr:rowOff>2095500</xdr:rowOff>
    </xdr:to>
    <xdr:grpSp>
      <xdr:nvGrpSpPr>
        <xdr:cNvPr id="17" name="Group 16"/>
        <xdr:cNvGrpSpPr/>
      </xdr:nvGrpSpPr>
      <xdr:grpSpPr>
        <a:xfrm>
          <a:off x="1057275" y="6152507"/>
          <a:ext cx="13515975" cy="21469993"/>
          <a:chOff x="-2760832" y="3552782"/>
          <a:chExt cx="13664093" cy="12501435"/>
        </a:xfrm>
      </xdr:grpSpPr>
      <mc:AlternateContent xmlns:mc="http://schemas.openxmlformats.org/markup-compatibility/2006" xmlns:a14="http://schemas.microsoft.com/office/drawing/2010/main">
        <mc:Choice Requires="a14">
          <xdr:graphicFrame macro="">
            <xdr:nvGraphicFramePr>
              <xdr:cNvPr id="57" name="Brand 1"/>
              <xdr:cNvGraphicFramePr/>
            </xdr:nvGraphicFramePr>
            <xdr:xfrm>
              <a:off x="4241136" y="3552782"/>
              <a:ext cx="6539826" cy="5968934"/>
            </xdr:xfrm>
            <a:graphic>
              <a:graphicData uri="http://schemas.microsoft.com/office/drawing/2010/slicer">
                <sle:slicer xmlns:sle="http://schemas.microsoft.com/office/drawing/2010/slicer" name="Brand 1"/>
              </a:graphicData>
            </a:graphic>
          </xdr:graphicFrame>
        </mc:Choice>
        <mc:Fallback xmlns="">
          <xdr:sp macro="" textlink="">
            <xdr:nvSpPr>
              <xdr:cNvPr id="0" name=""/>
              <xdr:cNvSpPr>
                <a:spLocks noTextEdit="1"/>
              </xdr:cNvSpPr>
            </xdr:nvSpPr>
            <xdr:spPr>
              <a:xfrm>
                <a:off x="7983342" y="6057257"/>
                <a:ext cx="6468935" cy="10205583"/>
              </a:xfrm>
              <a:prstGeom prst="rect">
                <a:avLst/>
              </a:prstGeom>
              <a:solidFill>
                <a:prstClr val="white"/>
              </a:solidFill>
              <a:ln w="1">
                <a:solidFill>
                  <a:prstClr val="green"/>
                </a:solidFill>
              </a:ln>
            </xdr:spPr>
            <xdr:txBody>
              <a:bodyPr vertOverflow="clip" horzOverflow="clip"/>
              <a:lstStyle/>
              <a:p>
                <a:r>
                  <a:rPr lang="id-ID" sz="1100"/>
                  <a:t>This shape represents a slicer. Slicers can be used in at least Excel 2010.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8" name="Date"/>
              <xdr:cNvGraphicFramePr/>
            </xdr:nvGraphicFramePr>
            <xdr:xfrm>
              <a:off x="-2695747" y="3587709"/>
              <a:ext cx="6403171" cy="5335779"/>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1121654" y="6116975"/>
                <a:ext cx="6333761" cy="9123025"/>
              </a:xfrm>
              <a:prstGeom prst="rect">
                <a:avLst/>
              </a:prstGeom>
              <a:solidFill>
                <a:prstClr val="white"/>
              </a:solidFill>
              <a:ln w="1">
                <a:solidFill>
                  <a:prstClr val="green"/>
                </a:solidFill>
              </a:ln>
            </xdr:spPr>
            <xdr:txBody>
              <a:bodyPr vertOverflow="clip" horzOverflow="clip"/>
              <a:lstStyle/>
              <a:p>
                <a:r>
                  <a:rPr lang="id-ID" sz="1100"/>
                  <a:t>This shape represents a slicer. Slicers can be used in at least Excel 2010.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9" name="Country"/>
              <xdr:cNvGraphicFramePr/>
            </xdr:nvGraphicFramePr>
            <xdr:xfrm>
              <a:off x="-2760832" y="9408805"/>
              <a:ext cx="6391889" cy="6645412"/>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057275" y="16069786"/>
                <a:ext cx="6322601" cy="11362214"/>
              </a:xfrm>
              <a:prstGeom prst="rect">
                <a:avLst/>
              </a:prstGeom>
              <a:solidFill>
                <a:prstClr val="white"/>
              </a:solidFill>
              <a:ln w="1">
                <a:solidFill>
                  <a:prstClr val="green"/>
                </a:solidFill>
              </a:ln>
            </xdr:spPr>
            <xdr:txBody>
              <a:bodyPr vertOverflow="clip" horzOverflow="clip"/>
              <a:lstStyle/>
              <a:p>
                <a:r>
                  <a:rPr lang="id-ID" sz="1100"/>
                  <a:t>This shape represents a slicer. Slicers can be used in at least Excel 2010.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60" name="Sales_Channel"/>
              <xdr:cNvGraphicFramePr/>
            </xdr:nvGraphicFramePr>
            <xdr:xfrm>
              <a:off x="4248538" y="9318458"/>
              <a:ext cx="6654723" cy="3849984"/>
            </xdr:xfrm>
            <a:graphic>
              <a:graphicData uri="http://schemas.microsoft.com/office/drawing/2010/slicer">
                <sle:slicer xmlns:sle="http://schemas.microsoft.com/office/drawing/2010/slicer" name="Sales_Channel"/>
              </a:graphicData>
            </a:graphic>
          </xdr:graphicFrame>
        </mc:Choice>
        <mc:Fallback xmlns="">
          <xdr:sp macro="" textlink="">
            <xdr:nvSpPr>
              <xdr:cNvPr id="0" name=""/>
              <xdr:cNvSpPr>
                <a:spLocks noTextEdit="1"/>
              </xdr:cNvSpPr>
            </xdr:nvSpPr>
            <xdr:spPr>
              <a:xfrm>
                <a:off x="7990664" y="15915313"/>
                <a:ext cx="6582586" cy="6582638"/>
              </a:xfrm>
              <a:prstGeom prst="rect">
                <a:avLst/>
              </a:prstGeom>
              <a:solidFill>
                <a:prstClr val="white"/>
              </a:solidFill>
              <a:ln w="1">
                <a:solidFill>
                  <a:prstClr val="green"/>
                </a:solidFill>
              </a:ln>
            </xdr:spPr>
            <xdr:txBody>
              <a:bodyPr vertOverflow="clip" horzOverflow="clip"/>
              <a:lstStyle/>
              <a:p>
                <a:r>
                  <a:rPr lang="id-ID" sz="1100"/>
                  <a:t>This shape represents a slicer. Slicers can be used in at least Excel 2010.
If the shape was modified in an earlier version of Excel, or if the workbook was saved in Excel 2003 or earlier, the slicer cannot be used.</a:t>
                </a:r>
              </a:p>
            </xdr:txBody>
          </xdr:sp>
        </mc:Fallback>
      </mc:AlternateContent>
    </xdr:grpSp>
    <xdr:clientData/>
  </xdr:twoCellAnchor>
  <xdr:twoCellAnchor>
    <xdr:from>
      <xdr:col>3</xdr:col>
      <xdr:colOff>3995836</xdr:colOff>
      <xdr:row>8</xdr:row>
      <xdr:rowOff>89539</xdr:rowOff>
    </xdr:from>
    <xdr:to>
      <xdr:col>15</xdr:col>
      <xdr:colOff>8459206</xdr:colOff>
      <xdr:row>41</xdr:row>
      <xdr:rowOff>824078</xdr:rowOff>
    </xdr:to>
    <xdr:grpSp>
      <xdr:nvGrpSpPr>
        <xdr:cNvPr id="15" name="Group 14"/>
        <xdr:cNvGrpSpPr/>
      </xdr:nvGrpSpPr>
      <xdr:grpSpPr>
        <a:xfrm>
          <a:off x="15616336" y="10567039"/>
          <a:ext cx="82758870" cy="18070039"/>
          <a:chOff x="7946370" y="4164191"/>
          <a:chExt cx="38460805" cy="9633055"/>
        </a:xfrm>
      </xdr:grpSpPr>
      <xdr:graphicFrame macro="">
        <xdr:nvGraphicFramePr>
          <xdr:cNvPr id="40" name="Chart 39"/>
          <xdr:cNvGraphicFramePr>
            <a:graphicFrameLocks/>
          </xdr:cNvGraphicFramePr>
        </xdr:nvGraphicFramePr>
        <xdr:xfrm>
          <a:off x="21449621" y="5700903"/>
          <a:ext cx="13059888" cy="8045567"/>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39" name="Chart 38"/>
          <xdr:cNvGraphicFramePr>
            <a:graphicFrameLocks/>
          </xdr:cNvGraphicFramePr>
        </xdr:nvGraphicFramePr>
        <xdr:xfrm>
          <a:off x="7946370" y="5772041"/>
          <a:ext cx="13053604" cy="8025205"/>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41" name="Rounded Rectangle 40"/>
          <xdr:cNvSpPr/>
        </xdr:nvSpPr>
        <xdr:spPr>
          <a:xfrm>
            <a:off x="23205013" y="4218013"/>
            <a:ext cx="9643270" cy="1074650"/>
          </a:xfrm>
          <a:prstGeom prst="roundRect">
            <a:avLst/>
          </a:prstGeom>
          <a:solidFill>
            <a:schemeClr val="tx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0" b="1">
                <a:solidFill>
                  <a:schemeClr val="bg1"/>
                </a:solidFill>
                <a:latin typeface="+mj-lt"/>
              </a:rPr>
              <a:t>Monthly</a:t>
            </a:r>
            <a:r>
              <a:rPr lang="en-US" sz="10000" b="1" baseline="0">
                <a:solidFill>
                  <a:schemeClr val="bg1"/>
                </a:solidFill>
                <a:latin typeface="+mj-lt"/>
              </a:rPr>
              <a:t> Growth Revenue</a:t>
            </a:r>
            <a:endParaRPr lang="id-ID" sz="10000" b="1">
              <a:solidFill>
                <a:schemeClr val="bg1"/>
              </a:solidFill>
              <a:latin typeface="+mj-lt"/>
            </a:endParaRPr>
          </a:p>
        </xdr:txBody>
      </xdr:sp>
      <xdr:sp macro="" textlink="">
        <xdr:nvSpPr>
          <xdr:cNvPr id="37" name="Rounded Rectangle 36"/>
          <xdr:cNvSpPr/>
        </xdr:nvSpPr>
        <xdr:spPr>
          <a:xfrm>
            <a:off x="9941170" y="4247927"/>
            <a:ext cx="9622108" cy="1022467"/>
          </a:xfrm>
          <a:prstGeom prst="roundRect">
            <a:avLst/>
          </a:prstGeom>
          <a:solidFill>
            <a:schemeClr val="tx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0" b="1">
                <a:solidFill>
                  <a:schemeClr val="bg1"/>
                </a:solidFill>
                <a:latin typeface="+mj-lt"/>
              </a:rPr>
              <a:t>Monthly</a:t>
            </a:r>
            <a:r>
              <a:rPr lang="en-US" sz="10000" b="1" baseline="0">
                <a:solidFill>
                  <a:schemeClr val="bg1"/>
                </a:solidFill>
                <a:latin typeface="+mj-lt"/>
              </a:rPr>
              <a:t> Trend Revenue</a:t>
            </a:r>
            <a:endParaRPr lang="id-ID" sz="10000" b="1">
              <a:solidFill>
                <a:schemeClr val="bg1"/>
              </a:solidFill>
              <a:latin typeface="+mj-lt"/>
            </a:endParaRPr>
          </a:p>
        </xdr:txBody>
      </xdr:sp>
      <xdr:sp macro="" textlink="">
        <xdr:nvSpPr>
          <xdr:cNvPr id="44" name="Rounded Rectangle 43"/>
          <xdr:cNvSpPr/>
        </xdr:nvSpPr>
        <xdr:spPr>
          <a:xfrm>
            <a:off x="36788623" y="4164191"/>
            <a:ext cx="9618552" cy="1003221"/>
          </a:xfrm>
          <a:prstGeom prst="roundRect">
            <a:avLst/>
          </a:prstGeom>
          <a:solidFill>
            <a:schemeClr val="tx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id-ID" sz="10000" b="1">
                <a:solidFill>
                  <a:schemeClr val="bg1"/>
                </a:solidFill>
                <a:latin typeface="+mj-lt"/>
              </a:rPr>
              <a:t>Transaction Volume vs Revenue</a:t>
            </a:r>
          </a:p>
        </xdr:txBody>
      </xdr:sp>
    </xdr:grpSp>
    <xdr:clientData/>
  </xdr:twoCellAnchor>
  <xdr:twoCellAnchor>
    <xdr:from>
      <xdr:col>13</xdr:col>
      <xdr:colOff>625625</xdr:colOff>
      <xdr:row>18</xdr:row>
      <xdr:rowOff>137384</xdr:rowOff>
    </xdr:from>
    <xdr:to>
      <xdr:col>15</xdr:col>
      <xdr:colOff>11811000</xdr:colOff>
      <xdr:row>41</xdr:row>
      <xdr:rowOff>571500</xdr:rowOff>
    </xdr:to>
    <xdr:graphicFrame macro="">
      <xdr:nvGraphicFramePr>
        <xdr:cNvPr id="45" name="Chart 4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2771775</xdr:colOff>
      <xdr:row>42</xdr:row>
      <xdr:rowOff>381000</xdr:rowOff>
    </xdr:from>
    <xdr:to>
      <xdr:col>15</xdr:col>
      <xdr:colOff>11239500</xdr:colOff>
      <xdr:row>54</xdr:row>
      <xdr:rowOff>666750</xdr:rowOff>
    </xdr:to>
    <xdr:grpSp>
      <xdr:nvGrpSpPr>
        <xdr:cNvPr id="19" name="Group 18"/>
        <xdr:cNvGrpSpPr/>
      </xdr:nvGrpSpPr>
      <xdr:grpSpPr>
        <a:xfrm>
          <a:off x="3343275" y="29146500"/>
          <a:ext cx="97812225" cy="17716500"/>
          <a:chOff x="1628775" y="27432000"/>
          <a:chExt cx="97764600" cy="24193500"/>
        </a:xfrm>
      </xdr:grpSpPr>
      <xdr:grpSp>
        <xdr:nvGrpSpPr>
          <xdr:cNvPr id="5" name="Group 4"/>
          <xdr:cNvGrpSpPr/>
        </xdr:nvGrpSpPr>
        <xdr:grpSpPr>
          <a:xfrm>
            <a:off x="1628775" y="27562072"/>
            <a:ext cx="23101482" cy="23896556"/>
            <a:chOff x="5503645" y="22449948"/>
            <a:chExt cx="21356854" cy="20460176"/>
          </a:xfrm>
        </xdr:grpSpPr>
        <xdr:graphicFrame macro="">
          <xdr:nvGraphicFramePr>
            <xdr:cNvPr id="47" name="Chart 46"/>
            <xdr:cNvGraphicFramePr>
              <a:graphicFrameLocks/>
            </xdr:cNvGraphicFramePr>
          </xdr:nvGraphicFramePr>
          <xdr:xfrm>
            <a:off x="5619751" y="25060381"/>
            <a:ext cx="21240748" cy="17849743"/>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46" name="Rounded Rectangle 45"/>
            <xdr:cNvSpPr/>
          </xdr:nvSpPr>
          <xdr:spPr>
            <a:xfrm>
              <a:off x="5503645" y="22449948"/>
              <a:ext cx="21285668" cy="1991294"/>
            </a:xfrm>
            <a:prstGeom prst="roundRect">
              <a:avLst/>
            </a:prstGeom>
            <a:solidFill>
              <a:schemeClr val="tx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0" b="1">
                  <a:solidFill>
                    <a:schemeClr val="bg1"/>
                  </a:solidFill>
                  <a:latin typeface="+mj-lt"/>
                </a:rPr>
                <a:t>Country</a:t>
              </a:r>
              <a:r>
                <a:rPr lang="en-US" sz="10000" b="1" baseline="0">
                  <a:solidFill>
                    <a:schemeClr val="bg1"/>
                  </a:solidFill>
                  <a:latin typeface="+mj-lt"/>
                </a:rPr>
                <a:t> Sales Performance</a:t>
              </a:r>
            </a:p>
          </xdr:txBody>
        </xdr:sp>
        <xdr:sp macro="" textlink="">
          <xdr:nvSpPr>
            <xdr:cNvPr id="33" name="TextBox 32"/>
            <xdr:cNvSpPr txBox="1"/>
          </xdr:nvSpPr>
          <xdr:spPr>
            <a:xfrm>
              <a:off x="5726505" y="25050397"/>
              <a:ext cx="5163482" cy="25397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6000" b="1" u="sng">
                  <a:solidFill>
                    <a:schemeClr val="tx2">
                      <a:lumMod val="60000"/>
                      <a:lumOff val="40000"/>
                    </a:schemeClr>
                  </a:solidFill>
                  <a:latin typeface="+mj-lt"/>
                </a:rPr>
                <a:t>Percent</a:t>
              </a:r>
              <a:r>
                <a:rPr lang="en-US" sz="6000" b="1" u="sng" baseline="0">
                  <a:solidFill>
                    <a:schemeClr val="tx2">
                      <a:lumMod val="60000"/>
                      <a:lumOff val="40000"/>
                    </a:schemeClr>
                  </a:solidFill>
                  <a:latin typeface="+mj-lt"/>
                </a:rPr>
                <a:t> </a:t>
              </a:r>
            </a:p>
            <a:p>
              <a:pPr algn="l"/>
              <a:r>
                <a:rPr lang="en-US" sz="6000" b="1" u="sng" baseline="0">
                  <a:solidFill>
                    <a:schemeClr val="tx2">
                      <a:lumMod val="60000"/>
                      <a:lumOff val="40000"/>
                    </a:schemeClr>
                  </a:solidFill>
                  <a:latin typeface="+mj-lt"/>
                </a:rPr>
                <a:t>Contribution</a:t>
              </a:r>
              <a:endParaRPr lang="id-ID" sz="6000" b="1" u="sng">
                <a:solidFill>
                  <a:schemeClr val="tx2">
                    <a:lumMod val="60000"/>
                    <a:lumOff val="40000"/>
                  </a:schemeClr>
                </a:solidFill>
                <a:latin typeface="+mj-lt"/>
              </a:endParaRPr>
            </a:p>
          </xdr:txBody>
        </xdr:sp>
      </xdr:grpSp>
      <xdr:grpSp>
        <xdr:nvGrpSpPr>
          <xdr:cNvPr id="8" name="Group 7"/>
          <xdr:cNvGrpSpPr/>
        </xdr:nvGrpSpPr>
        <xdr:grpSpPr>
          <a:xfrm>
            <a:off x="26479499" y="27610553"/>
            <a:ext cx="23145751" cy="23951322"/>
            <a:chOff x="28663729" y="22450682"/>
            <a:chExt cx="22656312" cy="20507067"/>
          </a:xfrm>
        </xdr:grpSpPr>
        <xdr:grpSp>
          <xdr:nvGrpSpPr>
            <xdr:cNvPr id="11" name="Group 10"/>
            <xdr:cNvGrpSpPr/>
          </xdr:nvGrpSpPr>
          <xdr:grpSpPr>
            <a:xfrm>
              <a:off x="28850200" y="25074182"/>
              <a:ext cx="22469841" cy="17883567"/>
              <a:chOff x="49183445" y="45641002"/>
              <a:chExt cx="31039061" cy="19182837"/>
            </a:xfrm>
          </xdr:grpSpPr>
          <xdr:graphicFrame macro="">
            <xdr:nvGraphicFramePr>
              <xdr:cNvPr id="61" name="Chart 60"/>
              <xdr:cNvGraphicFramePr>
                <a:graphicFrameLocks/>
              </xdr:cNvGraphicFramePr>
            </xdr:nvGraphicFramePr>
            <xdr:xfrm>
              <a:off x="49183445" y="45641002"/>
              <a:ext cx="31039061" cy="19182837"/>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55" name="TextBox 54"/>
              <xdr:cNvSpPr txBox="1"/>
            </xdr:nvSpPr>
            <xdr:spPr>
              <a:xfrm>
                <a:off x="49612841" y="46038916"/>
                <a:ext cx="8577956" cy="27773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6000" b="1" u="sng" baseline="0">
                    <a:solidFill>
                      <a:schemeClr val="tx2">
                        <a:lumMod val="60000"/>
                        <a:lumOff val="40000"/>
                      </a:schemeClr>
                    </a:solidFill>
                    <a:latin typeface="+mj-lt"/>
                  </a:rPr>
                  <a:t>Percent</a:t>
                </a:r>
              </a:p>
              <a:p>
                <a:pPr algn="l"/>
                <a:r>
                  <a:rPr lang="en-US" sz="6000" b="1" u="sng" baseline="0">
                    <a:solidFill>
                      <a:schemeClr val="tx2">
                        <a:lumMod val="60000"/>
                        <a:lumOff val="40000"/>
                      </a:schemeClr>
                    </a:solidFill>
                    <a:latin typeface="+mj-lt"/>
                  </a:rPr>
                  <a:t>Contribution</a:t>
                </a:r>
              </a:p>
            </xdr:txBody>
          </xdr:sp>
        </xdr:grpSp>
        <xdr:sp macro="" textlink="">
          <xdr:nvSpPr>
            <xdr:cNvPr id="54" name="Rounded Rectangle 53"/>
            <xdr:cNvSpPr/>
          </xdr:nvSpPr>
          <xdr:spPr>
            <a:xfrm>
              <a:off x="28663729" y="22450682"/>
              <a:ext cx="22609693" cy="1967881"/>
            </a:xfrm>
            <a:prstGeom prst="roundRect">
              <a:avLst/>
            </a:prstGeom>
            <a:solidFill>
              <a:schemeClr val="tx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0" b="1" baseline="0">
                  <a:solidFill>
                    <a:schemeClr val="bg1"/>
                  </a:solidFill>
                  <a:latin typeface="+mj-lt"/>
                </a:rPr>
                <a:t>Brand  Sales Performance</a:t>
              </a:r>
              <a:endParaRPr lang="id-ID" sz="10000" b="1">
                <a:solidFill>
                  <a:schemeClr val="bg1"/>
                </a:solidFill>
                <a:latin typeface="+mj-lt"/>
              </a:endParaRPr>
            </a:p>
          </xdr:txBody>
        </xdr:sp>
      </xdr:grpSp>
      <xdr:grpSp>
        <xdr:nvGrpSpPr>
          <xdr:cNvPr id="18" name="Group 17"/>
          <xdr:cNvGrpSpPr/>
        </xdr:nvGrpSpPr>
        <xdr:grpSpPr>
          <a:xfrm>
            <a:off x="51377559" y="27632502"/>
            <a:ext cx="23060316" cy="23992998"/>
            <a:chOff x="55880995" y="22510251"/>
            <a:chExt cx="22340344" cy="20542749"/>
          </a:xfrm>
        </xdr:grpSpPr>
        <xdr:graphicFrame macro="">
          <xdr:nvGraphicFramePr>
            <xdr:cNvPr id="49" name="Chart 48"/>
            <xdr:cNvGraphicFramePr>
              <a:graphicFrameLocks/>
            </xdr:cNvGraphicFramePr>
          </xdr:nvGraphicFramePr>
          <xdr:xfrm>
            <a:off x="56055355" y="25003125"/>
            <a:ext cx="22165984" cy="18049875"/>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63" name="Rounded Rectangle 62"/>
            <xdr:cNvSpPr/>
          </xdr:nvSpPr>
          <xdr:spPr>
            <a:xfrm>
              <a:off x="55880995" y="22510251"/>
              <a:ext cx="22340343" cy="1952580"/>
            </a:xfrm>
            <a:prstGeom prst="roundRect">
              <a:avLst/>
            </a:prstGeom>
            <a:solidFill>
              <a:schemeClr val="tx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0" b="1" baseline="0">
                  <a:solidFill>
                    <a:schemeClr val="bg1"/>
                  </a:solidFill>
                  <a:latin typeface="+mj-lt"/>
                </a:rPr>
                <a:t>Channel  Sales Performance</a:t>
              </a:r>
              <a:endParaRPr lang="id-ID" sz="10000" b="1">
                <a:solidFill>
                  <a:schemeClr val="bg1"/>
                </a:solidFill>
                <a:latin typeface="+mj-lt"/>
              </a:endParaRPr>
            </a:p>
          </xdr:txBody>
        </xdr:sp>
        <xdr:sp macro="" textlink="">
          <xdr:nvSpPr>
            <xdr:cNvPr id="66" name="TextBox 65"/>
            <xdr:cNvSpPr txBox="1"/>
          </xdr:nvSpPr>
          <xdr:spPr>
            <a:xfrm>
              <a:off x="56411700" y="25433161"/>
              <a:ext cx="6195780" cy="22482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6000" b="1" u="sng">
                  <a:solidFill>
                    <a:schemeClr val="tx2">
                      <a:lumMod val="60000"/>
                      <a:lumOff val="40000"/>
                    </a:schemeClr>
                  </a:solidFill>
                  <a:latin typeface="+mj-lt"/>
                </a:rPr>
                <a:t>Percent</a:t>
              </a:r>
            </a:p>
            <a:p>
              <a:pPr algn="l"/>
              <a:r>
                <a:rPr lang="en-US" sz="6000" b="1" u="sng">
                  <a:solidFill>
                    <a:schemeClr val="tx2">
                      <a:lumMod val="60000"/>
                      <a:lumOff val="40000"/>
                    </a:schemeClr>
                  </a:solidFill>
                  <a:latin typeface="+mj-lt"/>
                </a:rPr>
                <a:t>Contribution</a:t>
              </a:r>
              <a:endParaRPr lang="id-ID" sz="6000" b="1" u="sng">
                <a:solidFill>
                  <a:schemeClr val="tx2">
                    <a:lumMod val="60000"/>
                    <a:lumOff val="40000"/>
                  </a:schemeClr>
                </a:solidFill>
                <a:latin typeface="+mj-lt"/>
              </a:endParaRPr>
            </a:p>
          </xdr:txBody>
        </xdr:sp>
      </xdr:grpSp>
      <xdr:grpSp>
        <xdr:nvGrpSpPr>
          <xdr:cNvPr id="7" name="Group 6"/>
          <xdr:cNvGrpSpPr/>
        </xdr:nvGrpSpPr>
        <xdr:grpSpPr>
          <a:xfrm>
            <a:off x="76444788" y="27432000"/>
            <a:ext cx="22948587" cy="24098250"/>
            <a:chOff x="80647960" y="22420134"/>
            <a:chExt cx="21174290" cy="20632866"/>
          </a:xfrm>
        </xdr:grpSpPr>
        <xdr:sp macro="" textlink="">
          <xdr:nvSpPr>
            <xdr:cNvPr id="68" name="Rounded Rectangle 67"/>
            <xdr:cNvSpPr/>
          </xdr:nvSpPr>
          <xdr:spPr>
            <a:xfrm>
              <a:off x="80647960" y="22420134"/>
              <a:ext cx="21131690" cy="2021109"/>
            </a:xfrm>
            <a:prstGeom prst="roundRect">
              <a:avLst/>
            </a:prstGeom>
            <a:solidFill>
              <a:schemeClr val="tx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0" b="1" baseline="0">
                  <a:solidFill>
                    <a:schemeClr val="bg1"/>
                  </a:solidFill>
                  <a:latin typeface="+mj-lt"/>
                </a:rPr>
                <a:t>Shoe of Type Revenue Performance</a:t>
              </a:r>
              <a:endParaRPr lang="id-ID" sz="10000" b="1">
                <a:solidFill>
                  <a:schemeClr val="bg1"/>
                </a:solidFill>
                <a:latin typeface="+mj-lt"/>
              </a:endParaRPr>
            </a:p>
          </xdr:txBody>
        </xdr:sp>
        <xdr:graphicFrame macro="">
          <xdr:nvGraphicFramePr>
            <xdr:cNvPr id="70" name="Chart 69"/>
            <xdr:cNvGraphicFramePr>
              <a:graphicFrameLocks/>
            </xdr:cNvGraphicFramePr>
          </xdr:nvGraphicFramePr>
          <xdr:xfrm>
            <a:off x="80676750" y="25098375"/>
            <a:ext cx="21145500" cy="17954625"/>
          </xdr:xfrm>
          <a:graphic>
            <a:graphicData uri="http://schemas.openxmlformats.org/drawingml/2006/chart">
              <c:chart xmlns:c="http://schemas.openxmlformats.org/drawingml/2006/chart" xmlns:r="http://schemas.openxmlformats.org/officeDocument/2006/relationships" r:id="rId8"/>
            </a:graphicData>
          </a:graphic>
        </xdr:graphicFrame>
        <xdr:sp macro="" textlink="">
          <xdr:nvSpPr>
            <xdr:cNvPr id="42" name="TextBox 41"/>
            <xdr:cNvSpPr txBox="1"/>
          </xdr:nvSpPr>
          <xdr:spPr>
            <a:xfrm>
              <a:off x="81013705" y="25459802"/>
              <a:ext cx="6195780" cy="28730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6000" b="1" u="sng" baseline="0">
                  <a:solidFill>
                    <a:schemeClr val="tx2">
                      <a:lumMod val="60000"/>
                      <a:lumOff val="40000"/>
                    </a:schemeClr>
                  </a:solidFill>
                  <a:latin typeface="+mj-lt"/>
                </a:rPr>
                <a:t>Percent</a:t>
              </a:r>
            </a:p>
            <a:p>
              <a:pPr algn="l"/>
              <a:r>
                <a:rPr lang="en-US" sz="6000" b="1" u="sng" baseline="0">
                  <a:solidFill>
                    <a:schemeClr val="tx2">
                      <a:lumMod val="60000"/>
                      <a:lumOff val="40000"/>
                    </a:schemeClr>
                  </a:solidFill>
                  <a:latin typeface="+mj-lt"/>
                </a:rPr>
                <a:t>Contribution</a:t>
              </a:r>
            </a:p>
          </xdr:txBody>
        </xdr:sp>
      </xdr:grpSp>
    </xdr:grpSp>
    <xdr:clientData/>
  </xdr:twoCellAnchor>
  <xdr:twoCellAnchor>
    <xdr:from>
      <xdr:col>9</xdr:col>
      <xdr:colOff>1476375</xdr:colOff>
      <xdr:row>55</xdr:row>
      <xdr:rowOff>95250</xdr:rowOff>
    </xdr:from>
    <xdr:to>
      <xdr:col>12</xdr:col>
      <xdr:colOff>1428750</xdr:colOff>
      <xdr:row>55</xdr:row>
      <xdr:rowOff>1905000</xdr:rowOff>
    </xdr:to>
    <xdr:sp macro="" textlink="">
      <xdr:nvSpPr>
        <xdr:cNvPr id="43" name="Rounded Rectangle 42"/>
        <xdr:cNvSpPr/>
      </xdr:nvSpPr>
      <xdr:spPr>
        <a:xfrm>
          <a:off x="41100375" y="47910750"/>
          <a:ext cx="28717875" cy="1809750"/>
        </a:xfrm>
        <a:prstGeom prst="roundRect">
          <a:avLst/>
        </a:prstGeom>
        <a:solidFill>
          <a:schemeClr val="tx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0" b="1" baseline="0">
              <a:solidFill>
                <a:schemeClr val="bg1"/>
              </a:solidFill>
              <a:latin typeface="+mj-lt"/>
            </a:rPr>
            <a:t>TOP 10 Selling-Product by Total Sold</a:t>
          </a:r>
        </a:p>
      </xdr:txBody>
    </xdr:sp>
    <xdr:clientData/>
  </xdr:twoCellAnchor>
  <xdr:twoCellAnchor>
    <xdr:from>
      <xdr:col>2</xdr:col>
      <xdr:colOff>523874</xdr:colOff>
      <xdr:row>55</xdr:row>
      <xdr:rowOff>0</xdr:rowOff>
    </xdr:from>
    <xdr:to>
      <xdr:col>7</xdr:col>
      <xdr:colOff>5333999</xdr:colOff>
      <xdr:row>55</xdr:row>
      <xdr:rowOff>1905000</xdr:rowOff>
    </xdr:to>
    <xdr:sp macro="" textlink="">
      <xdr:nvSpPr>
        <xdr:cNvPr id="38" name="Rounded Rectangle 37"/>
        <xdr:cNvSpPr/>
      </xdr:nvSpPr>
      <xdr:spPr>
        <a:xfrm>
          <a:off x="6619874" y="47815500"/>
          <a:ext cx="32432625" cy="1905000"/>
        </a:xfrm>
        <a:prstGeom prst="roundRect">
          <a:avLst/>
        </a:prstGeom>
        <a:solidFill>
          <a:schemeClr val="tx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0" b="1" baseline="0">
              <a:solidFill>
                <a:schemeClr val="bg1"/>
              </a:solidFill>
              <a:latin typeface="+mj-lt"/>
            </a:rPr>
            <a:t>Brand x Type of Shoe Revenue Performance</a:t>
          </a:r>
        </a:p>
      </xdr:txBody>
    </xdr:sp>
    <xdr:clientData/>
  </xdr:twoCellAnchor>
  <xdr:twoCellAnchor>
    <xdr:from>
      <xdr:col>12</xdr:col>
      <xdr:colOff>3810001</xdr:colOff>
      <xdr:row>55</xdr:row>
      <xdr:rowOff>190500</xdr:rowOff>
    </xdr:from>
    <xdr:to>
      <xdr:col>15</xdr:col>
      <xdr:colOff>9667875</xdr:colOff>
      <xdr:row>55</xdr:row>
      <xdr:rowOff>1905000</xdr:rowOff>
    </xdr:to>
    <xdr:sp macro="" textlink="">
      <xdr:nvSpPr>
        <xdr:cNvPr id="50" name="Rounded Rectangle 49"/>
        <xdr:cNvSpPr/>
      </xdr:nvSpPr>
      <xdr:spPr>
        <a:xfrm>
          <a:off x="72199501" y="48006000"/>
          <a:ext cx="27384374" cy="1714500"/>
        </a:xfrm>
        <a:prstGeom prst="roundRect">
          <a:avLst/>
        </a:prstGeom>
        <a:solidFill>
          <a:schemeClr val="tx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0" b="1" baseline="0">
              <a:solidFill>
                <a:schemeClr val="bg1"/>
              </a:solidFill>
              <a:latin typeface="+mj-lt"/>
            </a:rPr>
            <a:t>TOP 10 Selling-Product by Total Sold</a:t>
          </a:r>
        </a:p>
      </xdr:txBody>
    </xdr:sp>
    <xdr:clientData/>
  </xdr:twoCellAnchor>
  <xdr:twoCellAnchor>
    <xdr:from>
      <xdr:col>12</xdr:col>
      <xdr:colOff>952500</xdr:colOff>
      <xdr:row>56</xdr:row>
      <xdr:rowOff>381000</xdr:rowOff>
    </xdr:from>
    <xdr:to>
      <xdr:col>15</xdr:col>
      <xdr:colOff>11334750</xdr:colOff>
      <xdr:row>65</xdr:row>
      <xdr:rowOff>190500</xdr:rowOff>
    </xdr:to>
    <xdr:graphicFrame macro="">
      <xdr:nvGraphicFramePr>
        <xdr:cNvPr id="51" name="Chart 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199.97365" createdVersion="4" refreshedVersion="4" minRefreshableVersion="3" recordCount="1006">
  <cacheSource type="worksheet">
    <worksheetSource name="Table1.Sales_Data"/>
  </cacheSource>
  <cacheFields count="13">
    <cacheField name="Sale_ID" numFmtId="0">
      <sharedItems count="1000">
        <s v="S1"/>
        <s v="S2"/>
        <s v="S3"/>
        <s v="S4"/>
        <s v="S5"/>
        <s v="S6"/>
        <s v="S7"/>
        <s v="S8"/>
        <s v="S9"/>
        <s v="S10"/>
        <s v="S11"/>
        <s v="S12"/>
        <s v="S13"/>
        <s v="S14"/>
        <s v="S15"/>
        <s v="S16"/>
        <s v="S17"/>
        <s v="S18"/>
        <s v="S19"/>
        <s v="S20"/>
        <s v="S21"/>
        <s v="S22"/>
        <s v="S23"/>
        <s v="S24"/>
        <s v="S25"/>
        <s v="S26"/>
        <s v="S27"/>
        <s v="S28"/>
        <s v="S29"/>
        <s v="S30"/>
        <s v="S31"/>
        <s v="S32"/>
        <s v="S33"/>
        <s v="S34"/>
        <s v="S35"/>
        <s v="S36"/>
        <s v="S37"/>
        <s v="S38"/>
        <s v="S39"/>
        <s v="S40"/>
        <s v="S41"/>
        <s v="S42"/>
        <s v="S43"/>
        <s v="S44"/>
        <s v="S45"/>
        <s v="S46"/>
        <s v="S47"/>
        <s v="S48"/>
        <s v="S49"/>
        <s v="S50"/>
        <s v="S51"/>
        <s v="S52"/>
        <s v="S53"/>
        <s v="S54"/>
        <s v="S55"/>
        <s v="S56"/>
        <s v="S57"/>
        <s v="S58"/>
        <s v="S59"/>
        <s v="S60"/>
        <s v="S61"/>
        <s v="S62"/>
        <s v="S63"/>
        <s v="S64"/>
        <s v="S65"/>
        <s v="S66"/>
        <s v="S67"/>
        <s v="S68"/>
        <s v="S69"/>
        <s v="S70"/>
        <s v="S71"/>
        <s v="S72"/>
        <s v="S73"/>
        <s v="S74"/>
        <s v="S75"/>
        <s v="S76"/>
        <s v="S77"/>
        <s v="S78"/>
        <s v="S79"/>
        <s v="S80"/>
        <s v="S81"/>
        <s v="S82"/>
        <s v="S83"/>
        <s v="S84"/>
        <s v="S85"/>
        <s v="S86"/>
        <s v="S87"/>
        <s v="S88"/>
        <s v="S89"/>
        <s v="S90"/>
        <s v="S91"/>
        <s v="S92"/>
        <s v="S93"/>
        <s v="S94"/>
        <s v="S95"/>
        <s v="S96"/>
        <s v="S97"/>
        <s v="S98"/>
        <s v="S99"/>
        <s v="S100"/>
        <s v="S101"/>
        <s v="S102"/>
        <s v="S103"/>
        <s v="S104"/>
        <s v="S105"/>
        <s v="S106"/>
        <s v="S107"/>
        <s v="S108"/>
        <s v="S109"/>
        <s v="S110"/>
        <s v="S111"/>
        <s v="S112"/>
        <s v="S113"/>
        <s v="S114"/>
        <s v="S115"/>
        <s v="S116"/>
        <s v="S117"/>
        <s v="S118"/>
        <s v="S119"/>
        <s v="S120"/>
        <s v="S121"/>
        <s v="S122"/>
        <s v="S123"/>
        <s v="S124"/>
        <s v="S125"/>
        <s v="S126"/>
        <s v="S127"/>
        <s v="S128"/>
        <s v="S129"/>
        <s v="S130"/>
        <s v="S131"/>
        <s v="S132"/>
        <s v="S133"/>
        <s v="S134"/>
        <s v="S135"/>
        <s v="S136"/>
        <s v="S137"/>
        <s v="S138"/>
        <s v="S139"/>
        <s v="S140"/>
        <s v="S141"/>
        <s v="S142"/>
        <s v="S143"/>
        <s v="S144"/>
        <s v="S145"/>
        <s v="S146"/>
        <s v="S147"/>
        <s v="S148"/>
        <s v="S149"/>
        <s v="S150"/>
        <s v="S151"/>
        <s v="S152"/>
        <s v="S153"/>
        <s v="S154"/>
        <s v="S155"/>
        <s v="S156"/>
        <s v="S157"/>
        <s v="S158"/>
        <s v="S159"/>
        <s v="S160"/>
        <s v="S161"/>
        <s v="S162"/>
        <s v="S163"/>
        <s v="S164"/>
        <s v="S165"/>
        <s v="S166"/>
        <s v="S167"/>
        <s v="S168"/>
        <s v="S169"/>
        <s v="S170"/>
        <s v="S171"/>
        <s v="S172"/>
        <s v="S173"/>
        <s v="S174"/>
        <s v="S175"/>
        <s v="S176"/>
        <s v="S177"/>
        <s v="S178"/>
        <s v="S179"/>
        <s v="S180"/>
        <s v="S181"/>
        <s v="S182"/>
        <s v="S183"/>
        <s v="S184"/>
        <s v="S185"/>
        <s v="S186"/>
        <s v="S187"/>
        <s v="S188"/>
        <s v="S189"/>
        <s v="S190"/>
        <s v="S191"/>
        <s v="S192"/>
        <s v="S193"/>
        <s v="S194"/>
        <s v="S195"/>
        <s v="S196"/>
        <s v="S197"/>
        <s v="S198"/>
        <s v="S199"/>
        <s v="S200"/>
        <s v="S201"/>
        <s v="S202"/>
        <s v="S203"/>
        <s v="S204"/>
        <s v="S205"/>
        <s v="S206"/>
        <s v="S207"/>
        <s v="S208"/>
        <s v="S209"/>
        <s v="S210"/>
        <s v="S211"/>
        <s v="S212"/>
        <s v="S213"/>
        <s v="S214"/>
        <s v="S215"/>
        <s v="S216"/>
        <s v="S217"/>
        <s v="S218"/>
        <s v="S219"/>
        <s v="S220"/>
        <s v="S221"/>
        <s v="S222"/>
        <s v="S223"/>
        <s v="S224"/>
        <s v="S225"/>
        <s v="S226"/>
        <s v="S227"/>
        <s v="S228"/>
        <s v="S229"/>
        <s v="S230"/>
        <s v="S231"/>
        <s v="S232"/>
        <s v="S233"/>
        <s v="S234"/>
        <s v="S235"/>
        <s v="S236"/>
        <s v="S237"/>
        <s v="S238"/>
        <s v="S239"/>
        <s v="S240"/>
        <s v="S241"/>
        <s v="S242"/>
        <s v="S243"/>
        <s v="S244"/>
        <s v="S245"/>
        <s v="S246"/>
        <s v="S247"/>
        <s v="S248"/>
        <s v="S249"/>
        <s v="S250"/>
        <s v="S251"/>
        <s v="S252"/>
        <s v="S253"/>
        <s v="S254"/>
        <s v="S255"/>
        <s v="S256"/>
        <s v="S257"/>
        <s v="S258"/>
        <s v="S259"/>
        <s v="S260"/>
        <s v="S261"/>
        <s v="S262"/>
        <s v="S263"/>
        <s v="S264"/>
        <s v="S265"/>
        <s v="S266"/>
        <s v="S267"/>
        <s v="S268"/>
        <s v="S269"/>
        <s v="S270"/>
        <s v="S271"/>
        <s v="S272"/>
        <s v="S273"/>
        <s v="S274"/>
        <s v="S275"/>
        <s v="S276"/>
        <s v="S277"/>
        <s v="S278"/>
        <s v="S279"/>
        <s v="S280"/>
        <s v="S281"/>
        <s v="S282"/>
        <s v="S283"/>
        <s v="S284"/>
        <s v="S285"/>
        <s v="S286"/>
        <s v="S287"/>
        <s v="S288"/>
        <s v="S289"/>
        <s v="S290"/>
        <s v="S291"/>
        <s v="S292"/>
        <s v="S293"/>
        <s v="S294"/>
        <s v="S295"/>
        <s v="S296"/>
        <s v="S297"/>
        <s v="S298"/>
        <s v="S299"/>
        <s v="S300"/>
        <s v="S301"/>
        <s v="S302"/>
        <s v="S303"/>
        <s v="S304"/>
        <s v="S305"/>
        <s v="S306"/>
        <s v="S307"/>
        <s v="S308"/>
        <s v="S309"/>
        <s v="S310"/>
        <s v="S311"/>
        <s v="S312"/>
        <s v="S313"/>
        <s v="S314"/>
        <s v="S315"/>
        <s v="S316"/>
        <s v="S317"/>
        <s v="S318"/>
        <s v="S319"/>
        <s v="S320"/>
        <s v="S321"/>
        <s v="S322"/>
        <s v="S323"/>
        <s v="S324"/>
        <s v="S325"/>
        <s v="S326"/>
        <s v="S327"/>
        <s v="S328"/>
        <s v="S329"/>
        <s v="S330"/>
        <s v="S331"/>
        <s v="S332"/>
        <s v="S333"/>
        <s v="S334"/>
        <s v="S335"/>
        <s v="S336"/>
        <s v="S337"/>
        <s v="S338"/>
        <s v="S339"/>
        <s v="S340"/>
        <s v="S341"/>
        <s v="S342"/>
        <s v="S343"/>
        <s v="S344"/>
        <s v="S345"/>
        <s v="S346"/>
        <s v="S347"/>
        <s v="S348"/>
        <s v="S349"/>
        <s v="S350"/>
        <s v="S351"/>
        <s v="S352"/>
        <s v="S353"/>
        <s v="S354"/>
        <s v="S355"/>
        <s v="S356"/>
        <s v="S357"/>
        <s v="S358"/>
        <s v="S359"/>
        <s v="S360"/>
        <s v="S361"/>
        <s v="S362"/>
        <s v="S363"/>
        <s v="S364"/>
        <s v="S365"/>
        <s v="S366"/>
        <s v="S367"/>
        <s v="S368"/>
        <s v="S369"/>
        <s v="S370"/>
        <s v="S371"/>
        <s v="S372"/>
        <s v="S373"/>
        <s v="S374"/>
        <s v="S375"/>
        <s v="S376"/>
        <s v="S377"/>
        <s v="S378"/>
        <s v="S379"/>
        <s v="S380"/>
        <s v="S381"/>
        <s v="S382"/>
        <s v="S383"/>
        <s v="S384"/>
        <s v="S385"/>
        <s v="S386"/>
        <s v="S387"/>
        <s v="S388"/>
        <s v="S389"/>
        <s v="S390"/>
        <s v="S391"/>
        <s v="S392"/>
        <s v="S393"/>
        <s v="S394"/>
        <s v="S395"/>
        <s v="S396"/>
        <s v="S397"/>
        <s v="S398"/>
        <s v="S399"/>
        <s v="S400"/>
        <s v="S401"/>
        <s v="S402"/>
        <s v="S403"/>
        <s v="S404"/>
        <s v="S405"/>
        <s v="S406"/>
        <s v="S407"/>
        <s v="S408"/>
        <s v="S409"/>
        <s v="S410"/>
        <s v="S411"/>
        <s v="S412"/>
        <s v="S413"/>
        <s v="S414"/>
        <s v="S415"/>
        <s v="S416"/>
        <s v="S417"/>
        <s v="S418"/>
        <s v="S419"/>
        <s v="S420"/>
        <s v="S421"/>
        <s v="S422"/>
        <s v="S423"/>
        <s v="S424"/>
        <s v="S425"/>
        <s v="S426"/>
        <s v="S427"/>
        <s v="S428"/>
        <s v="S429"/>
        <s v="S430"/>
        <s v="S431"/>
        <s v="S432"/>
        <s v="S433"/>
        <s v="S434"/>
        <s v="S435"/>
        <s v="S436"/>
        <s v="S437"/>
        <s v="S438"/>
        <s v="S439"/>
        <s v="S440"/>
        <s v="S441"/>
        <s v="S442"/>
        <s v="S443"/>
        <s v="S444"/>
        <s v="S445"/>
        <s v="S446"/>
        <s v="S447"/>
        <s v="S448"/>
        <s v="S449"/>
        <s v="S450"/>
        <s v="S451"/>
        <s v="S452"/>
        <s v="S453"/>
        <s v="S454"/>
        <s v="S455"/>
        <s v="S456"/>
        <s v="S457"/>
        <s v="S458"/>
        <s v="S459"/>
        <s v="S460"/>
        <s v="S461"/>
        <s v="S462"/>
        <s v="S463"/>
        <s v="S464"/>
        <s v="S465"/>
        <s v="S466"/>
        <s v="S467"/>
        <s v="S468"/>
        <s v="S469"/>
        <s v="S470"/>
        <s v="S471"/>
        <s v="S472"/>
        <s v="S473"/>
        <s v="S474"/>
        <s v="S475"/>
        <s v="S476"/>
        <s v="S477"/>
        <s v="S478"/>
        <s v="S479"/>
        <s v="S480"/>
        <s v="S481"/>
        <s v="S482"/>
        <s v="S483"/>
        <s v="S484"/>
        <s v="S485"/>
        <s v="S486"/>
        <s v="S487"/>
        <s v="S488"/>
        <s v="S489"/>
        <s v="S490"/>
        <s v="S491"/>
        <s v="S492"/>
        <s v="S493"/>
        <s v="S494"/>
        <s v="S495"/>
        <s v="S496"/>
        <s v="S497"/>
        <s v="S498"/>
        <s v="S499"/>
        <s v="S500"/>
        <s v="S501"/>
        <s v="S502"/>
        <s v="S503"/>
        <s v="S504"/>
        <s v="S505"/>
        <s v="S506"/>
        <s v="S507"/>
        <s v="S508"/>
        <s v="S509"/>
        <s v="S510"/>
        <s v="S511"/>
        <s v="S512"/>
        <s v="S513"/>
        <s v="S514"/>
        <s v="S515"/>
        <s v="S516"/>
        <s v="S517"/>
        <s v="S518"/>
        <s v="S519"/>
        <s v="S520"/>
        <s v="S521"/>
        <s v="S522"/>
        <s v="S523"/>
        <s v="S524"/>
        <s v="S525"/>
        <s v="S526"/>
        <s v="S527"/>
        <s v="S528"/>
        <s v="S529"/>
        <s v="S530"/>
        <s v="S531"/>
        <s v="S532"/>
        <s v="S533"/>
        <s v="S534"/>
        <s v="S535"/>
        <s v="S536"/>
        <s v="S537"/>
        <s v="S538"/>
        <s v="S539"/>
        <s v="S540"/>
        <s v="S541"/>
        <s v="S542"/>
        <s v="S543"/>
        <s v="S544"/>
        <s v="S545"/>
        <s v="S546"/>
        <s v="S547"/>
        <s v="S548"/>
        <s v="S549"/>
        <s v="S550"/>
        <s v="S551"/>
        <s v="S552"/>
        <s v="S553"/>
        <s v="S554"/>
        <s v="S555"/>
        <s v="S556"/>
        <s v="S557"/>
        <s v="S558"/>
        <s v="S559"/>
        <s v="S560"/>
        <s v="S561"/>
        <s v="S562"/>
        <s v="S563"/>
        <s v="S564"/>
        <s v="S565"/>
        <s v="S566"/>
        <s v="S567"/>
        <s v="S568"/>
        <s v="S569"/>
        <s v="S570"/>
        <s v="S571"/>
        <s v="S572"/>
        <s v="S573"/>
        <s v="S574"/>
        <s v="S575"/>
        <s v="S576"/>
        <s v="S577"/>
        <s v="S578"/>
        <s v="S579"/>
        <s v="S580"/>
        <s v="S581"/>
        <s v="S582"/>
        <s v="S583"/>
        <s v="S584"/>
        <s v="S585"/>
        <s v="S586"/>
        <s v="S587"/>
        <s v="S588"/>
        <s v="S589"/>
        <s v="S590"/>
        <s v="S591"/>
        <s v="S592"/>
        <s v="S593"/>
        <s v="S594"/>
        <s v="S595"/>
        <s v="S596"/>
        <s v="S597"/>
        <s v="S598"/>
        <s v="S599"/>
        <s v="S600"/>
        <s v="S601"/>
        <s v="S602"/>
        <s v="S603"/>
        <s v="S604"/>
        <s v="S605"/>
        <s v="S606"/>
        <s v="S607"/>
        <s v="S608"/>
        <s v="S609"/>
        <s v="S610"/>
        <s v="S611"/>
        <s v="S612"/>
        <s v="S613"/>
        <s v="S614"/>
        <s v="S615"/>
        <s v="S616"/>
        <s v="S617"/>
        <s v="S618"/>
        <s v="S619"/>
        <s v="S620"/>
        <s v="S621"/>
        <s v="S622"/>
        <s v="S623"/>
        <s v="S624"/>
        <s v="S625"/>
        <s v="S626"/>
        <s v="S627"/>
        <s v="S628"/>
        <s v="S629"/>
        <s v="S630"/>
        <s v="S631"/>
        <s v="S632"/>
        <s v="S633"/>
        <s v="S634"/>
        <s v="S635"/>
        <s v="S636"/>
        <s v="S637"/>
        <s v="S638"/>
        <s v="S639"/>
        <s v="S640"/>
        <s v="S641"/>
        <s v="S642"/>
        <s v="S643"/>
        <s v="S644"/>
        <s v="S645"/>
        <s v="S646"/>
        <s v="S647"/>
        <s v="S648"/>
        <s v="S649"/>
        <s v="S650"/>
        <s v="S651"/>
        <s v="S652"/>
        <s v="S653"/>
        <s v="S654"/>
        <s v="S655"/>
        <s v="S656"/>
        <s v="S657"/>
        <s v="S658"/>
        <s v="S659"/>
        <s v="S660"/>
        <s v="S661"/>
        <s v="S662"/>
        <s v="S663"/>
        <s v="S664"/>
        <s v="S665"/>
        <s v="S666"/>
        <s v="S667"/>
        <s v="S668"/>
        <s v="S669"/>
        <s v="S670"/>
        <s v="S671"/>
        <s v="S672"/>
        <s v="S673"/>
        <s v="S674"/>
        <s v="S675"/>
        <s v="S676"/>
        <s v="S677"/>
        <s v="S678"/>
        <s v="S679"/>
        <s v="S680"/>
        <s v="S681"/>
        <s v="S682"/>
        <s v="S683"/>
        <s v="S684"/>
        <s v="S685"/>
        <s v="S686"/>
        <s v="S687"/>
        <s v="S688"/>
        <s v="S689"/>
        <s v="S690"/>
        <s v="S691"/>
        <s v="S692"/>
        <s v="S693"/>
        <s v="S694"/>
        <s v="S695"/>
        <s v="S696"/>
        <s v="S697"/>
        <s v="S698"/>
        <s v="S699"/>
        <s v="S700"/>
        <s v="S701"/>
        <s v="S702"/>
        <s v="S703"/>
        <s v="S704"/>
        <s v="S705"/>
        <s v="S706"/>
        <s v="S707"/>
        <s v="S708"/>
        <s v="S709"/>
        <s v="S710"/>
        <s v="S711"/>
        <s v="S712"/>
        <s v="S713"/>
        <s v="S714"/>
        <s v="S715"/>
        <s v="S716"/>
        <s v="S717"/>
        <s v="S718"/>
        <s v="S719"/>
        <s v="S720"/>
        <s v="S721"/>
        <s v="S722"/>
        <s v="S723"/>
        <s v="S724"/>
        <s v="S725"/>
        <s v="S726"/>
        <s v="S727"/>
        <s v="S728"/>
        <s v="S729"/>
        <s v="S730"/>
        <s v="S731"/>
        <s v="S732"/>
        <s v="S733"/>
        <s v="S734"/>
        <s v="S735"/>
        <s v="S736"/>
        <s v="S737"/>
        <s v="S738"/>
        <s v="S739"/>
        <s v="S740"/>
        <s v="S741"/>
        <s v="S742"/>
        <s v="S743"/>
        <s v="S744"/>
        <s v="S745"/>
        <s v="S746"/>
        <s v="S747"/>
        <s v="S748"/>
        <s v="S749"/>
        <s v="S750"/>
        <s v="S751"/>
        <s v="S752"/>
        <s v="S753"/>
        <s v="S754"/>
        <s v="S755"/>
        <s v="S756"/>
        <s v="S757"/>
        <s v="S758"/>
        <s v="S759"/>
        <s v="S760"/>
        <s v="S761"/>
        <s v="S762"/>
        <s v="S763"/>
        <s v="S764"/>
        <s v="S765"/>
        <s v="S766"/>
        <s v="S767"/>
        <s v="S768"/>
        <s v="S769"/>
        <s v="S770"/>
        <s v="S771"/>
        <s v="S772"/>
        <s v="S773"/>
        <s v="S774"/>
        <s v="S775"/>
        <s v="S776"/>
        <s v="S777"/>
        <s v="S778"/>
        <s v="S779"/>
        <s v="S780"/>
        <s v="S781"/>
        <s v="S782"/>
        <s v="S783"/>
        <s v="S784"/>
        <s v="S785"/>
        <s v="S786"/>
        <s v="S787"/>
        <s v="S788"/>
        <s v="S789"/>
        <s v="S790"/>
        <s v="S791"/>
        <s v="S792"/>
        <s v="S793"/>
        <s v="S794"/>
        <s v="S795"/>
        <s v="S796"/>
        <s v="S797"/>
        <s v="S798"/>
        <s v="S799"/>
        <s v="S800"/>
        <s v="S801"/>
        <s v="S802"/>
        <s v="S803"/>
        <s v="S804"/>
        <s v="S805"/>
        <s v="S806"/>
        <s v="S807"/>
        <s v="S808"/>
        <s v="S809"/>
        <s v="S810"/>
        <s v="S811"/>
        <s v="S812"/>
        <s v="S813"/>
        <s v="S814"/>
        <s v="S815"/>
        <s v="S816"/>
        <s v="S817"/>
        <s v="S818"/>
        <s v="S819"/>
        <s v="S820"/>
        <s v="S821"/>
        <s v="S822"/>
        <s v="S823"/>
        <s v="S824"/>
        <s v="S825"/>
        <s v="S826"/>
        <s v="S827"/>
        <s v="S828"/>
        <s v="S829"/>
        <s v="S830"/>
        <s v="S831"/>
        <s v="S832"/>
        <s v="S833"/>
        <s v="S834"/>
        <s v="S835"/>
        <s v="S836"/>
        <s v="S837"/>
        <s v="S838"/>
        <s v="S839"/>
        <s v="S840"/>
        <s v="S841"/>
        <s v="S842"/>
        <s v="S843"/>
        <s v="S844"/>
        <s v="S845"/>
        <s v="S846"/>
        <s v="S847"/>
        <s v="S848"/>
        <s v="S849"/>
        <s v="S850"/>
        <s v="S851"/>
        <s v="S852"/>
        <s v="S853"/>
        <s v="S854"/>
        <s v="S855"/>
        <s v="S856"/>
        <s v="S857"/>
        <s v="S858"/>
        <s v="S859"/>
        <s v="S860"/>
        <s v="S861"/>
        <s v="S862"/>
        <s v="S863"/>
        <s v="S864"/>
        <s v="S865"/>
        <s v="S866"/>
        <s v="S867"/>
        <s v="S868"/>
        <s v="S869"/>
        <s v="S870"/>
        <s v="S871"/>
        <s v="S872"/>
        <s v="S873"/>
        <s v="S874"/>
        <s v="S875"/>
        <s v="S876"/>
        <s v="S877"/>
        <s v="S878"/>
        <s v="S879"/>
        <s v="S880"/>
        <s v="S881"/>
        <s v="S882"/>
        <s v="S883"/>
        <s v="S884"/>
        <s v="S885"/>
        <s v="S886"/>
        <s v="S887"/>
        <s v="S888"/>
        <s v="S889"/>
        <s v="S890"/>
        <s v="S891"/>
        <s v="S892"/>
        <s v="S893"/>
        <s v="S894"/>
        <s v="S895"/>
        <s v="S896"/>
        <s v="S897"/>
        <s v="S898"/>
        <s v="S899"/>
        <s v="S900"/>
        <s v="S901"/>
        <s v="S902"/>
        <s v="S903"/>
        <s v="S904"/>
        <s v="S905"/>
        <s v="S906"/>
        <s v="S907"/>
        <s v="S908"/>
        <s v="S909"/>
        <s v="S910"/>
        <s v="S911"/>
        <s v="S912"/>
        <s v="S913"/>
        <s v="S914"/>
        <s v="S915"/>
        <s v="S916"/>
        <s v="S917"/>
        <s v="S918"/>
        <s v="S919"/>
        <s v="S920"/>
        <s v="S921"/>
        <s v="S922"/>
        <s v="S923"/>
        <s v="S924"/>
        <s v="S925"/>
        <s v="S926"/>
        <s v="S927"/>
        <s v="S928"/>
        <s v="S929"/>
        <s v="S930"/>
        <s v="S931"/>
        <s v="S932"/>
        <s v="S933"/>
        <s v="S934"/>
        <s v="S935"/>
        <s v="S936"/>
        <s v="S937"/>
        <s v="S938"/>
        <s v="S939"/>
        <s v="S940"/>
        <s v="S941"/>
        <s v="S942"/>
        <s v="S943"/>
        <s v="S944"/>
        <s v="S945"/>
        <s v="S946"/>
        <s v="S947"/>
        <s v="S948"/>
        <s v="S949"/>
        <s v="S950"/>
        <s v="S951"/>
        <s v="S952"/>
        <s v="S953"/>
        <s v="S954"/>
        <s v="S955"/>
        <s v="S956"/>
        <s v="S957"/>
        <s v="S958"/>
        <s v="S959"/>
        <s v="S960"/>
        <s v="S961"/>
        <s v="S962"/>
        <s v="S963"/>
        <s v="S964"/>
        <s v="S965"/>
        <s v="S966"/>
        <s v="S967"/>
        <s v="S968"/>
        <s v="S969"/>
        <s v="S970"/>
        <s v="S971"/>
        <s v="S972"/>
        <s v="S973"/>
        <s v="S974"/>
        <s v="S975"/>
        <s v="S976"/>
        <s v="S977"/>
        <s v="S978"/>
        <s v="S979"/>
        <s v="S980"/>
        <s v="S981"/>
        <s v="S982"/>
        <s v="S983"/>
        <s v="S984"/>
        <s v="S985"/>
        <s v="S986"/>
        <s v="S987"/>
        <s v="S988"/>
        <s v="S989"/>
        <s v="S990"/>
        <s v="S991"/>
        <s v="S992"/>
        <s v="S993"/>
        <s v="S994"/>
        <s v="S995"/>
        <s v="S996"/>
        <s v="S997"/>
        <s v="S998"/>
        <s v="S999"/>
        <s v="S1000"/>
      </sharedItems>
    </cacheField>
    <cacheField name="Date" numFmtId="175">
      <sharedItems containsSemiMixedTypes="0" containsNonDate="0" containsDate="1" containsString="0" minDate="2025-01-03T00:00:00" maxDate="2026-01-01T00:00:00" count="342">
        <d v="2025-11-24T00:00:00"/>
        <d v="2025-03-13T00:00:00"/>
        <d v="2025-08-05T00:00:00"/>
        <d v="2025-11-05T00:00:00"/>
        <d v="2025-10-07T00:00:00"/>
        <d v="2025-03-23T00:00:00"/>
        <d v="2025-02-22T00:00:00"/>
        <d v="2025-11-06T00:00:00"/>
        <d v="2025-07-13T00:00:00"/>
        <d v="2025-10-23T00:00:00"/>
        <d v="2025-05-29T00:00:00"/>
        <d v="2025-11-22T00:00:00"/>
        <d v="2025-05-17T00:00:00"/>
        <d v="2025-05-06T00:00:00"/>
        <d v="2025-10-13T00:00:00"/>
        <d v="2025-06-11T00:00:00"/>
        <d v="2025-03-15T00:00:00"/>
        <d v="2025-05-15T00:00:00"/>
        <d v="2025-03-12T00:00:00"/>
        <d v="2025-03-20T00:00:00"/>
        <d v="2025-07-15T00:00:00"/>
        <d v="2025-12-15T00:00:00"/>
        <d v="2025-06-24T00:00:00"/>
        <d v="2025-06-02T00:00:00"/>
        <d v="2025-10-04T00:00:00"/>
        <d v="2025-02-27T00:00:00"/>
        <d v="2025-02-10T00:00:00"/>
        <d v="2025-03-06T00:00:00"/>
        <d v="2025-09-28T00:00:00"/>
        <d v="2025-12-20T00:00:00"/>
        <d v="2025-07-11T00:00:00"/>
        <d v="2025-02-02T00:00:00"/>
        <d v="2025-04-23T00:00:00"/>
        <d v="2025-02-04T00:00:00"/>
        <d v="2025-12-09T00:00:00"/>
        <d v="2025-02-19T00:00:00"/>
        <d v="2025-01-28T00:00:00"/>
        <d v="2025-05-08T00:00:00"/>
        <d v="2025-04-04T00:00:00"/>
        <d v="2025-02-20T00:00:00"/>
        <d v="2025-03-27T00:00:00"/>
        <d v="2025-01-31T00:00:00"/>
        <d v="2025-05-27T00:00:00"/>
        <d v="2025-09-07T00:00:00"/>
        <d v="2025-10-05T00:00:00"/>
        <d v="2025-09-02T00:00:00"/>
        <d v="2025-04-06T00:00:00"/>
        <d v="2025-07-26T00:00:00"/>
        <d v="2025-11-14T00:00:00"/>
        <d v="2025-05-16T00:00:00"/>
        <d v="2025-02-07T00:00:00"/>
        <d v="2025-02-05T00:00:00"/>
        <d v="2025-12-27T00:00:00"/>
        <d v="2025-10-11T00:00:00"/>
        <d v="2025-02-24T00:00:00"/>
        <d v="2025-06-25T00:00:00"/>
        <d v="2025-05-09T00:00:00"/>
        <d v="2025-01-23T00:00:00"/>
        <d v="2025-08-15T00:00:00"/>
        <d v="2025-02-08T00:00:00"/>
        <d v="2025-03-17T00:00:00"/>
        <d v="2025-07-03T00:00:00"/>
        <d v="2025-10-14T00:00:00"/>
        <d v="2025-04-01T00:00:00"/>
        <d v="2025-01-20T00:00:00"/>
        <d v="2025-04-27T00:00:00"/>
        <d v="2025-05-23T00:00:00"/>
        <d v="2025-12-14T00:00:00"/>
        <d v="2025-10-25T00:00:00"/>
        <d v="2025-06-10T00:00:00"/>
        <d v="2025-04-08T00:00:00"/>
        <d v="2025-10-03T00:00:00"/>
        <d v="2025-11-16T00:00:00"/>
        <d v="2025-06-08T00:00:00"/>
        <d v="2025-03-07T00:00:00"/>
        <d v="2025-03-31T00:00:00"/>
        <d v="2025-06-05T00:00:00"/>
        <d v="2025-06-14T00:00:00"/>
        <d v="2025-08-31T00:00:00"/>
        <d v="2025-11-21T00:00:00"/>
        <d v="2025-04-26T00:00:00"/>
        <d v="2025-11-09T00:00:00"/>
        <d v="2025-12-23T00:00:00"/>
        <d v="2025-12-19T00:00:00"/>
        <d v="2025-09-23T00:00:00"/>
        <d v="2025-08-22T00:00:00"/>
        <d v="2025-06-12T00:00:00"/>
        <d v="2025-08-17T00:00:00"/>
        <d v="2025-11-23T00:00:00"/>
        <d v="2025-08-14T00:00:00"/>
        <d v="2025-06-13T00:00:00"/>
        <d v="2025-12-22T00:00:00"/>
        <d v="2025-06-19T00:00:00"/>
        <d v="2025-07-19T00:00:00"/>
        <d v="2025-01-04T00:00:00"/>
        <d v="2025-09-06T00:00:00"/>
        <d v="2025-03-26T00:00:00"/>
        <d v="2025-10-31T00:00:00"/>
        <d v="2025-03-11T00:00:00"/>
        <d v="2025-04-19T00:00:00"/>
        <d v="2025-05-10T00:00:00"/>
        <d v="2025-06-29T00:00:00"/>
        <d v="2025-05-07T00:00:00"/>
        <d v="2025-07-08T00:00:00"/>
        <d v="2025-03-25T00:00:00"/>
        <d v="2025-12-13T00:00:00"/>
        <d v="2025-11-04T00:00:00"/>
        <d v="2025-12-05T00:00:00"/>
        <d v="2025-08-04T00:00:00"/>
        <d v="2025-12-29T00:00:00"/>
        <d v="2025-05-19T00:00:00"/>
        <d v="2025-05-05T00:00:00"/>
        <d v="2025-01-15T00:00:00"/>
        <d v="2025-05-13T00:00:00"/>
        <d v="2025-01-06T00:00:00"/>
        <d v="2025-09-08T00:00:00"/>
        <d v="2025-09-09T00:00:00"/>
        <d v="2025-12-21T00:00:00"/>
        <d v="2025-06-30T00:00:00"/>
        <d v="2025-04-09T00:00:00"/>
        <d v="2025-04-05T00:00:00"/>
        <d v="2025-10-29T00:00:00"/>
        <d v="2025-06-01T00:00:00"/>
        <d v="2025-10-01T00:00:00"/>
        <d v="2025-12-24T00:00:00"/>
        <d v="2025-10-21T00:00:00"/>
        <d v="2025-01-27T00:00:00"/>
        <d v="2025-10-16T00:00:00"/>
        <d v="2025-11-07T00:00:00"/>
        <d v="2025-03-22T00:00:00"/>
        <d v="2025-05-30T00:00:00"/>
        <d v="2025-08-21T00:00:00"/>
        <d v="2025-03-18T00:00:00"/>
        <d v="2025-11-01T00:00:00"/>
        <d v="2025-02-11T00:00:00"/>
        <d v="2025-10-28T00:00:00"/>
        <d v="2025-08-29T00:00:00"/>
        <d v="2025-08-12T00:00:00"/>
        <d v="2025-05-28T00:00:00"/>
        <d v="2025-12-03T00:00:00"/>
        <d v="2025-07-05T00:00:00"/>
        <d v="2025-04-15T00:00:00"/>
        <d v="2025-12-30T00:00:00"/>
        <d v="2025-02-17T00:00:00"/>
        <d v="2025-09-13T00:00:00"/>
        <d v="2025-08-30T00:00:00"/>
        <d v="2025-11-03T00:00:00"/>
        <d v="2025-09-05T00:00:00"/>
        <d v="2025-07-30T00:00:00"/>
        <d v="2025-07-17T00:00:00"/>
        <d v="2025-06-23T00:00:00"/>
        <d v="2025-12-12T00:00:00"/>
        <d v="2025-01-24T00:00:00"/>
        <d v="2025-03-16T00:00:00"/>
        <d v="2025-03-29T00:00:00"/>
        <d v="2025-05-04T00:00:00"/>
        <d v="2025-05-11T00:00:00"/>
        <d v="2025-06-03T00:00:00"/>
        <d v="2025-04-12T00:00:00"/>
        <d v="2025-07-22T00:00:00"/>
        <d v="2025-01-26T00:00:00"/>
        <d v="2025-02-16T00:00:00"/>
        <d v="2025-03-09T00:00:00"/>
        <d v="2025-05-12T00:00:00"/>
        <d v="2025-08-28T00:00:00"/>
        <d v="2025-07-23T00:00:00"/>
        <d v="2025-10-02T00:00:00"/>
        <d v="2025-04-30T00:00:00"/>
        <d v="2025-04-24T00:00:00"/>
        <d v="2025-07-29T00:00:00"/>
        <d v="2025-03-01T00:00:00"/>
        <d v="2025-07-09T00:00:00"/>
        <d v="2025-08-01T00:00:00"/>
        <d v="2025-05-22T00:00:00"/>
        <d v="2025-11-25T00:00:00"/>
        <d v="2025-10-17T00:00:00"/>
        <d v="2025-03-08T00:00:00"/>
        <d v="2025-02-28T00:00:00"/>
        <d v="2025-02-25T00:00:00"/>
        <d v="2025-12-04T00:00:00"/>
        <d v="2025-09-03T00:00:00"/>
        <d v="2025-08-16T00:00:00"/>
        <d v="2025-06-16T00:00:00"/>
        <d v="2025-11-30T00:00:00"/>
        <d v="2025-07-31T00:00:00"/>
        <d v="2025-12-18T00:00:00"/>
        <d v="2025-10-15T00:00:00"/>
        <d v="2025-11-26T00:00:00"/>
        <d v="2025-07-25T00:00:00"/>
        <d v="2025-09-29T00:00:00"/>
        <d v="2025-05-20T00:00:00"/>
        <d v="2025-02-26T00:00:00"/>
        <d v="2025-12-08T00:00:00"/>
        <d v="2025-01-10T00:00:00"/>
        <d v="2025-07-27T00:00:00"/>
        <d v="2025-02-09T00:00:00"/>
        <d v="2025-06-28T00:00:00"/>
        <d v="2025-10-24T00:00:00"/>
        <d v="2025-06-15T00:00:00"/>
        <d v="2025-11-20T00:00:00"/>
        <d v="2025-07-16T00:00:00"/>
        <d v="2025-10-20T00:00:00"/>
        <d v="2025-02-01T00:00:00"/>
        <d v="2025-11-27T00:00:00"/>
        <d v="2025-09-26T00:00:00"/>
        <d v="2025-07-18T00:00:00"/>
        <d v="2025-11-28T00:00:00"/>
        <d v="2025-06-20T00:00:00"/>
        <d v="2025-12-02T00:00:00"/>
        <d v="2025-12-17T00:00:00"/>
        <d v="2025-02-21T00:00:00"/>
        <d v="2025-06-22T00:00:00"/>
        <d v="2025-04-03T00:00:00"/>
        <d v="2025-07-06T00:00:00"/>
        <d v="2025-08-18T00:00:00"/>
        <d v="2025-04-10T00:00:00"/>
        <d v="2025-03-24T00:00:00"/>
        <d v="2025-04-25T00:00:00"/>
        <d v="2025-12-28T00:00:00"/>
        <d v="2025-05-03T00:00:00"/>
        <d v="2025-06-26T00:00:00"/>
        <d v="2025-01-22T00:00:00"/>
        <d v="2025-01-25T00:00:00"/>
        <d v="2025-08-09T00:00:00"/>
        <d v="2025-08-07T00:00:00"/>
        <d v="2025-01-16T00:00:00"/>
        <d v="2025-01-17T00:00:00"/>
        <d v="2025-04-13T00:00:00"/>
        <d v="2025-02-03T00:00:00"/>
        <d v="2025-12-31T00:00:00"/>
        <d v="2025-08-19T00:00:00"/>
        <d v="2025-03-05T00:00:00"/>
        <d v="2025-08-02T00:00:00"/>
        <d v="2025-08-03T00:00:00"/>
        <d v="2025-09-12T00:00:00"/>
        <d v="2025-04-21T00:00:00"/>
        <d v="2025-11-02T00:00:00"/>
        <d v="2025-07-07T00:00:00"/>
        <d v="2025-10-09T00:00:00"/>
        <d v="2025-09-17T00:00:00"/>
        <d v="2025-09-01T00:00:00"/>
        <d v="2025-10-26T00:00:00"/>
        <d v="2025-12-25T00:00:00"/>
        <d v="2025-03-19T00:00:00"/>
        <d v="2025-09-30T00:00:00"/>
        <d v="2025-05-21T00:00:00"/>
        <d v="2025-04-20T00:00:00"/>
        <d v="2025-01-03T00:00:00"/>
        <d v="2025-02-15T00:00:00"/>
        <d v="2025-09-10T00:00:00"/>
        <d v="2025-09-21T00:00:00"/>
        <d v="2025-05-01T00:00:00"/>
        <d v="2025-09-15T00:00:00"/>
        <d v="2025-11-11T00:00:00"/>
        <d v="2025-12-07T00:00:00"/>
        <d v="2025-09-27T00:00:00"/>
        <d v="2025-04-16T00:00:00"/>
        <d v="2025-07-12T00:00:00"/>
        <d v="2025-10-06T00:00:00"/>
        <d v="2025-06-27T00:00:00"/>
        <d v="2025-10-22T00:00:00"/>
        <d v="2025-05-02T00:00:00"/>
        <d v="2025-11-17T00:00:00"/>
        <d v="2025-12-10T00:00:00"/>
        <d v="2025-12-11T00:00:00"/>
        <d v="2025-11-29T00:00:00"/>
        <d v="2025-08-27T00:00:00"/>
        <d v="2025-01-09T00:00:00"/>
        <d v="2025-03-28T00:00:00"/>
        <d v="2025-01-29T00:00:00"/>
        <d v="2025-05-24T00:00:00"/>
        <d v="2025-04-29T00:00:00"/>
        <d v="2025-06-17T00:00:00"/>
        <d v="2025-07-02T00:00:00"/>
        <d v="2025-06-07T00:00:00"/>
        <d v="2025-02-13T00:00:00"/>
        <d v="2025-07-14T00:00:00"/>
        <d v="2025-09-11T00:00:00"/>
        <d v="2025-12-16T00:00:00"/>
        <d v="2025-08-13T00:00:00"/>
        <d v="2025-07-04T00:00:00"/>
        <d v="2025-03-14T00:00:00"/>
        <d v="2025-09-24T00:00:00"/>
        <d v="2025-11-13T00:00:00"/>
        <d v="2025-08-06T00:00:00"/>
        <d v="2025-07-21T00:00:00"/>
        <d v="2025-08-23T00:00:00"/>
        <d v="2025-02-06T00:00:00"/>
        <d v="2025-02-14T00:00:00"/>
        <d v="2025-05-26T00:00:00"/>
        <d v="2025-09-18T00:00:00"/>
        <d v="2025-07-20T00:00:00"/>
        <d v="2025-08-11T00:00:00"/>
        <d v="2025-03-02T00:00:00"/>
        <d v="2025-11-15T00:00:00"/>
        <d v="2025-07-10T00:00:00"/>
        <d v="2025-03-10T00:00:00"/>
        <d v="2025-12-06T00:00:00"/>
        <d v="2025-04-14T00:00:00"/>
        <d v="2025-04-17T00:00:00"/>
        <d v="2025-01-21T00:00:00"/>
        <d v="2025-11-19T00:00:00"/>
        <d v="2025-01-12T00:00:00"/>
        <d v="2025-10-27T00:00:00"/>
        <d v="2025-07-01T00:00:00"/>
        <d v="2025-10-18T00:00:00"/>
        <d v="2025-05-31T00:00:00"/>
        <d v="2025-12-01T00:00:00"/>
        <d v="2025-01-18T00:00:00"/>
        <d v="2025-11-18T00:00:00"/>
        <d v="2025-05-18T00:00:00"/>
        <d v="2025-04-07T00:00:00"/>
        <d v="2025-09-20T00:00:00"/>
        <d v="2025-03-30T00:00:00"/>
        <d v="2025-04-22T00:00:00"/>
        <d v="2025-09-04T00:00:00"/>
        <d v="2025-05-14T00:00:00"/>
        <d v="2025-01-30T00:00:00"/>
        <d v="2025-01-14T00:00:00"/>
        <d v="2025-01-19T00:00:00"/>
        <d v="2025-08-26T00:00:00"/>
        <d v="2025-02-23T00:00:00"/>
        <d v="2025-09-25T00:00:00"/>
        <d v="2025-01-05T00:00:00"/>
        <d v="2025-10-19T00:00:00"/>
        <d v="2025-11-10T00:00:00"/>
        <d v="2025-11-08T00:00:00"/>
        <d v="2025-10-12T00:00:00"/>
        <d v="2025-06-04T00:00:00"/>
        <d v="2025-09-22T00:00:00"/>
        <d v="2025-12-26T00:00:00"/>
        <d v="2025-01-13T00:00:00"/>
        <d v="2025-09-19T00:00:00"/>
        <d v="2025-09-16T00:00:00"/>
        <d v="2025-03-21T00:00:00"/>
        <d v="2025-04-28T00:00:00"/>
        <d v="2025-03-03T00:00:00"/>
        <d v="2025-08-20T00:00:00"/>
        <d v="2025-05-25T00:00:00"/>
        <d v="2025-10-10T00:00:00"/>
        <d v="2025-02-18T00:00:00"/>
        <d v="2025-06-06T00:00:00"/>
      </sharedItems>
      <fieldGroup base="1">
        <rangePr groupBy="months" startDate="2025-01-03T00:00:00" endDate="2026-01-01T00:00:00"/>
        <groupItems count="14">
          <s v="&lt;03/01/2025"/>
          <s v="Jan"/>
          <s v="Feb"/>
          <s v="Mar"/>
          <s v="Apr"/>
          <s v="Mei"/>
          <s v="Jun"/>
          <s v="Jul"/>
          <s v="Agu"/>
          <s v="Sep"/>
          <s v="Okt"/>
          <s v="Nov"/>
          <s v="Des"/>
          <s v="&gt;01/01/2026"/>
        </groupItems>
      </fieldGroup>
    </cacheField>
    <cacheField name="Brand" numFmtId="0">
      <sharedItems count="6">
        <s v="Nike"/>
        <s v="Skechers"/>
        <s v="New Balance"/>
        <s v="Adidas"/>
        <s v="Puma"/>
        <s v="Reebok"/>
      </sharedItems>
    </cacheField>
    <cacheField name="Shoe_Type" numFmtId="0">
      <sharedItems count="6">
        <s v="Boots"/>
        <s v="Running"/>
        <s v="Casual"/>
        <s v="Formal"/>
        <s v="Sports"/>
        <s v="Sneakers"/>
      </sharedItems>
    </cacheField>
    <cacheField name="Color" numFmtId="0">
      <sharedItems count="6">
        <s v="Blue"/>
        <s v="Grey"/>
        <s v="White"/>
        <s v="Green"/>
        <s v="Red"/>
        <s v="Black"/>
      </sharedItems>
    </cacheField>
    <cacheField name="Country" numFmtId="0">
      <sharedItems count="7">
        <s v="UK"/>
        <s v="USA"/>
        <s v="UAE"/>
        <s v="France"/>
        <s v="Saudi Arabia"/>
        <s v="India"/>
        <s v="Germany"/>
      </sharedItems>
    </cacheField>
    <cacheField name="Sales_Channel" numFmtId="0">
      <sharedItems count="3">
        <s v="Online"/>
        <s v="Mall"/>
        <s v="Retail Store"/>
      </sharedItems>
    </cacheField>
    <cacheField name="Price_USD" numFmtId="2">
      <sharedItems containsSemiMixedTypes="0" containsString="0" containsNumber="1" minValue="31.02" maxValue="249.94"/>
    </cacheField>
    <cacheField name="Units_Sold" numFmtId="0">
      <sharedItems containsSemiMixedTypes="0" containsString="0" containsNumber="1" containsInteger="1" minValue="1" maxValue="20" count="20">
        <n v="4"/>
        <n v="2"/>
        <n v="1"/>
        <n v="14"/>
        <n v="3"/>
        <n v="9"/>
        <n v="7"/>
        <n v="12"/>
        <n v="6"/>
        <n v="8"/>
        <n v="13"/>
        <n v="19"/>
        <n v="17"/>
        <n v="20"/>
        <n v="5"/>
        <n v="15"/>
        <n v="11"/>
        <n v="16"/>
        <n v="18"/>
        <n v="10"/>
      </sharedItems>
    </cacheField>
    <cacheField name="Revenue_USD" numFmtId="2">
      <sharedItems containsSemiMixedTypes="0" containsString="0" containsNumber="1" minValue="32.380000000000003" maxValue="4938.3999999999996"/>
    </cacheField>
    <cacheField name="AVG_Rev_Sold" numFmtId="0" formula="SUM(Revenue_USD)/COUNTA(Shoe_Type)" databaseField="0"/>
    <cacheField name="AVG per Product" numFmtId="0" formula="SUM(Revenue_USD)/SUM(Units_Sold)" databaseField="0"/>
    <cacheField name="AVG Monthly Revenue" numFmtId="0" formula="SUM(Revenue_USD)/12" databaseField="0"/>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6">
  <r>
    <x v="0"/>
    <x v="0"/>
    <x v="0"/>
    <x v="0"/>
    <x v="0"/>
    <x v="0"/>
    <x v="0"/>
    <n v="112.4"/>
    <x v="0"/>
    <n v="449.6"/>
  </r>
  <r>
    <x v="1"/>
    <x v="1"/>
    <x v="1"/>
    <x v="0"/>
    <x v="1"/>
    <x v="1"/>
    <x v="1"/>
    <n v="239.16"/>
    <x v="0"/>
    <n v="956.64"/>
  </r>
  <r>
    <x v="2"/>
    <x v="2"/>
    <x v="0"/>
    <x v="1"/>
    <x v="2"/>
    <x v="0"/>
    <x v="1"/>
    <n v="191.04"/>
    <x v="1"/>
    <n v="382.08"/>
  </r>
  <r>
    <x v="3"/>
    <x v="3"/>
    <x v="2"/>
    <x v="2"/>
    <x v="3"/>
    <x v="2"/>
    <x v="1"/>
    <n v="161.69999999999999"/>
    <x v="2"/>
    <n v="161.69999999999999"/>
  </r>
  <r>
    <x v="4"/>
    <x v="4"/>
    <x v="3"/>
    <x v="3"/>
    <x v="1"/>
    <x v="3"/>
    <x v="0"/>
    <n v="64.319999999999993"/>
    <x v="3"/>
    <n v="900.48"/>
  </r>
  <r>
    <x v="5"/>
    <x v="5"/>
    <x v="4"/>
    <x v="4"/>
    <x v="2"/>
    <x v="0"/>
    <x v="2"/>
    <n v="64.319999999999993"/>
    <x v="3"/>
    <n v="900.48"/>
  </r>
  <r>
    <x v="6"/>
    <x v="6"/>
    <x v="5"/>
    <x v="1"/>
    <x v="0"/>
    <x v="4"/>
    <x v="2"/>
    <n v="42.78"/>
    <x v="4"/>
    <n v="128.34"/>
  </r>
  <r>
    <x v="7"/>
    <x v="7"/>
    <x v="0"/>
    <x v="0"/>
    <x v="4"/>
    <x v="5"/>
    <x v="0"/>
    <n v="220.56"/>
    <x v="5"/>
    <n v="1985.04"/>
  </r>
  <r>
    <x v="8"/>
    <x v="8"/>
    <x v="2"/>
    <x v="4"/>
    <x v="3"/>
    <x v="5"/>
    <x v="2"/>
    <n v="162.25"/>
    <x v="4"/>
    <n v="486.75"/>
  </r>
  <r>
    <x v="9"/>
    <x v="9"/>
    <x v="1"/>
    <x v="1"/>
    <x v="5"/>
    <x v="2"/>
    <x v="0"/>
    <n v="185.78"/>
    <x v="6"/>
    <n v="1300.46"/>
  </r>
  <r>
    <x v="10"/>
    <x v="10"/>
    <x v="3"/>
    <x v="1"/>
    <x v="4"/>
    <x v="3"/>
    <x v="2"/>
    <n v="34.53"/>
    <x v="4"/>
    <n v="103.59"/>
  </r>
  <r>
    <x v="11"/>
    <x v="11"/>
    <x v="3"/>
    <x v="4"/>
    <x v="0"/>
    <x v="0"/>
    <x v="1"/>
    <n v="243.38"/>
    <x v="7"/>
    <n v="2920.56"/>
  </r>
  <r>
    <x v="12"/>
    <x v="12"/>
    <x v="2"/>
    <x v="0"/>
    <x v="2"/>
    <x v="5"/>
    <x v="1"/>
    <n v="213.14"/>
    <x v="4"/>
    <n v="639.41999999999996"/>
  </r>
  <r>
    <x v="13"/>
    <x v="13"/>
    <x v="5"/>
    <x v="3"/>
    <x v="0"/>
    <x v="2"/>
    <x v="1"/>
    <n v="76.709999999999994"/>
    <x v="8"/>
    <n v="460.26"/>
  </r>
  <r>
    <x v="14"/>
    <x v="14"/>
    <x v="1"/>
    <x v="4"/>
    <x v="5"/>
    <x v="0"/>
    <x v="0"/>
    <n v="70"/>
    <x v="9"/>
    <n v="560"/>
  </r>
  <r>
    <x v="15"/>
    <x v="15"/>
    <x v="4"/>
    <x v="1"/>
    <x v="2"/>
    <x v="5"/>
    <x v="1"/>
    <n v="70.349999999999994"/>
    <x v="10"/>
    <n v="914.55"/>
  </r>
  <r>
    <x v="16"/>
    <x v="15"/>
    <x v="1"/>
    <x v="3"/>
    <x v="4"/>
    <x v="2"/>
    <x v="2"/>
    <n v="96.93"/>
    <x v="6"/>
    <n v="678.51"/>
  </r>
  <r>
    <x v="17"/>
    <x v="16"/>
    <x v="3"/>
    <x v="2"/>
    <x v="3"/>
    <x v="5"/>
    <x v="1"/>
    <n v="145.44999999999999"/>
    <x v="5"/>
    <n v="1309.05"/>
  </r>
  <r>
    <x v="18"/>
    <x v="17"/>
    <x v="5"/>
    <x v="5"/>
    <x v="4"/>
    <x v="3"/>
    <x v="0"/>
    <n v="125.03"/>
    <x v="11"/>
    <n v="2375.5700000000002"/>
  </r>
  <r>
    <x v="19"/>
    <x v="18"/>
    <x v="5"/>
    <x v="1"/>
    <x v="5"/>
    <x v="4"/>
    <x v="0"/>
    <n v="94.07"/>
    <x v="12"/>
    <n v="1599.19"/>
  </r>
  <r>
    <x v="20"/>
    <x v="19"/>
    <x v="1"/>
    <x v="3"/>
    <x v="1"/>
    <x v="1"/>
    <x v="2"/>
    <n v="164.61"/>
    <x v="8"/>
    <n v="987.66"/>
  </r>
  <r>
    <x v="21"/>
    <x v="20"/>
    <x v="5"/>
    <x v="5"/>
    <x v="0"/>
    <x v="5"/>
    <x v="0"/>
    <n v="60.69"/>
    <x v="13"/>
    <n v="1213.8"/>
  </r>
  <r>
    <x v="22"/>
    <x v="21"/>
    <x v="1"/>
    <x v="5"/>
    <x v="0"/>
    <x v="4"/>
    <x v="1"/>
    <n v="94.27"/>
    <x v="0"/>
    <n v="377.08"/>
  </r>
  <r>
    <x v="23"/>
    <x v="22"/>
    <x v="4"/>
    <x v="3"/>
    <x v="2"/>
    <x v="6"/>
    <x v="0"/>
    <n v="110.6"/>
    <x v="0"/>
    <n v="442.4"/>
  </r>
  <r>
    <x v="24"/>
    <x v="17"/>
    <x v="3"/>
    <x v="5"/>
    <x v="5"/>
    <x v="4"/>
    <x v="1"/>
    <n v="130.34"/>
    <x v="12"/>
    <n v="2215.7800000000002"/>
  </r>
  <r>
    <x v="25"/>
    <x v="23"/>
    <x v="2"/>
    <x v="2"/>
    <x v="2"/>
    <x v="3"/>
    <x v="0"/>
    <n v="202.74"/>
    <x v="12"/>
    <n v="3446.58"/>
  </r>
  <r>
    <x v="26"/>
    <x v="24"/>
    <x v="0"/>
    <x v="5"/>
    <x v="0"/>
    <x v="6"/>
    <x v="0"/>
    <n v="73.930000000000007"/>
    <x v="12"/>
    <n v="1256.81"/>
  </r>
  <r>
    <x v="27"/>
    <x v="25"/>
    <x v="4"/>
    <x v="2"/>
    <x v="5"/>
    <x v="0"/>
    <x v="1"/>
    <n v="143.13"/>
    <x v="7"/>
    <n v="1717.56"/>
  </r>
  <r>
    <x v="28"/>
    <x v="26"/>
    <x v="1"/>
    <x v="3"/>
    <x v="5"/>
    <x v="4"/>
    <x v="1"/>
    <n v="160.33000000000001"/>
    <x v="4"/>
    <n v="480.99"/>
  </r>
  <r>
    <x v="29"/>
    <x v="27"/>
    <x v="1"/>
    <x v="3"/>
    <x v="1"/>
    <x v="0"/>
    <x v="2"/>
    <n v="40.22"/>
    <x v="14"/>
    <n v="201.1"/>
  </r>
  <r>
    <x v="30"/>
    <x v="28"/>
    <x v="5"/>
    <x v="2"/>
    <x v="1"/>
    <x v="4"/>
    <x v="1"/>
    <n v="163.66"/>
    <x v="13"/>
    <n v="3273.2"/>
  </r>
  <r>
    <x v="31"/>
    <x v="29"/>
    <x v="1"/>
    <x v="4"/>
    <x v="4"/>
    <x v="2"/>
    <x v="1"/>
    <n v="67.52"/>
    <x v="6"/>
    <n v="472.64"/>
  </r>
  <r>
    <x v="32"/>
    <x v="30"/>
    <x v="2"/>
    <x v="3"/>
    <x v="5"/>
    <x v="0"/>
    <x v="0"/>
    <n v="44.31"/>
    <x v="15"/>
    <n v="664.65"/>
  </r>
  <r>
    <x v="33"/>
    <x v="31"/>
    <x v="0"/>
    <x v="5"/>
    <x v="1"/>
    <x v="0"/>
    <x v="1"/>
    <n v="238.75"/>
    <x v="16"/>
    <n v="2626.25"/>
  </r>
  <r>
    <x v="34"/>
    <x v="32"/>
    <x v="0"/>
    <x v="0"/>
    <x v="3"/>
    <x v="1"/>
    <x v="0"/>
    <n v="242.44"/>
    <x v="2"/>
    <n v="242.44"/>
  </r>
  <r>
    <x v="35"/>
    <x v="33"/>
    <x v="4"/>
    <x v="1"/>
    <x v="1"/>
    <x v="0"/>
    <x v="2"/>
    <n v="207.85"/>
    <x v="1"/>
    <n v="415.7"/>
  </r>
  <r>
    <x v="36"/>
    <x v="34"/>
    <x v="3"/>
    <x v="5"/>
    <x v="2"/>
    <x v="2"/>
    <x v="1"/>
    <n v="97.02"/>
    <x v="17"/>
    <n v="1552.32"/>
  </r>
  <r>
    <x v="37"/>
    <x v="9"/>
    <x v="3"/>
    <x v="3"/>
    <x v="4"/>
    <x v="0"/>
    <x v="0"/>
    <n v="51.49"/>
    <x v="17"/>
    <n v="823.84"/>
  </r>
  <r>
    <x v="38"/>
    <x v="35"/>
    <x v="4"/>
    <x v="3"/>
    <x v="4"/>
    <x v="6"/>
    <x v="1"/>
    <n v="180.53"/>
    <x v="3"/>
    <n v="2527.42"/>
  </r>
  <r>
    <x v="39"/>
    <x v="36"/>
    <x v="0"/>
    <x v="3"/>
    <x v="3"/>
    <x v="3"/>
    <x v="0"/>
    <n v="126.83"/>
    <x v="0"/>
    <n v="507.32"/>
  </r>
  <r>
    <x v="40"/>
    <x v="37"/>
    <x v="3"/>
    <x v="5"/>
    <x v="4"/>
    <x v="0"/>
    <x v="2"/>
    <n v="56.85"/>
    <x v="6"/>
    <n v="397.95"/>
  </r>
  <r>
    <x v="41"/>
    <x v="38"/>
    <x v="5"/>
    <x v="2"/>
    <x v="5"/>
    <x v="6"/>
    <x v="1"/>
    <n v="138.94"/>
    <x v="5"/>
    <n v="1250.46"/>
  </r>
  <r>
    <x v="42"/>
    <x v="39"/>
    <x v="1"/>
    <x v="5"/>
    <x v="5"/>
    <x v="1"/>
    <x v="0"/>
    <n v="37.57"/>
    <x v="1"/>
    <n v="75.14"/>
  </r>
  <r>
    <x v="43"/>
    <x v="40"/>
    <x v="5"/>
    <x v="3"/>
    <x v="2"/>
    <x v="4"/>
    <x v="2"/>
    <n v="230.05"/>
    <x v="3"/>
    <n v="3220.7"/>
  </r>
  <r>
    <x v="44"/>
    <x v="41"/>
    <x v="5"/>
    <x v="1"/>
    <x v="4"/>
    <x v="3"/>
    <x v="2"/>
    <n v="86.93"/>
    <x v="8"/>
    <n v="521.58000000000004"/>
  </r>
  <r>
    <x v="45"/>
    <x v="42"/>
    <x v="1"/>
    <x v="0"/>
    <x v="1"/>
    <x v="2"/>
    <x v="1"/>
    <n v="175.75"/>
    <x v="3"/>
    <n v="2460.5"/>
  </r>
  <r>
    <x v="46"/>
    <x v="43"/>
    <x v="3"/>
    <x v="4"/>
    <x v="2"/>
    <x v="1"/>
    <x v="1"/>
    <n v="98.58"/>
    <x v="14"/>
    <n v="492.9"/>
  </r>
  <r>
    <x v="47"/>
    <x v="44"/>
    <x v="1"/>
    <x v="4"/>
    <x v="5"/>
    <x v="1"/>
    <x v="1"/>
    <n v="144.41"/>
    <x v="1"/>
    <n v="288.82"/>
  </r>
  <r>
    <x v="48"/>
    <x v="45"/>
    <x v="2"/>
    <x v="2"/>
    <x v="5"/>
    <x v="5"/>
    <x v="0"/>
    <n v="150.28"/>
    <x v="12"/>
    <n v="2554.7600000000002"/>
  </r>
  <r>
    <x v="49"/>
    <x v="46"/>
    <x v="2"/>
    <x v="1"/>
    <x v="3"/>
    <x v="4"/>
    <x v="0"/>
    <n v="70.67"/>
    <x v="4"/>
    <n v="212.01"/>
  </r>
  <r>
    <x v="50"/>
    <x v="47"/>
    <x v="2"/>
    <x v="2"/>
    <x v="1"/>
    <x v="5"/>
    <x v="0"/>
    <n v="243.31"/>
    <x v="0"/>
    <n v="973.24"/>
  </r>
  <r>
    <x v="51"/>
    <x v="48"/>
    <x v="5"/>
    <x v="0"/>
    <x v="1"/>
    <x v="5"/>
    <x v="1"/>
    <n v="200.53"/>
    <x v="4"/>
    <n v="601.59"/>
  </r>
  <r>
    <x v="52"/>
    <x v="15"/>
    <x v="3"/>
    <x v="0"/>
    <x v="3"/>
    <x v="3"/>
    <x v="0"/>
    <n v="236.69"/>
    <x v="5"/>
    <n v="2130.21"/>
  </r>
  <r>
    <x v="53"/>
    <x v="49"/>
    <x v="3"/>
    <x v="0"/>
    <x v="3"/>
    <x v="3"/>
    <x v="2"/>
    <n v="226.86"/>
    <x v="10"/>
    <n v="2949.18"/>
  </r>
  <r>
    <x v="54"/>
    <x v="15"/>
    <x v="0"/>
    <x v="3"/>
    <x v="1"/>
    <x v="5"/>
    <x v="0"/>
    <n v="161.54"/>
    <x v="4"/>
    <n v="484.62"/>
  </r>
  <r>
    <x v="55"/>
    <x v="50"/>
    <x v="3"/>
    <x v="5"/>
    <x v="0"/>
    <x v="0"/>
    <x v="2"/>
    <n v="232.81"/>
    <x v="18"/>
    <n v="4190.58"/>
  </r>
  <r>
    <x v="56"/>
    <x v="51"/>
    <x v="4"/>
    <x v="4"/>
    <x v="2"/>
    <x v="6"/>
    <x v="1"/>
    <n v="49.47"/>
    <x v="9"/>
    <n v="395.76"/>
  </r>
  <r>
    <x v="57"/>
    <x v="52"/>
    <x v="2"/>
    <x v="0"/>
    <x v="1"/>
    <x v="1"/>
    <x v="1"/>
    <n v="73.12"/>
    <x v="19"/>
    <n v="731.2"/>
  </r>
  <r>
    <x v="58"/>
    <x v="53"/>
    <x v="1"/>
    <x v="1"/>
    <x v="2"/>
    <x v="3"/>
    <x v="0"/>
    <n v="39.950000000000003"/>
    <x v="19"/>
    <n v="399.5"/>
  </r>
  <r>
    <x v="59"/>
    <x v="54"/>
    <x v="3"/>
    <x v="4"/>
    <x v="0"/>
    <x v="5"/>
    <x v="0"/>
    <n v="101.57"/>
    <x v="18"/>
    <n v="1828.26"/>
  </r>
  <r>
    <x v="60"/>
    <x v="55"/>
    <x v="1"/>
    <x v="0"/>
    <x v="0"/>
    <x v="5"/>
    <x v="2"/>
    <n v="115.51"/>
    <x v="6"/>
    <n v="808.57"/>
  </r>
  <r>
    <x v="61"/>
    <x v="56"/>
    <x v="0"/>
    <x v="0"/>
    <x v="4"/>
    <x v="4"/>
    <x v="2"/>
    <n v="89.7"/>
    <x v="1"/>
    <n v="179.4"/>
  </r>
  <r>
    <x v="62"/>
    <x v="57"/>
    <x v="4"/>
    <x v="2"/>
    <x v="3"/>
    <x v="3"/>
    <x v="0"/>
    <n v="212.32"/>
    <x v="2"/>
    <n v="212.32"/>
  </r>
  <r>
    <x v="63"/>
    <x v="58"/>
    <x v="1"/>
    <x v="3"/>
    <x v="1"/>
    <x v="1"/>
    <x v="0"/>
    <n v="108.49"/>
    <x v="18"/>
    <n v="1952.82"/>
  </r>
  <r>
    <x v="64"/>
    <x v="59"/>
    <x v="2"/>
    <x v="1"/>
    <x v="0"/>
    <x v="5"/>
    <x v="1"/>
    <n v="91.81"/>
    <x v="14"/>
    <n v="459.05"/>
  </r>
  <r>
    <x v="65"/>
    <x v="60"/>
    <x v="3"/>
    <x v="1"/>
    <x v="0"/>
    <x v="3"/>
    <x v="0"/>
    <n v="149.38999999999999"/>
    <x v="3"/>
    <n v="2091.46"/>
  </r>
  <r>
    <x v="66"/>
    <x v="61"/>
    <x v="1"/>
    <x v="2"/>
    <x v="3"/>
    <x v="1"/>
    <x v="2"/>
    <n v="61"/>
    <x v="6"/>
    <n v="427"/>
  </r>
  <r>
    <x v="67"/>
    <x v="62"/>
    <x v="2"/>
    <x v="0"/>
    <x v="2"/>
    <x v="0"/>
    <x v="0"/>
    <n v="206.48"/>
    <x v="3"/>
    <n v="2890.72"/>
  </r>
  <r>
    <x v="68"/>
    <x v="63"/>
    <x v="0"/>
    <x v="2"/>
    <x v="3"/>
    <x v="3"/>
    <x v="2"/>
    <n v="46.4"/>
    <x v="3"/>
    <n v="649.6"/>
  </r>
  <r>
    <x v="69"/>
    <x v="34"/>
    <x v="4"/>
    <x v="2"/>
    <x v="3"/>
    <x v="1"/>
    <x v="2"/>
    <n v="247.12"/>
    <x v="9"/>
    <n v="1976.96"/>
  </r>
  <r>
    <x v="70"/>
    <x v="64"/>
    <x v="3"/>
    <x v="2"/>
    <x v="4"/>
    <x v="3"/>
    <x v="2"/>
    <n v="199.89"/>
    <x v="17"/>
    <n v="3198.24"/>
  </r>
  <r>
    <x v="71"/>
    <x v="65"/>
    <x v="0"/>
    <x v="0"/>
    <x v="2"/>
    <x v="6"/>
    <x v="2"/>
    <n v="73.72"/>
    <x v="9"/>
    <n v="589.76"/>
  </r>
  <r>
    <x v="72"/>
    <x v="66"/>
    <x v="4"/>
    <x v="4"/>
    <x v="3"/>
    <x v="5"/>
    <x v="2"/>
    <n v="31.21"/>
    <x v="4"/>
    <n v="93.63"/>
  </r>
  <r>
    <x v="73"/>
    <x v="67"/>
    <x v="4"/>
    <x v="1"/>
    <x v="5"/>
    <x v="3"/>
    <x v="0"/>
    <n v="209.4"/>
    <x v="18"/>
    <n v="3769.2"/>
  </r>
  <r>
    <x v="74"/>
    <x v="68"/>
    <x v="0"/>
    <x v="1"/>
    <x v="1"/>
    <x v="6"/>
    <x v="2"/>
    <n v="185.51"/>
    <x v="5"/>
    <n v="1669.59"/>
  </r>
  <r>
    <x v="75"/>
    <x v="69"/>
    <x v="2"/>
    <x v="5"/>
    <x v="5"/>
    <x v="6"/>
    <x v="1"/>
    <n v="190.38"/>
    <x v="3"/>
    <n v="2665.32"/>
  </r>
  <r>
    <x v="76"/>
    <x v="70"/>
    <x v="0"/>
    <x v="0"/>
    <x v="4"/>
    <x v="1"/>
    <x v="1"/>
    <n v="199.68"/>
    <x v="5"/>
    <n v="1797.12"/>
  </r>
  <r>
    <x v="77"/>
    <x v="71"/>
    <x v="4"/>
    <x v="3"/>
    <x v="5"/>
    <x v="2"/>
    <x v="2"/>
    <n v="46.29"/>
    <x v="6"/>
    <n v="324.02999999999997"/>
  </r>
  <r>
    <x v="78"/>
    <x v="72"/>
    <x v="1"/>
    <x v="1"/>
    <x v="3"/>
    <x v="3"/>
    <x v="1"/>
    <n v="108.86"/>
    <x v="16"/>
    <n v="1197.46"/>
  </r>
  <r>
    <x v="79"/>
    <x v="73"/>
    <x v="4"/>
    <x v="3"/>
    <x v="3"/>
    <x v="3"/>
    <x v="1"/>
    <n v="55.49"/>
    <x v="3"/>
    <n v="776.86"/>
  </r>
  <r>
    <x v="80"/>
    <x v="74"/>
    <x v="5"/>
    <x v="0"/>
    <x v="4"/>
    <x v="2"/>
    <x v="1"/>
    <n v="219.88"/>
    <x v="6"/>
    <n v="1539.16"/>
  </r>
  <r>
    <x v="81"/>
    <x v="75"/>
    <x v="2"/>
    <x v="4"/>
    <x v="4"/>
    <x v="5"/>
    <x v="0"/>
    <n v="167.13"/>
    <x v="13"/>
    <n v="3342.6"/>
  </r>
  <r>
    <x v="82"/>
    <x v="76"/>
    <x v="3"/>
    <x v="3"/>
    <x v="1"/>
    <x v="5"/>
    <x v="1"/>
    <n v="102.8"/>
    <x v="19"/>
    <n v="1028"/>
  </r>
  <r>
    <x v="83"/>
    <x v="77"/>
    <x v="5"/>
    <x v="3"/>
    <x v="3"/>
    <x v="0"/>
    <x v="1"/>
    <n v="43.98"/>
    <x v="15"/>
    <n v="659.7"/>
  </r>
  <r>
    <x v="84"/>
    <x v="78"/>
    <x v="1"/>
    <x v="1"/>
    <x v="0"/>
    <x v="5"/>
    <x v="1"/>
    <n v="98.42"/>
    <x v="8"/>
    <n v="590.52"/>
  </r>
  <r>
    <x v="85"/>
    <x v="79"/>
    <x v="4"/>
    <x v="1"/>
    <x v="2"/>
    <x v="2"/>
    <x v="2"/>
    <n v="101.54"/>
    <x v="13"/>
    <n v="2030.8"/>
  </r>
  <r>
    <x v="86"/>
    <x v="80"/>
    <x v="3"/>
    <x v="1"/>
    <x v="5"/>
    <x v="0"/>
    <x v="2"/>
    <n v="190.51"/>
    <x v="6"/>
    <n v="1333.57"/>
  </r>
  <r>
    <x v="87"/>
    <x v="81"/>
    <x v="5"/>
    <x v="3"/>
    <x v="3"/>
    <x v="5"/>
    <x v="0"/>
    <n v="170.26"/>
    <x v="4"/>
    <n v="510.78"/>
  </r>
  <r>
    <x v="88"/>
    <x v="82"/>
    <x v="5"/>
    <x v="3"/>
    <x v="2"/>
    <x v="0"/>
    <x v="1"/>
    <n v="225.19"/>
    <x v="10"/>
    <n v="2927.47"/>
  </r>
  <r>
    <x v="89"/>
    <x v="83"/>
    <x v="0"/>
    <x v="3"/>
    <x v="2"/>
    <x v="0"/>
    <x v="1"/>
    <n v="133.88999999999999"/>
    <x v="2"/>
    <n v="133.88999999999999"/>
  </r>
  <r>
    <x v="90"/>
    <x v="84"/>
    <x v="0"/>
    <x v="5"/>
    <x v="2"/>
    <x v="4"/>
    <x v="0"/>
    <n v="56.31"/>
    <x v="15"/>
    <n v="844.65"/>
  </r>
  <r>
    <x v="91"/>
    <x v="85"/>
    <x v="5"/>
    <x v="0"/>
    <x v="1"/>
    <x v="5"/>
    <x v="1"/>
    <n v="186.91"/>
    <x v="14"/>
    <n v="934.55"/>
  </r>
  <r>
    <x v="92"/>
    <x v="86"/>
    <x v="2"/>
    <x v="0"/>
    <x v="1"/>
    <x v="6"/>
    <x v="1"/>
    <n v="197.37"/>
    <x v="15"/>
    <n v="2960.55"/>
  </r>
  <r>
    <x v="93"/>
    <x v="87"/>
    <x v="1"/>
    <x v="3"/>
    <x v="4"/>
    <x v="3"/>
    <x v="0"/>
    <n v="153.47999999999999"/>
    <x v="8"/>
    <n v="920.88"/>
  </r>
  <r>
    <x v="94"/>
    <x v="88"/>
    <x v="2"/>
    <x v="3"/>
    <x v="3"/>
    <x v="0"/>
    <x v="2"/>
    <n v="199.61"/>
    <x v="5"/>
    <n v="1796.49"/>
  </r>
  <r>
    <x v="95"/>
    <x v="89"/>
    <x v="1"/>
    <x v="4"/>
    <x v="2"/>
    <x v="3"/>
    <x v="2"/>
    <n v="138.63999999999999"/>
    <x v="4"/>
    <n v="415.92"/>
  </r>
  <r>
    <x v="96"/>
    <x v="90"/>
    <x v="0"/>
    <x v="2"/>
    <x v="2"/>
    <x v="0"/>
    <x v="2"/>
    <n v="145"/>
    <x v="18"/>
    <n v="2610"/>
  </r>
  <r>
    <x v="97"/>
    <x v="91"/>
    <x v="1"/>
    <x v="2"/>
    <x v="5"/>
    <x v="6"/>
    <x v="2"/>
    <n v="124.06"/>
    <x v="14"/>
    <n v="620.29999999999995"/>
  </r>
  <r>
    <x v="98"/>
    <x v="92"/>
    <x v="5"/>
    <x v="3"/>
    <x v="5"/>
    <x v="0"/>
    <x v="2"/>
    <n v="35.590000000000003"/>
    <x v="18"/>
    <n v="640.62"/>
  </r>
  <r>
    <x v="99"/>
    <x v="93"/>
    <x v="1"/>
    <x v="1"/>
    <x v="1"/>
    <x v="6"/>
    <x v="2"/>
    <n v="53.74"/>
    <x v="11"/>
    <n v="1021.06"/>
  </r>
  <r>
    <x v="100"/>
    <x v="94"/>
    <x v="4"/>
    <x v="3"/>
    <x v="4"/>
    <x v="5"/>
    <x v="1"/>
    <n v="36.909999999999997"/>
    <x v="7"/>
    <n v="442.92"/>
  </r>
  <r>
    <x v="101"/>
    <x v="4"/>
    <x v="3"/>
    <x v="3"/>
    <x v="2"/>
    <x v="3"/>
    <x v="2"/>
    <n v="170.01"/>
    <x v="13"/>
    <n v="3400.2"/>
  </r>
  <r>
    <x v="102"/>
    <x v="95"/>
    <x v="5"/>
    <x v="4"/>
    <x v="3"/>
    <x v="2"/>
    <x v="2"/>
    <n v="99.16"/>
    <x v="2"/>
    <n v="99.16"/>
  </r>
  <r>
    <x v="103"/>
    <x v="96"/>
    <x v="3"/>
    <x v="5"/>
    <x v="1"/>
    <x v="1"/>
    <x v="2"/>
    <n v="141.88999999999999"/>
    <x v="15"/>
    <n v="2128.35"/>
  </r>
  <r>
    <x v="104"/>
    <x v="97"/>
    <x v="1"/>
    <x v="1"/>
    <x v="5"/>
    <x v="2"/>
    <x v="2"/>
    <n v="229.66"/>
    <x v="11"/>
    <n v="4363.54"/>
  </r>
  <r>
    <x v="105"/>
    <x v="98"/>
    <x v="3"/>
    <x v="1"/>
    <x v="0"/>
    <x v="6"/>
    <x v="2"/>
    <n v="84.84"/>
    <x v="15"/>
    <n v="1272.5999999999999"/>
  </r>
  <r>
    <x v="106"/>
    <x v="99"/>
    <x v="4"/>
    <x v="4"/>
    <x v="4"/>
    <x v="3"/>
    <x v="2"/>
    <n v="120.28"/>
    <x v="15"/>
    <n v="1804.2"/>
  </r>
  <r>
    <x v="107"/>
    <x v="100"/>
    <x v="5"/>
    <x v="1"/>
    <x v="3"/>
    <x v="5"/>
    <x v="0"/>
    <n v="196.22"/>
    <x v="4"/>
    <n v="588.66"/>
  </r>
  <r>
    <x v="108"/>
    <x v="101"/>
    <x v="1"/>
    <x v="1"/>
    <x v="3"/>
    <x v="1"/>
    <x v="0"/>
    <n v="80.34"/>
    <x v="9"/>
    <n v="642.72"/>
  </r>
  <r>
    <x v="109"/>
    <x v="102"/>
    <x v="0"/>
    <x v="5"/>
    <x v="2"/>
    <x v="0"/>
    <x v="0"/>
    <n v="46.94"/>
    <x v="6"/>
    <n v="328.58"/>
  </r>
  <r>
    <x v="110"/>
    <x v="78"/>
    <x v="2"/>
    <x v="2"/>
    <x v="4"/>
    <x v="2"/>
    <x v="2"/>
    <n v="93.75"/>
    <x v="0"/>
    <n v="375"/>
  </r>
  <r>
    <x v="111"/>
    <x v="103"/>
    <x v="2"/>
    <x v="5"/>
    <x v="3"/>
    <x v="2"/>
    <x v="0"/>
    <n v="65.47"/>
    <x v="8"/>
    <n v="392.82"/>
  </r>
  <r>
    <x v="112"/>
    <x v="104"/>
    <x v="0"/>
    <x v="5"/>
    <x v="5"/>
    <x v="3"/>
    <x v="1"/>
    <n v="234.53"/>
    <x v="19"/>
    <n v="2345.3000000000002"/>
  </r>
  <r>
    <x v="113"/>
    <x v="105"/>
    <x v="5"/>
    <x v="0"/>
    <x v="2"/>
    <x v="1"/>
    <x v="1"/>
    <n v="207.79"/>
    <x v="10"/>
    <n v="2701.27"/>
  </r>
  <r>
    <x v="114"/>
    <x v="29"/>
    <x v="0"/>
    <x v="0"/>
    <x v="0"/>
    <x v="4"/>
    <x v="1"/>
    <n v="169.35"/>
    <x v="9"/>
    <n v="1354.8"/>
  </r>
  <r>
    <x v="115"/>
    <x v="106"/>
    <x v="2"/>
    <x v="1"/>
    <x v="0"/>
    <x v="5"/>
    <x v="2"/>
    <n v="221.72"/>
    <x v="0"/>
    <n v="886.88"/>
  </r>
  <r>
    <x v="116"/>
    <x v="107"/>
    <x v="0"/>
    <x v="5"/>
    <x v="3"/>
    <x v="3"/>
    <x v="0"/>
    <n v="206.81"/>
    <x v="7"/>
    <n v="2481.7199999999998"/>
  </r>
  <r>
    <x v="117"/>
    <x v="108"/>
    <x v="0"/>
    <x v="3"/>
    <x v="0"/>
    <x v="2"/>
    <x v="2"/>
    <n v="71.05"/>
    <x v="17"/>
    <n v="1136.8"/>
  </r>
  <r>
    <x v="118"/>
    <x v="109"/>
    <x v="5"/>
    <x v="2"/>
    <x v="3"/>
    <x v="5"/>
    <x v="1"/>
    <n v="226.36"/>
    <x v="14"/>
    <n v="1131.8"/>
  </r>
  <r>
    <x v="119"/>
    <x v="110"/>
    <x v="2"/>
    <x v="3"/>
    <x v="4"/>
    <x v="6"/>
    <x v="1"/>
    <n v="148.66"/>
    <x v="13"/>
    <n v="2973.2"/>
  </r>
  <r>
    <x v="120"/>
    <x v="97"/>
    <x v="4"/>
    <x v="2"/>
    <x v="5"/>
    <x v="3"/>
    <x v="2"/>
    <n v="207.64"/>
    <x v="5"/>
    <n v="1868.76"/>
  </r>
  <r>
    <x v="121"/>
    <x v="111"/>
    <x v="2"/>
    <x v="5"/>
    <x v="3"/>
    <x v="6"/>
    <x v="2"/>
    <n v="227.14"/>
    <x v="15"/>
    <n v="3407.1"/>
  </r>
  <r>
    <x v="122"/>
    <x v="112"/>
    <x v="4"/>
    <x v="2"/>
    <x v="4"/>
    <x v="0"/>
    <x v="2"/>
    <n v="99.96"/>
    <x v="17"/>
    <n v="1599.36"/>
  </r>
  <r>
    <x v="123"/>
    <x v="113"/>
    <x v="4"/>
    <x v="5"/>
    <x v="3"/>
    <x v="3"/>
    <x v="1"/>
    <n v="54.21"/>
    <x v="16"/>
    <n v="596.30999999999995"/>
  </r>
  <r>
    <x v="124"/>
    <x v="114"/>
    <x v="3"/>
    <x v="1"/>
    <x v="2"/>
    <x v="2"/>
    <x v="2"/>
    <n v="80.150000000000006"/>
    <x v="12"/>
    <n v="1362.55"/>
  </r>
  <r>
    <x v="125"/>
    <x v="115"/>
    <x v="3"/>
    <x v="0"/>
    <x v="4"/>
    <x v="2"/>
    <x v="1"/>
    <n v="123.96"/>
    <x v="18"/>
    <n v="2231.2800000000002"/>
  </r>
  <r>
    <x v="126"/>
    <x v="116"/>
    <x v="0"/>
    <x v="1"/>
    <x v="0"/>
    <x v="0"/>
    <x v="2"/>
    <n v="209.96"/>
    <x v="15"/>
    <n v="3149.4"/>
  </r>
  <r>
    <x v="127"/>
    <x v="117"/>
    <x v="4"/>
    <x v="0"/>
    <x v="1"/>
    <x v="3"/>
    <x v="2"/>
    <n v="219.36"/>
    <x v="9"/>
    <n v="1754.88"/>
  </r>
  <r>
    <x v="128"/>
    <x v="53"/>
    <x v="4"/>
    <x v="3"/>
    <x v="3"/>
    <x v="5"/>
    <x v="2"/>
    <n v="31.53"/>
    <x v="12"/>
    <n v="536.01"/>
  </r>
  <r>
    <x v="129"/>
    <x v="118"/>
    <x v="4"/>
    <x v="4"/>
    <x v="0"/>
    <x v="0"/>
    <x v="0"/>
    <n v="142.36000000000001"/>
    <x v="15"/>
    <n v="2135.4"/>
  </r>
  <r>
    <x v="130"/>
    <x v="119"/>
    <x v="0"/>
    <x v="0"/>
    <x v="1"/>
    <x v="4"/>
    <x v="1"/>
    <n v="121.83"/>
    <x v="16"/>
    <n v="1340.13"/>
  </r>
  <r>
    <x v="131"/>
    <x v="120"/>
    <x v="3"/>
    <x v="0"/>
    <x v="4"/>
    <x v="3"/>
    <x v="1"/>
    <n v="78.86"/>
    <x v="6"/>
    <n v="552.02"/>
  </r>
  <r>
    <x v="132"/>
    <x v="121"/>
    <x v="2"/>
    <x v="4"/>
    <x v="5"/>
    <x v="4"/>
    <x v="0"/>
    <n v="56.37"/>
    <x v="12"/>
    <n v="958.29"/>
  </r>
  <r>
    <x v="133"/>
    <x v="122"/>
    <x v="4"/>
    <x v="2"/>
    <x v="0"/>
    <x v="1"/>
    <x v="1"/>
    <n v="104.28"/>
    <x v="9"/>
    <n v="834.24"/>
  </r>
  <r>
    <x v="134"/>
    <x v="123"/>
    <x v="4"/>
    <x v="1"/>
    <x v="5"/>
    <x v="5"/>
    <x v="2"/>
    <n v="237.44"/>
    <x v="14"/>
    <n v="1187.2"/>
  </r>
  <r>
    <x v="135"/>
    <x v="124"/>
    <x v="1"/>
    <x v="3"/>
    <x v="5"/>
    <x v="4"/>
    <x v="0"/>
    <n v="101.1"/>
    <x v="14"/>
    <n v="505.5"/>
  </r>
  <r>
    <x v="136"/>
    <x v="125"/>
    <x v="5"/>
    <x v="3"/>
    <x v="4"/>
    <x v="3"/>
    <x v="0"/>
    <n v="144.13"/>
    <x v="19"/>
    <n v="1441.3"/>
  </r>
  <r>
    <x v="137"/>
    <x v="126"/>
    <x v="5"/>
    <x v="1"/>
    <x v="5"/>
    <x v="6"/>
    <x v="2"/>
    <n v="184.66"/>
    <x v="5"/>
    <n v="1661.94"/>
  </r>
  <r>
    <x v="138"/>
    <x v="50"/>
    <x v="1"/>
    <x v="0"/>
    <x v="5"/>
    <x v="0"/>
    <x v="0"/>
    <n v="110"/>
    <x v="11"/>
    <n v="2090"/>
  </r>
  <r>
    <x v="139"/>
    <x v="127"/>
    <x v="0"/>
    <x v="2"/>
    <x v="5"/>
    <x v="5"/>
    <x v="2"/>
    <n v="243.79"/>
    <x v="19"/>
    <n v="2437.9"/>
  </r>
  <r>
    <x v="140"/>
    <x v="128"/>
    <x v="2"/>
    <x v="2"/>
    <x v="1"/>
    <x v="6"/>
    <x v="2"/>
    <n v="241.74"/>
    <x v="13"/>
    <n v="4834.8"/>
  </r>
  <r>
    <x v="141"/>
    <x v="58"/>
    <x v="2"/>
    <x v="3"/>
    <x v="0"/>
    <x v="5"/>
    <x v="1"/>
    <n v="85.39"/>
    <x v="19"/>
    <n v="853.9"/>
  </r>
  <r>
    <x v="142"/>
    <x v="41"/>
    <x v="1"/>
    <x v="1"/>
    <x v="2"/>
    <x v="2"/>
    <x v="0"/>
    <n v="139.38999999999999"/>
    <x v="13"/>
    <n v="2787.8"/>
  </r>
  <r>
    <x v="143"/>
    <x v="49"/>
    <x v="3"/>
    <x v="2"/>
    <x v="2"/>
    <x v="5"/>
    <x v="0"/>
    <n v="96.19"/>
    <x v="4"/>
    <n v="288.57"/>
  </r>
  <r>
    <x v="144"/>
    <x v="129"/>
    <x v="5"/>
    <x v="3"/>
    <x v="3"/>
    <x v="5"/>
    <x v="2"/>
    <n v="92.66"/>
    <x v="2"/>
    <n v="92.66"/>
  </r>
  <r>
    <x v="145"/>
    <x v="130"/>
    <x v="3"/>
    <x v="4"/>
    <x v="3"/>
    <x v="3"/>
    <x v="1"/>
    <n v="38.119999999999997"/>
    <x v="1"/>
    <n v="76.239999999999995"/>
  </r>
  <r>
    <x v="146"/>
    <x v="131"/>
    <x v="1"/>
    <x v="2"/>
    <x v="0"/>
    <x v="4"/>
    <x v="1"/>
    <n v="164.1"/>
    <x v="4"/>
    <n v="492.3"/>
  </r>
  <r>
    <x v="147"/>
    <x v="121"/>
    <x v="5"/>
    <x v="1"/>
    <x v="1"/>
    <x v="0"/>
    <x v="1"/>
    <n v="140.59"/>
    <x v="6"/>
    <n v="984.13"/>
  </r>
  <r>
    <x v="148"/>
    <x v="132"/>
    <x v="3"/>
    <x v="1"/>
    <x v="5"/>
    <x v="0"/>
    <x v="2"/>
    <n v="41.33"/>
    <x v="5"/>
    <n v="371.97"/>
  </r>
  <r>
    <x v="149"/>
    <x v="133"/>
    <x v="4"/>
    <x v="3"/>
    <x v="5"/>
    <x v="6"/>
    <x v="1"/>
    <n v="91.3"/>
    <x v="11"/>
    <n v="1734.7"/>
  </r>
  <r>
    <x v="150"/>
    <x v="76"/>
    <x v="4"/>
    <x v="5"/>
    <x v="1"/>
    <x v="6"/>
    <x v="2"/>
    <n v="229.82"/>
    <x v="10"/>
    <n v="2987.66"/>
  </r>
  <r>
    <x v="151"/>
    <x v="134"/>
    <x v="0"/>
    <x v="3"/>
    <x v="3"/>
    <x v="3"/>
    <x v="1"/>
    <n v="82.7"/>
    <x v="13"/>
    <n v="1654"/>
  </r>
  <r>
    <x v="152"/>
    <x v="56"/>
    <x v="0"/>
    <x v="2"/>
    <x v="3"/>
    <x v="4"/>
    <x v="1"/>
    <n v="61.88"/>
    <x v="2"/>
    <n v="61.88"/>
  </r>
  <r>
    <x v="153"/>
    <x v="135"/>
    <x v="1"/>
    <x v="4"/>
    <x v="1"/>
    <x v="1"/>
    <x v="0"/>
    <n v="137.68"/>
    <x v="2"/>
    <n v="137.68"/>
  </r>
  <r>
    <x v="154"/>
    <x v="136"/>
    <x v="1"/>
    <x v="3"/>
    <x v="0"/>
    <x v="0"/>
    <x v="1"/>
    <n v="246.84"/>
    <x v="12"/>
    <n v="4196.28"/>
  </r>
  <r>
    <x v="155"/>
    <x v="137"/>
    <x v="0"/>
    <x v="3"/>
    <x v="0"/>
    <x v="6"/>
    <x v="2"/>
    <n v="83.25"/>
    <x v="17"/>
    <n v="1332"/>
  </r>
  <r>
    <x v="156"/>
    <x v="77"/>
    <x v="3"/>
    <x v="4"/>
    <x v="4"/>
    <x v="2"/>
    <x v="2"/>
    <n v="177.87"/>
    <x v="0"/>
    <n v="711.48"/>
  </r>
  <r>
    <x v="157"/>
    <x v="138"/>
    <x v="2"/>
    <x v="1"/>
    <x v="4"/>
    <x v="1"/>
    <x v="2"/>
    <n v="197.56"/>
    <x v="10"/>
    <n v="2568.2800000000002"/>
  </r>
  <r>
    <x v="158"/>
    <x v="100"/>
    <x v="0"/>
    <x v="3"/>
    <x v="1"/>
    <x v="4"/>
    <x v="0"/>
    <n v="82.28"/>
    <x v="16"/>
    <n v="905.08"/>
  </r>
  <r>
    <x v="159"/>
    <x v="139"/>
    <x v="5"/>
    <x v="3"/>
    <x v="5"/>
    <x v="0"/>
    <x v="1"/>
    <n v="190.21"/>
    <x v="18"/>
    <n v="3423.78"/>
  </r>
  <r>
    <x v="160"/>
    <x v="140"/>
    <x v="5"/>
    <x v="0"/>
    <x v="4"/>
    <x v="4"/>
    <x v="0"/>
    <n v="110.91"/>
    <x v="13"/>
    <n v="2218.1999999999998"/>
  </r>
  <r>
    <x v="161"/>
    <x v="141"/>
    <x v="2"/>
    <x v="2"/>
    <x v="0"/>
    <x v="6"/>
    <x v="1"/>
    <n v="169.11"/>
    <x v="5"/>
    <n v="1521.99"/>
  </r>
  <r>
    <x v="162"/>
    <x v="95"/>
    <x v="0"/>
    <x v="0"/>
    <x v="1"/>
    <x v="4"/>
    <x v="0"/>
    <n v="169.38"/>
    <x v="0"/>
    <n v="677.52"/>
  </r>
  <r>
    <x v="163"/>
    <x v="142"/>
    <x v="4"/>
    <x v="5"/>
    <x v="5"/>
    <x v="5"/>
    <x v="2"/>
    <n v="147.87"/>
    <x v="8"/>
    <n v="887.22"/>
  </r>
  <r>
    <x v="164"/>
    <x v="143"/>
    <x v="0"/>
    <x v="3"/>
    <x v="5"/>
    <x v="2"/>
    <x v="0"/>
    <n v="49.86"/>
    <x v="9"/>
    <n v="398.88"/>
  </r>
  <r>
    <x v="165"/>
    <x v="144"/>
    <x v="2"/>
    <x v="0"/>
    <x v="0"/>
    <x v="6"/>
    <x v="2"/>
    <n v="213.77"/>
    <x v="19"/>
    <n v="2137.6999999999998"/>
  </r>
  <r>
    <x v="166"/>
    <x v="145"/>
    <x v="5"/>
    <x v="5"/>
    <x v="2"/>
    <x v="6"/>
    <x v="0"/>
    <n v="100.57"/>
    <x v="9"/>
    <n v="804.56"/>
  </r>
  <r>
    <x v="167"/>
    <x v="146"/>
    <x v="1"/>
    <x v="2"/>
    <x v="5"/>
    <x v="3"/>
    <x v="2"/>
    <n v="71.03"/>
    <x v="12"/>
    <n v="1207.51"/>
  </r>
  <r>
    <x v="168"/>
    <x v="22"/>
    <x v="4"/>
    <x v="1"/>
    <x v="0"/>
    <x v="2"/>
    <x v="2"/>
    <n v="38.97"/>
    <x v="12"/>
    <n v="662.49"/>
  </r>
  <r>
    <x v="169"/>
    <x v="135"/>
    <x v="1"/>
    <x v="3"/>
    <x v="2"/>
    <x v="6"/>
    <x v="1"/>
    <n v="160"/>
    <x v="11"/>
    <n v="3040"/>
  </r>
  <r>
    <x v="170"/>
    <x v="147"/>
    <x v="4"/>
    <x v="5"/>
    <x v="1"/>
    <x v="6"/>
    <x v="2"/>
    <n v="179.06"/>
    <x v="7"/>
    <n v="2148.7199999999998"/>
  </r>
  <r>
    <x v="171"/>
    <x v="77"/>
    <x v="1"/>
    <x v="2"/>
    <x v="1"/>
    <x v="6"/>
    <x v="0"/>
    <n v="33.65"/>
    <x v="6"/>
    <n v="235.55"/>
  </r>
  <r>
    <x v="172"/>
    <x v="148"/>
    <x v="4"/>
    <x v="0"/>
    <x v="4"/>
    <x v="2"/>
    <x v="2"/>
    <n v="142.66"/>
    <x v="1"/>
    <n v="285.32"/>
  </r>
  <r>
    <x v="173"/>
    <x v="149"/>
    <x v="5"/>
    <x v="1"/>
    <x v="2"/>
    <x v="5"/>
    <x v="1"/>
    <n v="79.83"/>
    <x v="14"/>
    <n v="399.15"/>
  </r>
  <r>
    <x v="174"/>
    <x v="92"/>
    <x v="5"/>
    <x v="1"/>
    <x v="1"/>
    <x v="6"/>
    <x v="0"/>
    <n v="171.94"/>
    <x v="0"/>
    <n v="687.76"/>
  </r>
  <r>
    <x v="175"/>
    <x v="16"/>
    <x v="1"/>
    <x v="2"/>
    <x v="5"/>
    <x v="6"/>
    <x v="2"/>
    <n v="68.36"/>
    <x v="3"/>
    <n v="957.04"/>
  </r>
  <r>
    <x v="176"/>
    <x v="150"/>
    <x v="1"/>
    <x v="3"/>
    <x v="3"/>
    <x v="1"/>
    <x v="2"/>
    <n v="182.01"/>
    <x v="13"/>
    <n v="3640.2"/>
  </r>
  <r>
    <x v="177"/>
    <x v="151"/>
    <x v="5"/>
    <x v="4"/>
    <x v="3"/>
    <x v="2"/>
    <x v="2"/>
    <n v="115.08"/>
    <x v="18"/>
    <n v="2071.44"/>
  </r>
  <r>
    <x v="178"/>
    <x v="44"/>
    <x v="2"/>
    <x v="1"/>
    <x v="2"/>
    <x v="2"/>
    <x v="1"/>
    <n v="236.08"/>
    <x v="1"/>
    <n v="472.16"/>
  </r>
  <r>
    <x v="179"/>
    <x v="138"/>
    <x v="1"/>
    <x v="1"/>
    <x v="4"/>
    <x v="1"/>
    <x v="1"/>
    <n v="60.25"/>
    <x v="9"/>
    <n v="482"/>
  </r>
  <r>
    <x v="180"/>
    <x v="52"/>
    <x v="5"/>
    <x v="2"/>
    <x v="3"/>
    <x v="3"/>
    <x v="0"/>
    <n v="105.03"/>
    <x v="0"/>
    <n v="420.12"/>
  </r>
  <r>
    <x v="181"/>
    <x v="152"/>
    <x v="0"/>
    <x v="4"/>
    <x v="0"/>
    <x v="3"/>
    <x v="2"/>
    <n v="54.96"/>
    <x v="16"/>
    <n v="604.55999999999995"/>
  </r>
  <r>
    <x v="182"/>
    <x v="153"/>
    <x v="2"/>
    <x v="3"/>
    <x v="1"/>
    <x v="2"/>
    <x v="0"/>
    <n v="233.43"/>
    <x v="9"/>
    <n v="1867.44"/>
  </r>
  <r>
    <x v="183"/>
    <x v="154"/>
    <x v="0"/>
    <x v="5"/>
    <x v="4"/>
    <x v="5"/>
    <x v="1"/>
    <n v="223.01"/>
    <x v="8"/>
    <n v="1338.06"/>
  </r>
  <r>
    <x v="184"/>
    <x v="155"/>
    <x v="2"/>
    <x v="2"/>
    <x v="2"/>
    <x v="6"/>
    <x v="1"/>
    <n v="86.75"/>
    <x v="17"/>
    <n v="1388"/>
  </r>
  <r>
    <x v="185"/>
    <x v="156"/>
    <x v="4"/>
    <x v="0"/>
    <x v="5"/>
    <x v="4"/>
    <x v="2"/>
    <n v="175.2"/>
    <x v="15"/>
    <n v="2628"/>
  </r>
  <r>
    <x v="186"/>
    <x v="138"/>
    <x v="3"/>
    <x v="1"/>
    <x v="4"/>
    <x v="3"/>
    <x v="1"/>
    <n v="209.79"/>
    <x v="18"/>
    <n v="3776.22"/>
  </r>
  <r>
    <x v="187"/>
    <x v="157"/>
    <x v="1"/>
    <x v="4"/>
    <x v="4"/>
    <x v="4"/>
    <x v="2"/>
    <n v="152.13999999999999"/>
    <x v="3"/>
    <n v="2129.96"/>
  </r>
  <r>
    <x v="188"/>
    <x v="158"/>
    <x v="5"/>
    <x v="1"/>
    <x v="2"/>
    <x v="6"/>
    <x v="1"/>
    <n v="146.52000000000001"/>
    <x v="10"/>
    <n v="1904.76"/>
  </r>
  <r>
    <x v="189"/>
    <x v="61"/>
    <x v="4"/>
    <x v="0"/>
    <x v="0"/>
    <x v="1"/>
    <x v="1"/>
    <n v="83.21"/>
    <x v="11"/>
    <n v="1580.99"/>
  </r>
  <r>
    <x v="190"/>
    <x v="159"/>
    <x v="0"/>
    <x v="5"/>
    <x v="3"/>
    <x v="4"/>
    <x v="1"/>
    <n v="50.48"/>
    <x v="5"/>
    <n v="454.32"/>
  </r>
  <r>
    <x v="191"/>
    <x v="160"/>
    <x v="1"/>
    <x v="3"/>
    <x v="0"/>
    <x v="4"/>
    <x v="0"/>
    <n v="227.39"/>
    <x v="13"/>
    <n v="4547.8"/>
  </r>
  <r>
    <x v="192"/>
    <x v="128"/>
    <x v="3"/>
    <x v="0"/>
    <x v="2"/>
    <x v="5"/>
    <x v="2"/>
    <n v="228.09"/>
    <x v="7"/>
    <n v="2737.08"/>
  </r>
  <r>
    <x v="193"/>
    <x v="67"/>
    <x v="1"/>
    <x v="1"/>
    <x v="3"/>
    <x v="2"/>
    <x v="0"/>
    <n v="169.28"/>
    <x v="14"/>
    <n v="846.4"/>
  </r>
  <r>
    <x v="194"/>
    <x v="73"/>
    <x v="0"/>
    <x v="5"/>
    <x v="0"/>
    <x v="2"/>
    <x v="0"/>
    <n v="104.59"/>
    <x v="15"/>
    <n v="1568.85"/>
  </r>
  <r>
    <x v="195"/>
    <x v="161"/>
    <x v="4"/>
    <x v="0"/>
    <x v="4"/>
    <x v="0"/>
    <x v="0"/>
    <n v="106.83"/>
    <x v="19"/>
    <n v="1068.3"/>
  </r>
  <r>
    <x v="196"/>
    <x v="162"/>
    <x v="4"/>
    <x v="5"/>
    <x v="1"/>
    <x v="3"/>
    <x v="0"/>
    <n v="189.71"/>
    <x v="18"/>
    <n v="3414.78"/>
  </r>
  <r>
    <x v="197"/>
    <x v="163"/>
    <x v="4"/>
    <x v="0"/>
    <x v="0"/>
    <x v="4"/>
    <x v="0"/>
    <n v="227.36"/>
    <x v="17"/>
    <n v="3637.76"/>
  </r>
  <r>
    <x v="198"/>
    <x v="164"/>
    <x v="3"/>
    <x v="2"/>
    <x v="3"/>
    <x v="2"/>
    <x v="1"/>
    <n v="225.16"/>
    <x v="4"/>
    <n v="675.48"/>
  </r>
  <r>
    <x v="199"/>
    <x v="165"/>
    <x v="4"/>
    <x v="1"/>
    <x v="4"/>
    <x v="1"/>
    <x v="2"/>
    <n v="201.57"/>
    <x v="18"/>
    <n v="3628.26"/>
  </r>
  <r>
    <x v="200"/>
    <x v="166"/>
    <x v="5"/>
    <x v="4"/>
    <x v="3"/>
    <x v="2"/>
    <x v="1"/>
    <n v="171.25"/>
    <x v="0"/>
    <n v="685"/>
  </r>
  <r>
    <x v="201"/>
    <x v="17"/>
    <x v="5"/>
    <x v="0"/>
    <x v="0"/>
    <x v="1"/>
    <x v="1"/>
    <n v="48.51"/>
    <x v="11"/>
    <n v="921.69"/>
  </r>
  <r>
    <x v="202"/>
    <x v="167"/>
    <x v="0"/>
    <x v="5"/>
    <x v="1"/>
    <x v="3"/>
    <x v="1"/>
    <n v="65.56"/>
    <x v="17"/>
    <n v="1048.96"/>
  </r>
  <r>
    <x v="203"/>
    <x v="168"/>
    <x v="1"/>
    <x v="3"/>
    <x v="3"/>
    <x v="3"/>
    <x v="1"/>
    <n v="227.68"/>
    <x v="4"/>
    <n v="683.04"/>
  </r>
  <r>
    <x v="204"/>
    <x v="169"/>
    <x v="3"/>
    <x v="1"/>
    <x v="5"/>
    <x v="3"/>
    <x v="2"/>
    <n v="163.41"/>
    <x v="0"/>
    <n v="653.64"/>
  </r>
  <r>
    <x v="205"/>
    <x v="170"/>
    <x v="3"/>
    <x v="5"/>
    <x v="2"/>
    <x v="6"/>
    <x v="2"/>
    <n v="32.020000000000003"/>
    <x v="0"/>
    <n v="128.08000000000001"/>
  </r>
  <r>
    <x v="206"/>
    <x v="171"/>
    <x v="5"/>
    <x v="5"/>
    <x v="3"/>
    <x v="2"/>
    <x v="0"/>
    <n v="52.32"/>
    <x v="18"/>
    <n v="941.76"/>
  </r>
  <r>
    <x v="207"/>
    <x v="172"/>
    <x v="5"/>
    <x v="5"/>
    <x v="4"/>
    <x v="3"/>
    <x v="0"/>
    <n v="175.97"/>
    <x v="0"/>
    <n v="703.88"/>
  </r>
  <r>
    <x v="208"/>
    <x v="29"/>
    <x v="3"/>
    <x v="3"/>
    <x v="4"/>
    <x v="0"/>
    <x v="2"/>
    <n v="31.11"/>
    <x v="7"/>
    <n v="373.32"/>
  </r>
  <r>
    <x v="209"/>
    <x v="39"/>
    <x v="2"/>
    <x v="0"/>
    <x v="0"/>
    <x v="1"/>
    <x v="2"/>
    <n v="65.38"/>
    <x v="7"/>
    <n v="784.56"/>
  </r>
  <r>
    <x v="210"/>
    <x v="173"/>
    <x v="0"/>
    <x v="3"/>
    <x v="5"/>
    <x v="2"/>
    <x v="0"/>
    <n v="150.72"/>
    <x v="6"/>
    <n v="1055.04"/>
  </r>
  <r>
    <x v="211"/>
    <x v="174"/>
    <x v="0"/>
    <x v="1"/>
    <x v="0"/>
    <x v="0"/>
    <x v="0"/>
    <n v="182.22"/>
    <x v="13"/>
    <n v="3644.4"/>
  </r>
  <r>
    <x v="212"/>
    <x v="175"/>
    <x v="0"/>
    <x v="5"/>
    <x v="2"/>
    <x v="5"/>
    <x v="0"/>
    <n v="173.43"/>
    <x v="6"/>
    <n v="1214.01"/>
  </r>
  <r>
    <x v="213"/>
    <x v="167"/>
    <x v="3"/>
    <x v="5"/>
    <x v="5"/>
    <x v="3"/>
    <x v="0"/>
    <n v="79.34"/>
    <x v="16"/>
    <n v="872.74"/>
  </r>
  <r>
    <x v="214"/>
    <x v="176"/>
    <x v="4"/>
    <x v="2"/>
    <x v="5"/>
    <x v="2"/>
    <x v="0"/>
    <n v="186.68"/>
    <x v="18"/>
    <n v="3360.24"/>
  </r>
  <r>
    <x v="215"/>
    <x v="162"/>
    <x v="4"/>
    <x v="2"/>
    <x v="1"/>
    <x v="3"/>
    <x v="0"/>
    <n v="82.19"/>
    <x v="2"/>
    <n v="82.19"/>
  </r>
  <r>
    <x v="216"/>
    <x v="75"/>
    <x v="0"/>
    <x v="2"/>
    <x v="3"/>
    <x v="6"/>
    <x v="1"/>
    <n v="101.59"/>
    <x v="5"/>
    <n v="914.31"/>
  </r>
  <r>
    <x v="217"/>
    <x v="177"/>
    <x v="5"/>
    <x v="3"/>
    <x v="0"/>
    <x v="5"/>
    <x v="1"/>
    <n v="194.23"/>
    <x v="4"/>
    <n v="582.69000000000005"/>
  </r>
  <r>
    <x v="218"/>
    <x v="178"/>
    <x v="2"/>
    <x v="2"/>
    <x v="1"/>
    <x v="1"/>
    <x v="1"/>
    <n v="172.92"/>
    <x v="15"/>
    <n v="2593.8000000000002"/>
  </r>
  <r>
    <x v="219"/>
    <x v="179"/>
    <x v="4"/>
    <x v="3"/>
    <x v="3"/>
    <x v="1"/>
    <x v="0"/>
    <n v="216.83"/>
    <x v="12"/>
    <n v="3686.11"/>
  </r>
  <r>
    <x v="220"/>
    <x v="180"/>
    <x v="5"/>
    <x v="0"/>
    <x v="5"/>
    <x v="6"/>
    <x v="1"/>
    <n v="174.67"/>
    <x v="10"/>
    <n v="2270.71"/>
  </r>
  <r>
    <x v="221"/>
    <x v="181"/>
    <x v="0"/>
    <x v="4"/>
    <x v="1"/>
    <x v="0"/>
    <x v="0"/>
    <n v="155.03"/>
    <x v="4"/>
    <n v="465.09"/>
  </r>
  <r>
    <x v="222"/>
    <x v="27"/>
    <x v="2"/>
    <x v="0"/>
    <x v="1"/>
    <x v="5"/>
    <x v="1"/>
    <n v="50.61"/>
    <x v="5"/>
    <n v="455.49"/>
  </r>
  <r>
    <x v="223"/>
    <x v="182"/>
    <x v="2"/>
    <x v="5"/>
    <x v="0"/>
    <x v="6"/>
    <x v="1"/>
    <n v="110.9"/>
    <x v="10"/>
    <n v="1441.7"/>
  </r>
  <r>
    <x v="224"/>
    <x v="7"/>
    <x v="0"/>
    <x v="0"/>
    <x v="5"/>
    <x v="4"/>
    <x v="1"/>
    <n v="88.34"/>
    <x v="3"/>
    <n v="1236.76"/>
  </r>
  <r>
    <x v="225"/>
    <x v="183"/>
    <x v="1"/>
    <x v="2"/>
    <x v="4"/>
    <x v="6"/>
    <x v="0"/>
    <n v="83.68"/>
    <x v="18"/>
    <n v="1506.24"/>
  </r>
  <r>
    <x v="226"/>
    <x v="184"/>
    <x v="5"/>
    <x v="3"/>
    <x v="4"/>
    <x v="2"/>
    <x v="0"/>
    <n v="244.06"/>
    <x v="16"/>
    <n v="2684.66"/>
  </r>
  <r>
    <x v="227"/>
    <x v="69"/>
    <x v="4"/>
    <x v="0"/>
    <x v="0"/>
    <x v="3"/>
    <x v="0"/>
    <n v="116.48"/>
    <x v="3"/>
    <n v="1630.72"/>
  </r>
  <r>
    <x v="228"/>
    <x v="185"/>
    <x v="0"/>
    <x v="1"/>
    <x v="5"/>
    <x v="1"/>
    <x v="2"/>
    <n v="226.25"/>
    <x v="17"/>
    <n v="3620"/>
  </r>
  <r>
    <x v="229"/>
    <x v="35"/>
    <x v="3"/>
    <x v="5"/>
    <x v="5"/>
    <x v="5"/>
    <x v="1"/>
    <n v="168.85"/>
    <x v="7"/>
    <n v="2026.2"/>
  </r>
  <r>
    <x v="230"/>
    <x v="186"/>
    <x v="1"/>
    <x v="1"/>
    <x v="4"/>
    <x v="3"/>
    <x v="1"/>
    <n v="204.86"/>
    <x v="16"/>
    <n v="2253.46"/>
  </r>
  <r>
    <x v="231"/>
    <x v="2"/>
    <x v="4"/>
    <x v="5"/>
    <x v="0"/>
    <x v="3"/>
    <x v="0"/>
    <n v="140.58000000000001"/>
    <x v="1"/>
    <n v="281.16000000000003"/>
  </r>
  <r>
    <x v="232"/>
    <x v="9"/>
    <x v="3"/>
    <x v="2"/>
    <x v="3"/>
    <x v="6"/>
    <x v="0"/>
    <n v="156.91999999999999"/>
    <x v="12"/>
    <n v="2667.64"/>
  </r>
  <r>
    <x v="233"/>
    <x v="178"/>
    <x v="2"/>
    <x v="4"/>
    <x v="5"/>
    <x v="4"/>
    <x v="2"/>
    <n v="138.35"/>
    <x v="7"/>
    <n v="1660.2"/>
  </r>
  <r>
    <x v="234"/>
    <x v="125"/>
    <x v="5"/>
    <x v="5"/>
    <x v="1"/>
    <x v="5"/>
    <x v="1"/>
    <n v="72.95"/>
    <x v="9"/>
    <n v="583.6"/>
  </r>
  <r>
    <x v="235"/>
    <x v="187"/>
    <x v="0"/>
    <x v="5"/>
    <x v="3"/>
    <x v="4"/>
    <x v="1"/>
    <n v="188.94"/>
    <x v="18"/>
    <n v="3400.92"/>
  </r>
  <r>
    <x v="236"/>
    <x v="12"/>
    <x v="3"/>
    <x v="4"/>
    <x v="3"/>
    <x v="4"/>
    <x v="2"/>
    <n v="91.77"/>
    <x v="2"/>
    <n v="91.77"/>
  </r>
  <r>
    <x v="237"/>
    <x v="150"/>
    <x v="0"/>
    <x v="2"/>
    <x v="2"/>
    <x v="5"/>
    <x v="1"/>
    <n v="35.35"/>
    <x v="7"/>
    <n v="424.2"/>
  </r>
  <r>
    <x v="238"/>
    <x v="188"/>
    <x v="3"/>
    <x v="0"/>
    <x v="3"/>
    <x v="1"/>
    <x v="0"/>
    <n v="172"/>
    <x v="4"/>
    <n v="516"/>
  </r>
  <r>
    <x v="239"/>
    <x v="189"/>
    <x v="5"/>
    <x v="3"/>
    <x v="4"/>
    <x v="3"/>
    <x v="0"/>
    <n v="68.959999999999994"/>
    <x v="6"/>
    <n v="482.72"/>
  </r>
  <r>
    <x v="240"/>
    <x v="171"/>
    <x v="1"/>
    <x v="4"/>
    <x v="1"/>
    <x v="5"/>
    <x v="0"/>
    <n v="236.9"/>
    <x v="19"/>
    <n v="2369"/>
  </r>
  <r>
    <x v="241"/>
    <x v="126"/>
    <x v="3"/>
    <x v="5"/>
    <x v="5"/>
    <x v="2"/>
    <x v="0"/>
    <n v="239.86"/>
    <x v="14"/>
    <n v="1199.3"/>
  </r>
  <r>
    <x v="242"/>
    <x v="190"/>
    <x v="1"/>
    <x v="3"/>
    <x v="4"/>
    <x v="5"/>
    <x v="2"/>
    <n v="231.27"/>
    <x v="15"/>
    <n v="3469.05"/>
  </r>
  <r>
    <x v="243"/>
    <x v="172"/>
    <x v="3"/>
    <x v="5"/>
    <x v="5"/>
    <x v="3"/>
    <x v="2"/>
    <n v="111.43"/>
    <x v="5"/>
    <n v="1002.87"/>
  </r>
  <r>
    <x v="244"/>
    <x v="191"/>
    <x v="1"/>
    <x v="0"/>
    <x v="1"/>
    <x v="6"/>
    <x v="1"/>
    <n v="33.4"/>
    <x v="19"/>
    <n v="334"/>
  </r>
  <r>
    <x v="245"/>
    <x v="192"/>
    <x v="0"/>
    <x v="2"/>
    <x v="4"/>
    <x v="5"/>
    <x v="0"/>
    <n v="234.23"/>
    <x v="19"/>
    <n v="2342.3000000000002"/>
  </r>
  <r>
    <x v="246"/>
    <x v="94"/>
    <x v="4"/>
    <x v="2"/>
    <x v="2"/>
    <x v="4"/>
    <x v="2"/>
    <n v="124.2"/>
    <x v="6"/>
    <n v="869.4"/>
  </r>
  <r>
    <x v="247"/>
    <x v="10"/>
    <x v="0"/>
    <x v="1"/>
    <x v="4"/>
    <x v="2"/>
    <x v="2"/>
    <n v="242.66"/>
    <x v="16"/>
    <n v="2669.26"/>
  </r>
  <r>
    <x v="248"/>
    <x v="75"/>
    <x v="5"/>
    <x v="5"/>
    <x v="3"/>
    <x v="0"/>
    <x v="1"/>
    <n v="242"/>
    <x v="14"/>
    <n v="1210"/>
  </r>
  <r>
    <x v="249"/>
    <x v="62"/>
    <x v="0"/>
    <x v="3"/>
    <x v="3"/>
    <x v="1"/>
    <x v="2"/>
    <n v="217.66"/>
    <x v="7"/>
    <n v="2611.92"/>
  </r>
  <r>
    <x v="250"/>
    <x v="193"/>
    <x v="0"/>
    <x v="4"/>
    <x v="1"/>
    <x v="6"/>
    <x v="1"/>
    <n v="94.78"/>
    <x v="15"/>
    <n v="1421.7"/>
  </r>
  <r>
    <x v="251"/>
    <x v="194"/>
    <x v="4"/>
    <x v="1"/>
    <x v="4"/>
    <x v="1"/>
    <x v="2"/>
    <n v="114.72"/>
    <x v="3"/>
    <n v="1606.08"/>
  </r>
  <r>
    <x v="252"/>
    <x v="154"/>
    <x v="5"/>
    <x v="0"/>
    <x v="0"/>
    <x v="1"/>
    <x v="2"/>
    <n v="217.25"/>
    <x v="13"/>
    <n v="4345"/>
  </r>
  <r>
    <x v="253"/>
    <x v="54"/>
    <x v="5"/>
    <x v="5"/>
    <x v="4"/>
    <x v="5"/>
    <x v="0"/>
    <n v="99.72"/>
    <x v="9"/>
    <n v="797.76"/>
  </r>
  <r>
    <x v="254"/>
    <x v="159"/>
    <x v="1"/>
    <x v="4"/>
    <x v="2"/>
    <x v="3"/>
    <x v="0"/>
    <n v="67.290000000000006"/>
    <x v="19"/>
    <n v="672.9"/>
  </r>
  <r>
    <x v="255"/>
    <x v="195"/>
    <x v="1"/>
    <x v="1"/>
    <x v="1"/>
    <x v="5"/>
    <x v="0"/>
    <n v="152.5"/>
    <x v="12"/>
    <n v="2592.5"/>
  </r>
  <r>
    <x v="256"/>
    <x v="196"/>
    <x v="1"/>
    <x v="0"/>
    <x v="2"/>
    <x v="0"/>
    <x v="0"/>
    <n v="235.95"/>
    <x v="7"/>
    <n v="2831.4"/>
  </r>
  <r>
    <x v="257"/>
    <x v="153"/>
    <x v="3"/>
    <x v="2"/>
    <x v="1"/>
    <x v="0"/>
    <x v="1"/>
    <n v="183.13"/>
    <x v="5"/>
    <n v="1648.17"/>
  </r>
  <r>
    <x v="258"/>
    <x v="59"/>
    <x v="1"/>
    <x v="3"/>
    <x v="4"/>
    <x v="4"/>
    <x v="1"/>
    <n v="155.41"/>
    <x v="8"/>
    <n v="932.46"/>
  </r>
  <r>
    <x v="259"/>
    <x v="197"/>
    <x v="1"/>
    <x v="5"/>
    <x v="3"/>
    <x v="2"/>
    <x v="1"/>
    <n v="51.38"/>
    <x v="15"/>
    <n v="770.7"/>
  </r>
  <r>
    <x v="260"/>
    <x v="198"/>
    <x v="3"/>
    <x v="3"/>
    <x v="5"/>
    <x v="6"/>
    <x v="2"/>
    <n v="165.3"/>
    <x v="16"/>
    <n v="1818.3"/>
  </r>
  <r>
    <x v="261"/>
    <x v="199"/>
    <x v="4"/>
    <x v="5"/>
    <x v="5"/>
    <x v="3"/>
    <x v="1"/>
    <n v="247.81"/>
    <x v="19"/>
    <n v="2478.1"/>
  </r>
  <r>
    <x v="262"/>
    <x v="50"/>
    <x v="5"/>
    <x v="3"/>
    <x v="5"/>
    <x v="1"/>
    <x v="2"/>
    <n v="60.82"/>
    <x v="19"/>
    <n v="608.20000000000005"/>
  </r>
  <r>
    <x v="263"/>
    <x v="42"/>
    <x v="1"/>
    <x v="1"/>
    <x v="1"/>
    <x v="5"/>
    <x v="1"/>
    <n v="144.03"/>
    <x v="4"/>
    <n v="432.09"/>
  </r>
  <r>
    <x v="264"/>
    <x v="200"/>
    <x v="2"/>
    <x v="5"/>
    <x v="3"/>
    <x v="1"/>
    <x v="2"/>
    <n v="223.02"/>
    <x v="15"/>
    <n v="3345.3"/>
  </r>
  <r>
    <x v="265"/>
    <x v="201"/>
    <x v="4"/>
    <x v="5"/>
    <x v="4"/>
    <x v="5"/>
    <x v="0"/>
    <n v="192.97"/>
    <x v="6"/>
    <n v="1350.79"/>
  </r>
  <r>
    <x v="266"/>
    <x v="202"/>
    <x v="0"/>
    <x v="4"/>
    <x v="3"/>
    <x v="1"/>
    <x v="1"/>
    <n v="183.34"/>
    <x v="15"/>
    <n v="2750.1"/>
  </r>
  <r>
    <x v="267"/>
    <x v="203"/>
    <x v="0"/>
    <x v="2"/>
    <x v="3"/>
    <x v="6"/>
    <x v="2"/>
    <n v="184.55"/>
    <x v="8"/>
    <n v="1107.3"/>
  </r>
  <r>
    <x v="268"/>
    <x v="204"/>
    <x v="2"/>
    <x v="2"/>
    <x v="0"/>
    <x v="3"/>
    <x v="2"/>
    <n v="109.09"/>
    <x v="12"/>
    <n v="1854.53"/>
  </r>
  <r>
    <x v="269"/>
    <x v="205"/>
    <x v="4"/>
    <x v="0"/>
    <x v="1"/>
    <x v="1"/>
    <x v="1"/>
    <n v="94.59"/>
    <x v="3"/>
    <n v="1324.26"/>
  </r>
  <r>
    <x v="270"/>
    <x v="206"/>
    <x v="0"/>
    <x v="4"/>
    <x v="5"/>
    <x v="5"/>
    <x v="1"/>
    <n v="208.06"/>
    <x v="16"/>
    <n v="2288.66"/>
  </r>
  <r>
    <x v="271"/>
    <x v="149"/>
    <x v="4"/>
    <x v="0"/>
    <x v="3"/>
    <x v="5"/>
    <x v="0"/>
    <n v="208.22"/>
    <x v="19"/>
    <n v="2082.1999999999998"/>
  </r>
  <r>
    <x v="272"/>
    <x v="207"/>
    <x v="2"/>
    <x v="0"/>
    <x v="2"/>
    <x v="3"/>
    <x v="2"/>
    <n v="220.76"/>
    <x v="4"/>
    <n v="662.28"/>
  </r>
  <r>
    <x v="273"/>
    <x v="208"/>
    <x v="3"/>
    <x v="5"/>
    <x v="3"/>
    <x v="1"/>
    <x v="2"/>
    <n v="230.91"/>
    <x v="10"/>
    <n v="3001.83"/>
  </r>
  <r>
    <x v="274"/>
    <x v="62"/>
    <x v="1"/>
    <x v="4"/>
    <x v="2"/>
    <x v="2"/>
    <x v="1"/>
    <n v="142.5"/>
    <x v="10"/>
    <n v="1852.5"/>
  </r>
  <r>
    <x v="275"/>
    <x v="209"/>
    <x v="0"/>
    <x v="0"/>
    <x v="3"/>
    <x v="6"/>
    <x v="1"/>
    <n v="140.33000000000001"/>
    <x v="12"/>
    <n v="2385.61"/>
  </r>
  <r>
    <x v="276"/>
    <x v="140"/>
    <x v="4"/>
    <x v="4"/>
    <x v="2"/>
    <x v="0"/>
    <x v="2"/>
    <n v="205.62"/>
    <x v="2"/>
    <n v="205.62"/>
  </r>
  <r>
    <x v="277"/>
    <x v="95"/>
    <x v="3"/>
    <x v="2"/>
    <x v="2"/>
    <x v="1"/>
    <x v="2"/>
    <n v="172.99"/>
    <x v="6"/>
    <n v="1210.93"/>
  </r>
  <r>
    <x v="278"/>
    <x v="210"/>
    <x v="2"/>
    <x v="0"/>
    <x v="1"/>
    <x v="1"/>
    <x v="1"/>
    <n v="184.43"/>
    <x v="12"/>
    <n v="3135.31"/>
  </r>
  <r>
    <x v="279"/>
    <x v="211"/>
    <x v="3"/>
    <x v="5"/>
    <x v="4"/>
    <x v="0"/>
    <x v="0"/>
    <n v="205.07"/>
    <x v="13"/>
    <n v="4101.3999999999996"/>
  </r>
  <r>
    <x v="280"/>
    <x v="212"/>
    <x v="3"/>
    <x v="0"/>
    <x v="4"/>
    <x v="1"/>
    <x v="2"/>
    <n v="225.8"/>
    <x v="13"/>
    <n v="4516"/>
  </r>
  <r>
    <x v="281"/>
    <x v="213"/>
    <x v="5"/>
    <x v="5"/>
    <x v="0"/>
    <x v="4"/>
    <x v="1"/>
    <n v="104.36"/>
    <x v="9"/>
    <n v="834.88"/>
  </r>
  <r>
    <x v="282"/>
    <x v="214"/>
    <x v="2"/>
    <x v="2"/>
    <x v="0"/>
    <x v="4"/>
    <x v="2"/>
    <n v="112.63"/>
    <x v="9"/>
    <n v="901.04"/>
  </r>
  <r>
    <x v="283"/>
    <x v="215"/>
    <x v="1"/>
    <x v="5"/>
    <x v="4"/>
    <x v="6"/>
    <x v="2"/>
    <n v="50.68"/>
    <x v="7"/>
    <n v="608.16"/>
  </r>
  <r>
    <x v="284"/>
    <x v="20"/>
    <x v="2"/>
    <x v="3"/>
    <x v="2"/>
    <x v="4"/>
    <x v="0"/>
    <n v="157.22"/>
    <x v="12"/>
    <n v="2672.74"/>
  </r>
  <r>
    <x v="285"/>
    <x v="7"/>
    <x v="4"/>
    <x v="1"/>
    <x v="3"/>
    <x v="6"/>
    <x v="2"/>
    <n v="37.909999999999997"/>
    <x v="14"/>
    <n v="189.55"/>
  </r>
  <r>
    <x v="286"/>
    <x v="53"/>
    <x v="1"/>
    <x v="5"/>
    <x v="5"/>
    <x v="3"/>
    <x v="0"/>
    <n v="132.43"/>
    <x v="0"/>
    <n v="529.72"/>
  </r>
  <r>
    <x v="287"/>
    <x v="216"/>
    <x v="5"/>
    <x v="5"/>
    <x v="2"/>
    <x v="4"/>
    <x v="2"/>
    <n v="149.38"/>
    <x v="5"/>
    <n v="1344.42"/>
  </r>
  <r>
    <x v="288"/>
    <x v="161"/>
    <x v="5"/>
    <x v="4"/>
    <x v="5"/>
    <x v="6"/>
    <x v="0"/>
    <n v="93.04"/>
    <x v="9"/>
    <n v="744.32"/>
  </r>
  <r>
    <x v="289"/>
    <x v="159"/>
    <x v="4"/>
    <x v="2"/>
    <x v="4"/>
    <x v="1"/>
    <x v="2"/>
    <n v="159.97999999999999"/>
    <x v="12"/>
    <n v="2719.66"/>
  </r>
  <r>
    <x v="290"/>
    <x v="217"/>
    <x v="4"/>
    <x v="1"/>
    <x v="3"/>
    <x v="2"/>
    <x v="2"/>
    <n v="36.71"/>
    <x v="2"/>
    <n v="36.71"/>
  </r>
  <r>
    <x v="291"/>
    <x v="153"/>
    <x v="0"/>
    <x v="4"/>
    <x v="4"/>
    <x v="2"/>
    <x v="0"/>
    <n v="38.22"/>
    <x v="14"/>
    <n v="191.1"/>
  </r>
  <r>
    <x v="292"/>
    <x v="218"/>
    <x v="5"/>
    <x v="5"/>
    <x v="5"/>
    <x v="1"/>
    <x v="0"/>
    <n v="210.97"/>
    <x v="17"/>
    <n v="3375.52"/>
  </r>
  <r>
    <x v="293"/>
    <x v="163"/>
    <x v="3"/>
    <x v="5"/>
    <x v="3"/>
    <x v="5"/>
    <x v="1"/>
    <n v="109.24"/>
    <x v="6"/>
    <n v="764.68"/>
  </r>
  <r>
    <x v="294"/>
    <x v="2"/>
    <x v="4"/>
    <x v="2"/>
    <x v="0"/>
    <x v="1"/>
    <x v="0"/>
    <n v="57.95"/>
    <x v="0"/>
    <n v="231.8"/>
  </r>
  <r>
    <x v="295"/>
    <x v="219"/>
    <x v="1"/>
    <x v="5"/>
    <x v="4"/>
    <x v="1"/>
    <x v="0"/>
    <n v="144.88999999999999"/>
    <x v="3"/>
    <n v="2028.46"/>
  </r>
  <r>
    <x v="296"/>
    <x v="144"/>
    <x v="2"/>
    <x v="1"/>
    <x v="3"/>
    <x v="5"/>
    <x v="1"/>
    <n v="199.4"/>
    <x v="13"/>
    <n v="3988"/>
  </r>
  <r>
    <x v="297"/>
    <x v="155"/>
    <x v="4"/>
    <x v="3"/>
    <x v="5"/>
    <x v="5"/>
    <x v="2"/>
    <n v="77.48"/>
    <x v="14"/>
    <n v="387.4"/>
  </r>
  <r>
    <x v="298"/>
    <x v="155"/>
    <x v="5"/>
    <x v="2"/>
    <x v="3"/>
    <x v="2"/>
    <x v="0"/>
    <n v="167.04"/>
    <x v="11"/>
    <n v="3173.76"/>
  </r>
  <r>
    <x v="299"/>
    <x v="204"/>
    <x v="0"/>
    <x v="5"/>
    <x v="1"/>
    <x v="5"/>
    <x v="1"/>
    <n v="48.78"/>
    <x v="7"/>
    <n v="585.36"/>
  </r>
  <r>
    <x v="300"/>
    <x v="53"/>
    <x v="5"/>
    <x v="3"/>
    <x v="5"/>
    <x v="2"/>
    <x v="2"/>
    <n v="41.37"/>
    <x v="2"/>
    <n v="41.37"/>
  </r>
  <r>
    <x v="301"/>
    <x v="30"/>
    <x v="1"/>
    <x v="1"/>
    <x v="0"/>
    <x v="4"/>
    <x v="0"/>
    <n v="146.9"/>
    <x v="5"/>
    <n v="1322.1"/>
  </r>
  <r>
    <x v="302"/>
    <x v="220"/>
    <x v="1"/>
    <x v="0"/>
    <x v="3"/>
    <x v="1"/>
    <x v="1"/>
    <n v="148.94"/>
    <x v="9"/>
    <n v="1191.52"/>
  </r>
  <r>
    <x v="303"/>
    <x v="207"/>
    <x v="0"/>
    <x v="4"/>
    <x v="1"/>
    <x v="3"/>
    <x v="1"/>
    <n v="170.23"/>
    <x v="14"/>
    <n v="851.15"/>
  </r>
  <r>
    <x v="304"/>
    <x v="75"/>
    <x v="1"/>
    <x v="3"/>
    <x v="3"/>
    <x v="0"/>
    <x v="0"/>
    <n v="189.74"/>
    <x v="15"/>
    <n v="2846.1"/>
  </r>
  <r>
    <x v="305"/>
    <x v="31"/>
    <x v="0"/>
    <x v="4"/>
    <x v="2"/>
    <x v="1"/>
    <x v="0"/>
    <n v="244.69"/>
    <x v="15"/>
    <n v="3670.35"/>
  </r>
  <r>
    <x v="306"/>
    <x v="221"/>
    <x v="4"/>
    <x v="5"/>
    <x v="4"/>
    <x v="4"/>
    <x v="1"/>
    <n v="143.59"/>
    <x v="16"/>
    <n v="1579.49"/>
  </r>
  <r>
    <x v="307"/>
    <x v="78"/>
    <x v="0"/>
    <x v="0"/>
    <x v="2"/>
    <x v="3"/>
    <x v="2"/>
    <n v="101.05"/>
    <x v="5"/>
    <n v="909.45"/>
  </r>
  <r>
    <x v="308"/>
    <x v="222"/>
    <x v="4"/>
    <x v="1"/>
    <x v="0"/>
    <x v="6"/>
    <x v="2"/>
    <n v="204.94"/>
    <x v="16"/>
    <n v="2254.34"/>
  </r>
  <r>
    <x v="309"/>
    <x v="89"/>
    <x v="4"/>
    <x v="2"/>
    <x v="4"/>
    <x v="2"/>
    <x v="2"/>
    <n v="89.58"/>
    <x v="10"/>
    <n v="1164.54"/>
  </r>
  <r>
    <x v="310"/>
    <x v="103"/>
    <x v="4"/>
    <x v="1"/>
    <x v="3"/>
    <x v="6"/>
    <x v="0"/>
    <n v="126.57"/>
    <x v="12"/>
    <n v="2151.69"/>
  </r>
  <r>
    <x v="311"/>
    <x v="223"/>
    <x v="3"/>
    <x v="5"/>
    <x v="0"/>
    <x v="3"/>
    <x v="0"/>
    <n v="47.26"/>
    <x v="13"/>
    <n v="945.2"/>
  </r>
  <r>
    <x v="312"/>
    <x v="26"/>
    <x v="1"/>
    <x v="4"/>
    <x v="0"/>
    <x v="6"/>
    <x v="1"/>
    <n v="35.58"/>
    <x v="16"/>
    <n v="391.38"/>
  </r>
  <r>
    <x v="313"/>
    <x v="224"/>
    <x v="1"/>
    <x v="3"/>
    <x v="0"/>
    <x v="6"/>
    <x v="0"/>
    <n v="241.78"/>
    <x v="8"/>
    <n v="1450.68"/>
  </r>
  <r>
    <x v="314"/>
    <x v="118"/>
    <x v="5"/>
    <x v="4"/>
    <x v="3"/>
    <x v="4"/>
    <x v="0"/>
    <n v="213.92"/>
    <x v="13"/>
    <n v="4278.3999999999996"/>
  </r>
  <r>
    <x v="315"/>
    <x v="59"/>
    <x v="4"/>
    <x v="5"/>
    <x v="3"/>
    <x v="2"/>
    <x v="0"/>
    <n v="183.11"/>
    <x v="10"/>
    <n v="2380.4299999999998"/>
  </r>
  <r>
    <x v="316"/>
    <x v="225"/>
    <x v="2"/>
    <x v="0"/>
    <x v="4"/>
    <x v="1"/>
    <x v="0"/>
    <n v="119.97"/>
    <x v="14"/>
    <n v="599.85"/>
  </r>
  <r>
    <x v="317"/>
    <x v="33"/>
    <x v="1"/>
    <x v="4"/>
    <x v="0"/>
    <x v="6"/>
    <x v="1"/>
    <n v="68.12"/>
    <x v="9"/>
    <n v="544.96"/>
  </r>
  <r>
    <x v="318"/>
    <x v="226"/>
    <x v="3"/>
    <x v="0"/>
    <x v="4"/>
    <x v="3"/>
    <x v="2"/>
    <n v="64.42"/>
    <x v="13"/>
    <n v="1288.4000000000001"/>
  </r>
  <r>
    <x v="319"/>
    <x v="181"/>
    <x v="2"/>
    <x v="2"/>
    <x v="1"/>
    <x v="3"/>
    <x v="2"/>
    <n v="85.05"/>
    <x v="4"/>
    <n v="255.15"/>
  </r>
  <r>
    <x v="320"/>
    <x v="69"/>
    <x v="3"/>
    <x v="1"/>
    <x v="5"/>
    <x v="2"/>
    <x v="0"/>
    <n v="150.83000000000001"/>
    <x v="5"/>
    <n v="1357.47"/>
  </r>
  <r>
    <x v="321"/>
    <x v="144"/>
    <x v="5"/>
    <x v="5"/>
    <x v="5"/>
    <x v="3"/>
    <x v="2"/>
    <n v="187.21"/>
    <x v="12"/>
    <n v="3182.57"/>
  </r>
  <r>
    <x v="322"/>
    <x v="52"/>
    <x v="3"/>
    <x v="5"/>
    <x v="0"/>
    <x v="2"/>
    <x v="2"/>
    <n v="175.24"/>
    <x v="15"/>
    <n v="2628.6"/>
  </r>
  <r>
    <x v="323"/>
    <x v="227"/>
    <x v="3"/>
    <x v="1"/>
    <x v="4"/>
    <x v="0"/>
    <x v="1"/>
    <n v="91.59"/>
    <x v="0"/>
    <n v="366.36"/>
  </r>
  <r>
    <x v="324"/>
    <x v="181"/>
    <x v="1"/>
    <x v="4"/>
    <x v="3"/>
    <x v="3"/>
    <x v="1"/>
    <n v="240.07"/>
    <x v="4"/>
    <n v="720.21"/>
  </r>
  <r>
    <x v="325"/>
    <x v="228"/>
    <x v="2"/>
    <x v="4"/>
    <x v="0"/>
    <x v="4"/>
    <x v="0"/>
    <n v="192.34"/>
    <x v="18"/>
    <n v="3462.12"/>
  </r>
  <r>
    <x v="326"/>
    <x v="229"/>
    <x v="4"/>
    <x v="5"/>
    <x v="2"/>
    <x v="1"/>
    <x v="0"/>
    <n v="151.96"/>
    <x v="8"/>
    <n v="911.76"/>
  </r>
  <r>
    <x v="327"/>
    <x v="1"/>
    <x v="5"/>
    <x v="1"/>
    <x v="0"/>
    <x v="5"/>
    <x v="1"/>
    <n v="164.58"/>
    <x v="9"/>
    <n v="1316.64"/>
  </r>
  <r>
    <x v="328"/>
    <x v="103"/>
    <x v="2"/>
    <x v="2"/>
    <x v="1"/>
    <x v="1"/>
    <x v="0"/>
    <n v="122.31"/>
    <x v="15"/>
    <n v="1834.65"/>
  </r>
  <r>
    <x v="329"/>
    <x v="73"/>
    <x v="1"/>
    <x v="0"/>
    <x v="4"/>
    <x v="5"/>
    <x v="2"/>
    <n v="84.5"/>
    <x v="10"/>
    <n v="1098.5"/>
  </r>
  <r>
    <x v="330"/>
    <x v="169"/>
    <x v="0"/>
    <x v="2"/>
    <x v="0"/>
    <x v="2"/>
    <x v="0"/>
    <n v="108.31"/>
    <x v="11"/>
    <n v="2057.89"/>
  </r>
  <r>
    <x v="331"/>
    <x v="230"/>
    <x v="1"/>
    <x v="5"/>
    <x v="0"/>
    <x v="0"/>
    <x v="1"/>
    <n v="196.73"/>
    <x v="15"/>
    <n v="2950.95"/>
  </r>
  <r>
    <x v="332"/>
    <x v="0"/>
    <x v="3"/>
    <x v="2"/>
    <x v="4"/>
    <x v="5"/>
    <x v="0"/>
    <n v="33.17"/>
    <x v="11"/>
    <n v="630.23"/>
  </r>
  <r>
    <x v="333"/>
    <x v="231"/>
    <x v="3"/>
    <x v="4"/>
    <x v="2"/>
    <x v="0"/>
    <x v="2"/>
    <n v="55.54"/>
    <x v="12"/>
    <n v="944.18"/>
  </r>
  <r>
    <x v="334"/>
    <x v="142"/>
    <x v="4"/>
    <x v="5"/>
    <x v="0"/>
    <x v="4"/>
    <x v="0"/>
    <n v="40.119999999999997"/>
    <x v="9"/>
    <n v="320.95999999999998"/>
  </r>
  <r>
    <x v="335"/>
    <x v="56"/>
    <x v="1"/>
    <x v="5"/>
    <x v="0"/>
    <x v="0"/>
    <x v="1"/>
    <n v="38.96"/>
    <x v="6"/>
    <n v="272.72000000000003"/>
  </r>
  <r>
    <x v="336"/>
    <x v="76"/>
    <x v="2"/>
    <x v="1"/>
    <x v="1"/>
    <x v="2"/>
    <x v="0"/>
    <n v="218.2"/>
    <x v="13"/>
    <n v="4364"/>
  </r>
  <r>
    <x v="337"/>
    <x v="97"/>
    <x v="3"/>
    <x v="2"/>
    <x v="3"/>
    <x v="5"/>
    <x v="1"/>
    <n v="184.8"/>
    <x v="11"/>
    <n v="3511.2"/>
  </r>
  <r>
    <x v="338"/>
    <x v="7"/>
    <x v="2"/>
    <x v="1"/>
    <x v="5"/>
    <x v="1"/>
    <x v="0"/>
    <n v="134.32"/>
    <x v="16"/>
    <n v="1477.52"/>
  </r>
  <r>
    <x v="339"/>
    <x v="174"/>
    <x v="4"/>
    <x v="0"/>
    <x v="2"/>
    <x v="4"/>
    <x v="1"/>
    <n v="51.52"/>
    <x v="11"/>
    <n v="978.88"/>
  </r>
  <r>
    <x v="340"/>
    <x v="232"/>
    <x v="1"/>
    <x v="1"/>
    <x v="4"/>
    <x v="2"/>
    <x v="1"/>
    <n v="138.16"/>
    <x v="13"/>
    <n v="2763.2"/>
  </r>
  <r>
    <x v="341"/>
    <x v="10"/>
    <x v="5"/>
    <x v="2"/>
    <x v="3"/>
    <x v="6"/>
    <x v="2"/>
    <n v="134.16"/>
    <x v="19"/>
    <n v="1341.6"/>
  </r>
  <r>
    <x v="342"/>
    <x v="131"/>
    <x v="1"/>
    <x v="1"/>
    <x v="2"/>
    <x v="6"/>
    <x v="2"/>
    <n v="68.099999999999994"/>
    <x v="4"/>
    <n v="204.3"/>
  </r>
  <r>
    <x v="343"/>
    <x v="147"/>
    <x v="3"/>
    <x v="4"/>
    <x v="1"/>
    <x v="0"/>
    <x v="2"/>
    <n v="125.45"/>
    <x v="15"/>
    <n v="1881.75"/>
  </r>
  <r>
    <x v="344"/>
    <x v="90"/>
    <x v="5"/>
    <x v="2"/>
    <x v="0"/>
    <x v="5"/>
    <x v="1"/>
    <n v="117.67"/>
    <x v="7"/>
    <n v="1412.04"/>
  </r>
  <r>
    <x v="345"/>
    <x v="54"/>
    <x v="3"/>
    <x v="3"/>
    <x v="5"/>
    <x v="3"/>
    <x v="2"/>
    <n v="165.49"/>
    <x v="16"/>
    <n v="1820.39"/>
  </r>
  <r>
    <x v="346"/>
    <x v="102"/>
    <x v="0"/>
    <x v="1"/>
    <x v="0"/>
    <x v="6"/>
    <x v="1"/>
    <n v="169.72"/>
    <x v="14"/>
    <n v="848.6"/>
  </r>
  <r>
    <x v="347"/>
    <x v="233"/>
    <x v="3"/>
    <x v="4"/>
    <x v="1"/>
    <x v="2"/>
    <x v="2"/>
    <n v="39.97"/>
    <x v="9"/>
    <n v="319.76"/>
  </r>
  <r>
    <x v="348"/>
    <x v="70"/>
    <x v="5"/>
    <x v="5"/>
    <x v="4"/>
    <x v="6"/>
    <x v="2"/>
    <n v="112.41"/>
    <x v="8"/>
    <n v="674.46"/>
  </r>
  <r>
    <x v="349"/>
    <x v="234"/>
    <x v="0"/>
    <x v="3"/>
    <x v="1"/>
    <x v="6"/>
    <x v="0"/>
    <n v="167.69"/>
    <x v="2"/>
    <n v="167.69"/>
  </r>
  <r>
    <x v="350"/>
    <x v="235"/>
    <x v="4"/>
    <x v="1"/>
    <x v="5"/>
    <x v="3"/>
    <x v="2"/>
    <n v="140.69"/>
    <x v="11"/>
    <n v="2673.11"/>
  </r>
  <r>
    <x v="351"/>
    <x v="236"/>
    <x v="4"/>
    <x v="5"/>
    <x v="5"/>
    <x v="4"/>
    <x v="0"/>
    <n v="218.43"/>
    <x v="17"/>
    <n v="3494.88"/>
  </r>
  <r>
    <x v="352"/>
    <x v="223"/>
    <x v="4"/>
    <x v="0"/>
    <x v="0"/>
    <x v="4"/>
    <x v="2"/>
    <n v="174.91"/>
    <x v="14"/>
    <n v="874.55"/>
  </r>
  <r>
    <x v="353"/>
    <x v="237"/>
    <x v="5"/>
    <x v="1"/>
    <x v="1"/>
    <x v="5"/>
    <x v="0"/>
    <n v="65.849999999999994"/>
    <x v="1"/>
    <n v="131.69999999999999"/>
  </r>
  <r>
    <x v="354"/>
    <x v="140"/>
    <x v="4"/>
    <x v="1"/>
    <x v="4"/>
    <x v="5"/>
    <x v="2"/>
    <n v="45.53"/>
    <x v="18"/>
    <n v="819.54"/>
  </r>
  <r>
    <x v="355"/>
    <x v="238"/>
    <x v="2"/>
    <x v="0"/>
    <x v="1"/>
    <x v="1"/>
    <x v="0"/>
    <n v="171.33"/>
    <x v="5"/>
    <n v="1541.97"/>
  </r>
  <r>
    <x v="356"/>
    <x v="35"/>
    <x v="4"/>
    <x v="4"/>
    <x v="1"/>
    <x v="3"/>
    <x v="0"/>
    <n v="35.83"/>
    <x v="10"/>
    <n v="465.79"/>
  </r>
  <r>
    <x v="357"/>
    <x v="158"/>
    <x v="2"/>
    <x v="3"/>
    <x v="1"/>
    <x v="1"/>
    <x v="0"/>
    <n v="158.87"/>
    <x v="13"/>
    <n v="3177.4"/>
  </r>
  <r>
    <x v="358"/>
    <x v="64"/>
    <x v="1"/>
    <x v="4"/>
    <x v="4"/>
    <x v="5"/>
    <x v="2"/>
    <n v="236.85"/>
    <x v="14"/>
    <n v="1184.25"/>
  </r>
  <r>
    <x v="359"/>
    <x v="132"/>
    <x v="2"/>
    <x v="2"/>
    <x v="0"/>
    <x v="5"/>
    <x v="2"/>
    <n v="156.6"/>
    <x v="13"/>
    <n v="3132"/>
  </r>
  <r>
    <x v="360"/>
    <x v="104"/>
    <x v="2"/>
    <x v="0"/>
    <x v="0"/>
    <x v="5"/>
    <x v="2"/>
    <n v="115.4"/>
    <x v="10"/>
    <n v="1500.2"/>
  </r>
  <r>
    <x v="361"/>
    <x v="239"/>
    <x v="2"/>
    <x v="3"/>
    <x v="3"/>
    <x v="5"/>
    <x v="2"/>
    <n v="171.52"/>
    <x v="12"/>
    <n v="2915.84"/>
  </r>
  <r>
    <x v="362"/>
    <x v="240"/>
    <x v="4"/>
    <x v="4"/>
    <x v="3"/>
    <x v="1"/>
    <x v="2"/>
    <n v="130.82"/>
    <x v="2"/>
    <n v="130.82"/>
  </r>
  <r>
    <x v="363"/>
    <x v="241"/>
    <x v="1"/>
    <x v="0"/>
    <x v="3"/>
    <x v="1"/>
    <x v="1"/>
    <n v="150.04"/>
    <x v="19"/>
    <n v="1500.4"/>
  </r>
  <r>
    <x v="364"/>
    <x v="78"/>
    <x v="1"/>
    <x v="5"/>
    <x v="1"/>
    <x v="0"/>
    <x v="1"/>
    <n v="237.12"/>
    <x v="5"/>
    <n v="2134.08"/>
  </r>
  <r>
    <x v="365"/>
    <x v="126"/>
    <x v="5"/>
    <x v="2"/>
    <x v="1"/>
    <x v="2"/>
    <x v="1"/>
    <n v="114.94"/>
    <x v="11"/>
    <n v="2183.86"/>
  </r>
  <r>
    <x v="366"/>
    <x v="48"/>
    <x v="3"/>
    <x v="0"/>
    <x v="2"/>
    <x v="1"/>
    <x v="1"/>
    <n v="241.46"/>
    <x v="10"/>
    <n v="3138.98"/>
  </r>
  <r>
    <x v="367"/>
    <x v="242"/>
    <x v="3"/>
    <x v="1"/>
    <x v="4"/>
    <x v="3"/>
    <x v="2"/>
    <n v="229.18"/>
    <x v="0"/>
    <n v="916.72"/>
  </r>
  <r>
    <x v="368"/>
    <x v="243"/>
    <x v="1"/>
    <x v="2"/>
    <x v="4"/>
    <x v="5"/>
    <x v="1"/>
    <n v="73.069999999999993"/>
    <x v="3"/>
    <n v="1022.98"/>
  </r>
  <r>
    <x v="369"/>
    <x v="145"/>
    <x v="1"/>
    <x v="2"/>
    <x v="1"/>
    <x v="0"/>
    <x v="1"/>
    <n v="45.26"/>
    <x v="1"/>
    <n v="90.52"/>
  </r>
  <r>
    <x v="370"/>
    <x v="182"/>
    <x v="2"/>
    <x v="3"/>
    <x v="0"/>
    <x v="0"/>
    <x v="2"/>
    <n v="52.17"/>
    <x v="17"/>
    <n v="834.72"/>
  </r>
  <r>
    <x v="371"/>
    <x v="244"/>
    <x v="2"/>
    <x v="4"/>
    <x v="3"/>
    <x v="4"/>
    <x v="1"/>
    <n v="34.01"/>
    <x v="16"/>
    <n v="374.11"/>
  </r>
  <r>
    <x v="372"/>
    <x v="21"/>
    <x v="2"/>
    <x v="3"/>
    <x v="2"/>
    <x v="0"/>
    <x v="2"/>
    <n v="50.78"/>
    <x v="5"/>
    <n v="457.02"/>
  </r>
  <r>
    <x v="373"/>
    <x v="14"/>
    <x v="3"/>
    <x v="4"/>
    <x v="0"/>
    <x v="2"/>
    <x v="0"/>
    <n v="180.26"/>
    <x v="19"/>
    <n v="1802.6"/>
  </r>
  <r>
    <x v="374"/>
    <x v="29"/>
    <x v="4"/>
    <x v="3"/>
    <x v="0"/>
    <x v="5"/>
    <x v="1"/>
    <n v="45.66"/>
    <x v="17"/>
    <n v="730.56"/>
  </r>
  <r>
    <x v="375"/>
    <x v="245"/>
    <x v="0"/>
    <x v="5"/>
    <x v="3"/>
    <x v="5"/>
    <x v="2"/>
    <n v="100.17"/>
    <x v="19"/>
    <n v="1001.7"/>
  </r>
  <r>
    <x v="376"/>
    <x v="159"/>
    <x v="3"/>
    <x v="4"/>
    <x v="5"/>
    <x v="3"/>
    <x v="1"/>
    <n v="215.87"/>
    <x v="7"/>
    <n v="2590.44"/>
  </r>
  <r>
    <x v="377"/>
    <x v="26"/>
    <x v="5"/>
    <x v="0"/>
    <x v="0"/>
    <x v="2"/>
    <x v="2"/>
    <n v="35.119999999999997"/>
    <x v="7"/>
    <n v="421.44"/>
  </r>
  <r>
    <x v="378"/>
    <x v="246"/>
    <x v="2"/>
    <x v="4"/>
    <x v="1"/>
    <x v="2"/>
    <x v="2"/>
    <n v="209.18"/>
    <x v="6"/>
    <n v="1464.26"/>
  </r>
  <r>
    <x v="379"/>
    <x v="18"/>
    <x v="2"/>
    <x v="0"/>
    <x v="1"/>
    <x v="0"/>
    <x v="0"/>
    <n v="92.01"/>
    <x v="0"/>
    <n v="368.04"/>
  </r>
  <r>
    <x v="380"/>
    <x v="160"/>
    <x v="3"/>
    <x v="0"/>
    <x v="2"/>
    <x v="1"/>
    <x v="0"/>
    <n v="56"/>
    <x v="12"/>
    <n v="952"/>
  </r>
  <r>
    <x v="381"/>
    <x v="184"/>
    <x v="1"/>
    <x v="3"/>
    <x v="5"/>
    <x v="2"/>
    <x v="0"/>
    <n v="183.28"/>
    <x v="16"/>
    <n v="2016.08"/>
  </r>
  <r>
    <x v="382"/>
    <x v="247"/>
    <x v="3"/>
    <x v="3"/>
    <x v="3"/>
    <x v="6"/>
    <x v="2"/>
    <n v="168.37"/>
    <x v="18"/>
    <n v="3030.66"/>
  </r>
  <r>
    <x v="383"/>
    <x v="183"/>
    <x v="4"/>
    <x v="4"/>
    <x v="0"/>
    <x v="2"/>
    <x v="0"/>
    <n v="223.04"/>
    <x v="6"/>
    <n v="1561.28"/>
  </r>
  <r>
    <x v="384"/>
    <x v="248"/>
    <x v="3"/>
    <x v="5"/>
    <x v="3"/>
    <x v="2"/>
    <x v="0"/>
    <n v="191.72"/>
    <x v="11"/>
    <n v="3642.68"/>
  </r>
  <r>
    <x v="385"/>
    <x v="75"/>
    <x v="3"/>
    <x v="1"/>
    <x v="4"/>
    <x v="4"/>
    <x v="2"/>
    <n v="206.77"/>
    <x v="3"/>
    <n v="2894.78"/>
  </r>
  <r>
    <x v="386"/>
    <x v="46"/>
    <x v="0"/>
    <x v="1"/>
    <x v="0"/>
    <x v="5"/>
    <x v="1"/>
    <n v="92.05"/>
    <x v="19"/>
    <n v="920.5"/>
  </r>
  <r>
    <x v="387"/>
    <x v="54"/>
    <x v="4"/>
    <x v="3"/>
    <x v="3"/>
    <x v="5"/>
    <x v="1"/>
    <n v="69.040000000000006"/>
    <x v="16"/>
    <n v="759.44"/>
  </r>
  <r>
    <x v="388"/>
    <x v="249"/>
    <x v="2"/>
    <x v="3"/>
    <x v="0"/>
    <x v="0"/>
    <x v="0"/>
    <n v="195.14"/>
    <x v="14"/>
    <n v="975.7"/>
  </r>
  <r>
    <x v="389"/>
    <x v="92"/>
    <x v="1"/>
    <x v="3"/>
    <x v="3"/>
    <x v="3"/>
    <x v="1"/>
    <n v="207.5"/>
    <x v="8"/>
    <n v="1245"/>
  </r>
  <r>
    <x v="390"/>
    <x v="46"/>
    <x v="1"/>
    <x v="4"/>
    <x v="0"/>
    <x v="5"/>
    <x v="1"/>
    <n v="247.91"/>
    <x v="2"/>
    <n v="247.91"/>
  </r>
  <r>
    <x v="391"/>
    <x v="119"/>
    <x v="2"/>
    <x v="0"/>
    <x v="4"/>
    <x v="4"/>
    <x v="2"/>
    <n v="120.78"/>
    <x v="8"/>
    <n v="724.68"/>
  </r>
  <r>
    <x v="392"/>
    <x v="250"/>
    <x v="0"/>
    <x v="3"/>
    <x v="3"/>
    <x v="1"/>
    <x v="0"/>
    <n v="111.84"/>
    <x v="16"/>
    <n v="1230.24"/>
  </r>
  <r>
    <x v="393"/>
    <x v="1"/>
    <x v="4"/>
    <x v="2"/>
    <x v="5"/>
    <x v="3"/>
    <x v="2"/>
    <n v="200.81"/>
    <x v="17"/>
    <n v="3212.96"/>
  </r>
  <r>
    <x v="394"/>
    <x v="251"/>
    <x v="4"/>
    <x v="4"/>
    <x v="0"/>
    <x v="5"/>
    <x v="1"/>
    <n v="104.98"/>
    <x v="15"/>
    <n v="1574.7"/>
  </r>
  <r>
    <x v="395"/>
    <x v="125"/>
    <x v="4"/>
    <x v="0"/>
    <x v="0"/>
    <x v="2"/>
    <x v="0"/>
    <n v="234.77"/>
    <x v="2"/>
    <n v="234.77"/>
  </r>
  <r>
    <x v="396"/>
    <x v="202"/>
    <x v="5"/>
    <x v="4"/>
    <x v="2"/>
    <x v="6"/>
    <x v="1"/>
    <n v="218.85"/>
    <x v="0"/>
    <n v="875.4"/>
  </r>
  <r>
    <x v="397"/>
    <x v="252"/>
    <x v="1"/>
    <x v="1"/>
    <x v="3"/>
    <x v="3"/>
    <x v="2"/>
    <n v="124.38"/>
    <x v="19"/>
    <n v="1243.8"/>
  </r>
  <r>
    <x v="398"/>
    <x v="253"/>
    <x v="3"/>
    <x v="2"/>
    <x v="4"/>
    <x v="0"/>
    <x v="2"/>
    <n v="195.19"/>
    <x v="9"/>
    <n v="1561.52"/>
  </r>
  <r>
    <x v="399"/>
    <x v="128"/>
    <x v="5"/>
    <x v="0"/>
    <x v="1"/>
    <x v="6"/>
    <x v="1"/>
    <n v="196"/>
    <x v="7"/>
    <n v="2352"/>
  </r>
  <r>
    <x v="400"/>
    <x v="254"/>
    <x v="3"/>
    <x v="0"/>
    <x v="1"/>
    <x v="4"/>
    <x v="0"/>
    <n v="52.69"/>
    <x v="6"/>
    <n v="368.83"/>
  </r>
  <r>
    <x v="401"/>
    <x v="255"/>
    <x v="2"/>
    <x v="0"/>
    <x v="0"/>
    <x v="1"/>
    <x v="1"/>
    <n v="228.56"/>
    <x v="15"/>
    <n v="3428.4"/>
  </r>
  <r>
    <x v="402"/>
    <x v="25"/>
    <x v="2"/>
    <x v="5"/>
    <x v="2"/>
    <x v="5"/>
    <x v="1"/>
    <n v="141.16"/>
    <x v="1"/>
    <n v="282.32"/>
  </r>
  <r>
    <x v="403"/>
    <x v="132"/>
    <x v="4"/>
    <x v="5"/>
    <x v="4"/>
    <x v="1"/>
    <x v="1"/>
    <n v="211.82"/>
    <x v="8"/>
    <n v="1270.92"/>
  </r>
  <r>
    <x v="404"/>
    <x v="256"/>
    <x v="5"/>
    <x v="1"/>
    <x v="1"/>
    <x v="6"/>
    <x v="0"/>
    <n v="100.41"/>
    <x v="11"/>
    <n v="1907.79"/>
  </r>
  <r>
    <x v="405"/>
    <x v="131"/>
    <x v="2"/>
    <x v="3"/>
    <x v="4"/>
    <x v="5"/>
    <x v="0"/>
    <n v="227.02"/>
    <x v="14"/>
    <n v="1135.0999999999999"/>
  </r>
  <r>
    <x v="406"/>
    <x v="62"/>
    <x v="1"/>
    <x v="4"/>
    <x v="3"/>
    <x v="1"/>
    <x v="2"/>
    <n v="115.62"/>
    <x v="15"/>
    <n v="1734.3"/>
  </r>
  <r>
    <x v="407"/>
    <x v="156"/>
    <x v="1"/>
    <x v="2"/>
    <x v="1"/>
    <x v="1"/>
    <x v="0"/>
    <n v="32.380000000000003"/>
    <x v="2"/>
    <n v="32.380000000000003"/>
  </r>
  <r>
    <x v="408"/>
    <x v="2"/>
    <x v="1"/>
    <x v="1"/>
    <x v="1"/>
    <x v="1"/>
    <x v="0"/>
    <n v="229.18"/>
    <x v="7"/>
    <n v="2750.16"/>
  </r>
  <r>
    <x v="409"/>
    <x v="145"/>
    <x v="4"/>
    <x v="3"/>
    <x v="2"/>
    <x v="4"/>
    <x v="0"/>
    <n v="50.08"/>
    <x v="1"/>
    <n v="100.16"/>
  </r>
  <r>
    <x v="410"/>
    <x v="174"/>
    <x v="4"/>
    <x v="3"/>
    <x v="4"/>
    <x v="4"/>
    <x v="2"/>
    <n v="100.25"/>
    <x v="3"/>
    <n v="1403.5"/>
  </r>
  <r>
    <x v="411"/>
    <x v="257"/>
    <x v="1"/>
    <x v="0"/>
    <x v="1"/>
    <x v="0"/>
    <x v="1"/>
    <n v="239.01"/>
    <x v="4"/>
    <n v="717.03"/>
  </r>
  <r>
    <x v="412"/>
    <x v="196"/>
    <x v="3"/>
    <x v="5"/>
    <x v="4"/>
    <x v="5"/>
    <x v="0"/>
    <n v="239.13"/>
    <x v="0"/>
    <n v="956.52"/>
  </r>
  <r>
    <x v="413"/>
    <x v="217"/>
    <x v="0"/>
    <x v="4"/>
    <x v="4"/>
    <x v="2"/>
    <x v="1"/>
    <n v="156.16"/>
    <x v="2"/>
    <n v="156.16"/>
  </r>
  <r>
    <x v="414"/>
    <x v="258"/>
    <x v="2"/>
    <x v="3"/>
    <x v="2"/>
    <x v="0"/>
    <x v="2"/>
    <n v="169"/>
    <x v="3"/>
    <n v="2366"/>
  </r>
  <r>
    <x v="415"/>
    <x v="259"/>
    <x v="4"/>
    <x v="2"/>
    <x v="3"/>
    <x v="4"/>
    <x v="0"/>
    <n v="128.66"/>
    <x v="14"/>
    <n v="643.29999999999995"/>
  </r>
  <r>
    <x v="416"/>
    <x v="226"/>
    <x v="2"/>
    <x v="1"/>
    <x v="2"/>
    <x v="0"/>
    <x v="0"/>
    <n v="94.51"/>
    <x v="3"/>
    <n v="1323.14"/>
  </r>
  <r>
    <x v="417"/>
    <x v="210"/>
    <x v="0"/>
    <x v="3"/>
    <x v="1"/>
    <x v="2"/>
    <x v="1"/>
    <n v="102.31"/>
    <x v="13"/>
    <n v="2046.2"/>
  </r>
  <r>
    <x v="418"/>
    <x v="222"/>
    <x v="1"/>
    <x v="1"/>
    <x v="4"/>
    <x v="6"/>
    <x v="0"/>
    <n v="177.95"/>
    <x v="9"/>
    <n v="1423.6"/>
  </r>
  <r>
    <x v="419"/>
    <x v="24"/>
    <x v="0"/>
    <x v="2"/>
    <x v="1"/>
    <x v="3"/>
    <x v="0"/>
    <n v="195.52"/>
    <x v="6"/>
    <n v="1368.64"/>
  </r>
  <r>
    <x v="420"/>
    <x v="260"/>
    <x v="2"/>
    <x v="5"/>
    <x v="3"/>
    <x v="4"/>
    <x v="2"/>
    <n v="204.15"/>
    <x v="16"/>
    <n v="2245.65"/>
  </r>
  <r>
    <x v="421"/>
    <x v="261"/>
    <x v="3"/>
    <x v="0"/>
    <x v="1"/>
    <x v="0"/>
    <x v="2"/>
    <n v="203.72"/>
    <x v="19"/>
    <n v="2037.2"/>
  </r>
  <r>
    <x v="422"/>
    <x v="157"/>
    <x v="0"/>
    <x v="5"/>
    <x v="1"/>
    <x v="2"/>
    <x v="0"/>
    <n v="50.07"/>
    <x v="5"/>
    <n v="450.63"/>
  </r>
  <r>
    <x v="423"/>
    <x v="262"/>
    <x v="2"/>
    <x v="3"/>
    <x v="5"/>
    <x v="3"/>
    <x v="1"/>
    <n v="138.77000000000001"/>
    <x v="3"/>
    <n v="1942.78"/>
  </r>
  <r>
    <x v="424"/>
    <x v="263"/>
    <x v="2"/>
    <x v="4"/>
    <x v="3"/>
    <x v="6"/>
    <x v="2"/>
    <n v="42.66"/>
    <x v="10"/>
    <n v="554.58000000000004"/>
  </r>
  <r>
    <x v="425"/>
    <x v="132"/>
    <x v="5"/>
    <x v="2"/>
    <x v="1"/>
    <x v="6"/>
    <x v="0"/>
    <n v="150.9"/>
    <x v="19"/>
    <n v="1509"/>
  </r>
  <r>
    <x v="426"/>
    <x v="80"/>
    <x v="1"/>
    <x v="2"/>
    <x v="4"/>
    <x v="1"/>
    <x v="1"/>
    <n v="127.14"/>
    <x v="19"/>
    <n v="1271.4000000000001"/>
  </r>
  <r>
    <x v="427"/>
    <x v="184"/>
    <x v="2"/>
    <x v="5"/>
    <x v="2"/>
    <x v="6"/>
    <x v="0"/>
    <n v="225.29"/>
    <x v="3"/>
    <n v="3154.06"/>
  </r>
  <r>
    <x v="428"/>
    <x v="156"/>
    <x v="4"/>
    <x v="0"/>
    <x v="5"/>
    <x v="6"/>
    <x v="2"/>
    <n v="107.2"/>
    <x v="6"/>
    <n v="750.4"/>
  </r>
  <r>
    <x v="429"/>
    <x v="143"/>
    <x v="1"/>
    <x v="2"/>
    <x v="5"/>
    <x v="3"/>
    <x v="2"/>
    <n v="55.75"/>
    <x v="18"/>
    <n v="1003.5"/>
  </r>
  <r>
    <x v="430"/>
    <x v="264"/>
    <x v="2"/>
    <x v="1"/>
    <x v="5"/>
    <x v="0"/>
    <x v="1"/>
    <n v="61.46"/>
    <x v="13"/>
    <n v="1229.2"/>
  </r>
  <r>
    <x v="431"/>
    <x v="263"/>
    <x v="3"/>
    <x v="3"/>
    <x v="2"/>
    <x v="4"/>
    <x v="2"/>
    <n v="197.53"/>
    <x v="18"/>
    <n v="3555.54"/>
  </r>
  <r>
    <x v="432"/>
    <x v="76"/>
    <x v="3"/>
    <x v="2"/>
    <x v="3"/>
    <x v="1"/>
    <x v="1"/>
    <n v="166.01"/>
    <x v="2"/>
    <n v="166.01"/>
  </r>
  <r>
    <x v="433"/>
    <x v="180"/>
    <x v="1"/>
    <x v="5"/>
    <x v="3"/>
    <x v="0"/>
    <x v="2"/>
    <n v="52.25"/>
    <x v="9"/>
    <n v="418"/>
  </r>
  <r>
    <x v="434"/>
    <x v="219"/>
    <x v="4"/>
    <x v="4"/>
    <x v="4"/>
    <x v="6"/>
    <x v="1"/>
    <n v="48.5"/>
    <x v="18"/>
    <n v="873"/>
  </r>
  <r>
    <x v="435"/>
    <x v="265"/>
    <x v="4"/>
    <x v="4"/>
    <x v="0"/>
    <x v="5"/>
    <x v="2"/>
    <n v="184.21"/>
    <x v="7"/>
    <n v="2210.52"/>
  </r>
  <r>
    <x v="436"/>
    <x v="266"/>
    <x v="1"/>
    <x v="3"/>
    <x v="0"/>
    <x v="0"/>
    <x v="2"/>
    <n v="46.01"/>
    <x v="0"/>
    <n v="184.04"/>
  </r>
  <r>
    <x v="437"/>
    <x v="69"/>
    <x v="0"/>
    <x v="5"/>
    <x v="2"/>
    <x v="2"/>
    <x v="0"/>
    <n v="210.81"/>
    <x v="3"/>
    <n v="2951.34"/>
  </r>
  <r>
    <x v="438"/>
    <x v="267"/>
    <x v="2"/>
    <x v="5"/>
    <x v="1"/>
    <x v="2"/>
    <x v="2"/>
    <n v="185.37"/>
    <x v="5"/>
    <n v="1668.33"/>
  </r>
  <r>
    <x v="439"/>
    <x v="122"/>
    <x v="3"/>
    <x v="4"/>
    <x v="2"/>
    <x v="6"/>
    <x v="1"/>
    <n v="47.9"/>
    <x v="14"/>
    <n v="239.5"/>
  </r>
  <r>
    <x v="440"/>
    <x v="13"/>
    <x v="2"/>
    <x v="0"/>
    <x v="3"/>
    <x v="3"/>
    <x v="2"/>
    <n v="48.66"/>
    <x v="17"/>
    <n v="778.56"/>
  </r>
  <r>
    <x v="441"/>
    <x v="115"/>
    <x v="5"/>
    <x v="2"/>
    <x v="3"/>
    <x v="4"/>
    <x v="2"/>
    <n v="247.06"/>
    <x v="17"/>
    <n v="3952.96"/>
  </r>
  <r>
    <x v="442"/>
    <x v="268"/>
    <x v="1"/>
    <x v="5"/>
    <x v="4"/>
    <x v="0"/>
    <x v="1"/>
    <n v="112.34"/>
    <x v="14"/>
    <n v="561.70000000000005"/>
  </r>
  <r>
    <x v="443"/>
    <x v="174"/>
    <x v="2"/>
    <x v="1"/>
    <x v="5"/>
    <x v="4"/>
    <x v="1"/>
    <n v="111.54"/>
    <x v="1"/>
    <n v="223.08"/>
  </r>
  <r>
    <x v="444"/>
    <x v="222"/>
    <x v="5"/>
    <x v="2"/>
    <x v="3"/>
    <x v="0"/>
    <x v="0"/>
    <n v="208.82"/>
    <x v="2"/>
    <n v="208.82"/>
  </r>
  <r>
    <x v="445"/>
    <x v="109"/>
    <x v="0"/>
    <x v="2"/>
    <x v="1"/>
    <x v="6"/>
    <x v="2"/>
    <n v="238.39"/>
    <x v="14"/>
    <n v="1191.95"/>
  </r>
  <r>
    <x v="446"/>
    <x v="41"/>
    <x v="1"/>
    <x v="0"/>
    <x v="1"/>
    <x v="6"/>
    <x v="1"/>
    <n v="246.92"/>
    <x v="13"/>
    <n v="4938.3999999999996"/>
  </r>
  <r>
    <x v="447"/>
    <x v="43"/>
    <x v="0"/>
    <x v="5"/>
    <x v="1"/>
    <x v="6"/>
    <x v="0"/>
    <n v="195.74"/>
    <x v="2"/>
    <n v="195.74"/>
  </r>
  <r>
    <x v="448"/>
    <x v="267"/>
    <x v="1"/>
    <x v="4"/>
    <x v="1"/>
    <x v="3"/>
    <x v="0"/>
    <n v="112.78"/>
    <x v="12"/>
    <n v="1917.26"/>
  </r>
  <r>
    <x v="449"/>
    <x v="252"/>
    <x v="3"/>
    <x v="1"/>
    <x v="5"/>
    <x v="5"/>
    <x v="0"/>
    <n v="48.37"/>
    <x v="3"/>
    <n v="677.18"/>
  </r>
  <r>
    <x v="450"/>
    <x v="155"/>
    <x v="2"/>
    <x v="5"/>
    <x v="0"/>
    <x v="4"/>
    <x v="2"/>
    <n v="200.97"/>
    <x v="6"/>
    <n v="1406.79"/>
  </r>
  <r>
    <x v="451"/>
    <x v="12"/>
    <x v="0"/>
    <x v="4"/>
    <x v="4"/>
    <x v="6"/>
    <x v="1"/>
    <n v="152.85"/>
    <x v="10"/>
    <n v="1987.05"/>
  </r>
  <r>
    <x v="452"/>
    <x v="111"/>
    <x v="4"/>
    <x v="0"/>
    <x v="5"/>
    <x v="2"/>
    <x v="1"/>
    <n v="123.33"/>
    <x v="9"/>
    <n v="986.64"/>
  </r>
  <r>
    <x v="453"/>
    <x v="226"/>
    <x v="5"/>
    <x v="3"/>
    <x v="4"/>
    <x v="5"/>
    <x v="2"/>
    <n v="229.4"/>
    <x v="4"/>
    <n v="688.2"/>
  </r>
  <r>
    <x v="454"/>
    <x v="269"/>
    <x v="1"/>
    <x v="2"/>
    <x v="5"/>
    <x v="6"/>
    <x v="2"/>
    <n v="54.46"/>
    <x v="2"/>
    <n v="54.46"/>
  </r>
  <r>
    <x v="455"/>
    <x v="203"/>
    <x v="2"/>
    <x v="1"/>
    <x v="1"/>
    <x v="1"/>
    <x v="0"/>
    <n v="138.38"/>
    <x v="16"/>
    <n v="1522.18"/>
  </r>
  <r>
    <x v="456"/>
    <x v="99"/>
    <x v="5"/>
    <x v="4"/>
    <x v="5"/>
    <x v="1"/>
    <x v="1"/>
    <n v="32.5"/>
    <x v="11"/>
    <n v="617.5"/>
  </r>
  <r>
    <x v="457"/>
    <x v="270"/>
    <x v="2"/>
    <x v="0"/>
    <x v="5"/>
    <x v="0"/>
    <x v="2"/>
    <n v="133.11000000000001"/>
    <x v="18"/>
    <n v="2395.98"/>
  </r>
  <r>
    <x v="458"/>
    <x v="267"/>
    <x v="2"/>
    <x v="2"/>
    <x v="3"/>
    <x v="4"/>
    <x v="2"/>
    <n v="42.39"/>
    <x v="6"/>
    <n v="296.73"/>
  </r>
  <r>
    <x v="459"/>
    <x v="195"/>
    <x v="3"/>
    <x v="5"/>
    <x v="2"/>
    <x v="5"/>
    <x v="2"/>
    <n v="56.14"/>
    <x v="19"/>
    <n v="561.4"/>
  </r>
  <r>
    <x v="460"/>
    <x v="105"/>
    <x v="4"/>
    <x v="3"/>
    <x v="3"/>
    <x v="0"/>
    <x v="1"/>
    <n v="55.86"/>
    <x v="18"/>
    <n v="1005.48"/>
  </r>
  <r>
    <x v="461"/>
    <x v="26"/>
    <x v="1"/>
    <x v="4"/>
    <x v="5"/>
    <x v="1"/>
    <x v="2"/>
    <n v="172.83"/>
    <x v="12"/>
    <n v="2938.11"/>
  </r>
  <r>
    <x v="462"/>
    <x v="271"/>
    <x v="4"/>
    <x v="5"/>
    <x v="1"/>
    <x v="5"/>
    <x v="2"/>
    <n v="194.13"/>
    <x v="4"/>
    <n v="582.39"/>
  </r>
  <r>
    <x v="463"/>
    <x v="272"/>
    <x v="1"/>
    <x v="4"/>
    <x v="4"/>
    <x v="6"/>
    <x v="0"/>
    <n v="158.34"/>
    <x v="2"/>
    <n v="158.34"/>
  </r>
  <r>
    <x v="464"/>
    <x v="273"/>
    <x v="5"/>
    <x v="3"/>
    <x v="2"/>
    <x v="2"/>
    <x v="1"/>
    <n v="241.68"/>
    <x v="18"/>
    <n v="4350.24"/>
  </r>
  <r>
    <x v="465"/>
    <x v="107"/>
    <x v="0"/>
    <x v="5"/>
    <x v="0"/>
    <x v="4"/>
    <x v="0"/>
    <n v="112.47"/>
    <x v="10"/>
    <n v="1462.11"/>
  </r>
  <r>
    <x v="466"/>
    <x v="50"/>
    <x v="4"/>
    <x v="2"/>
    <x v="4"/>
    <x v="2"/>
    <x v="1"/>
    <n v="92.86"/>
    <x v="4"/>
    <n v="278.58"/>
  </r>
  <r>
    <x v="467"/>
    <x v="19"/>
    <x v="4"/>
    <x v="4"/>
    <x v="5"/>
    <x v="1"/>
    <x v="0"/>
    <n v="221.09"/>
    <x v="10"/>
    <n v="2874.17"/>
  </r>
  <r>
    <x v="468"/>
    <x v="274"/>
    <x v="4"/>
    <x v="4"/>
    <x v="5"/>
    <x v="0"/>
    <x v="0"/>
    <n v="79.19"/>
    <x v="15"/>
    <n v="1187.8499999999999"/>
  </r>
  <r>
    <x v="469"/>
    <x v="46"/>
    <x v="5"/>
    <x v="5"/>
    <x v="1"/>
    <x v="5"/>
    <x v="2"/>
    <n v="241.91"/>
    <x v="3"/>
    <n v="3386.74"/>
  </r>
  <r>
    <x v="470"/>
    <x v="6"/>
    <x v="0"/>
    <x v="4"/>
    <x v="1"/>
    <x v="1"/>
    <x v="1"/>
    <n v="32.67"/>
    <x v="2"/>
    <n v="32.67"/>
  </r>
  <r>
    <x v="471"/>
    <x v="146"/>
    <x v="5"/>
    <x v="1"/>
    <x v="0"/>
    <x v="6"/>
    <x v="2"/>
    <n v="243.37"/>
    <x v="16"/>
    <n v="2677.07"/>
  </r>
  <r>
    <x v="472"/>
    <x v="275"/>
    <x v="3"/>
    <x v="5"/>
    <x v="1"/>
    <x v="0"/>
    <x v="1"/>
    <n v="39.5"/>
    <x v="18"/>
    <n v="711"/>
  </r>
  <r>
    <x v="473"/>
    <x v="276"/>
    <x v="3"/>
    <x v="4"/>
    <x v="0"/>
    <x v="3"/>
    <x v="2"/>
    <n v="226.05"/>
    <x v="8"/>
    <n v="1356.3"/>
  </r>
  <r>
    <x v="474"/>
    <x v="153"/>
    <x v="3"/>
    <x v="3"/>
    <x v="0"/>
    <x v="6"/>
    <x v="2"/>
    <n v="146.09"/>
    <x v="4"/>
    <n v="438.27"/>
  </r>
  <r>
    <x v="475"/>
    <x v="147"/>
    <x v="4"/>
    <x v="4"/>
    <x v="2"/>
    <x v="2"/>
    <x v="1"/>
    <n v="248.45"/>
    <x v="4"/>
    <n v="745.35"/>
  </r>
  <r>
    <x v="476"/>
    <x v="277"/>
    <x v="2"/>
    <x v="2"/>
    <x v="4"/>
    <x v="1"/>
    <x v="0"/>
    <n v="46.24"/>
    <x v="13"/>
    <n v="924.8"/>
  </r>
  <r>
    <x v="477"/>
    <x v="76"/>
    <x v="5"/>
    <x v="4"/>
    <x v="1"/>
    <x v="6"/>
    <x v="2"/>
    <n v="151.85"/>
    <x v="2"/>
    <n v="151.85"/>
  </r>
  <r>
    <x v="478"/>
    <x v="89"/>
    <x v="5"/>
    <x v="0"/>
    <x v="1"/>
    <x v="0"/>
    <x v="2"/>
    <n v="243.25"/>
    <x v="16"/>
    <n v="2675.75"/>
  </r>
  <r>
    <x v="479"/>
    <x v="77"/>
    <x v="1"/>
    <x v="2"/>
    <x v="4"/>
    <x v="3"/>
    <x v="0"/>
    <n v="145.08000000000001"/>
    <x v="13"/>
    <n v="2901.6"/>
  </r>
  <r>
    <x v="480"/>
    <x v="165"/>
    <x v="4"/>
    <x v="0"/>
    <x v="3"/>
    <x v="2"/>
    <x v="2"/>
    <n v="168.47"/>
    <x v="16"/>
    <n v="1853.17"/>
  </r>
  <r>
    <x v="481"/>
    <x v="260"/>
    <x v="4"/>
    <x v="3"/>
    <x v="0"/>
    <x v="4"/>
    <x v="2"/>
    <n v="183.06"/>
    <x v="9"/>
    <n v="1464.48"/>
  </r>
  <r>
    <x v="482"/>
    <x v="213"/>
    <x v="2"/>
    <x v="2"/>
    <x v="1"/>
    <x v="5"/>
    <x v="0"/>
    <n v="130"/>
    <x v="0"/>
    <n v="520"/>
  </r>
  <r>
    <x v="483"/>
    <x v="278"/>
    <x v="0"/>
    <x v="0"/>
    <x v="4"/>
    <x v="2"/>
    <x v="0"/>
    <n v="168.06"/>
    <x v="18"/>
    <n v="3025.08"/>
  </r>
  <r>
    <x v="484"/>
    <x v="279"/>
    <x v="1"/>
    <x v="1"/>
    <x v="4"/>
    <x v="2"/>
    <x v="2"/>
    <n v="158.55000000000001"/>
    <x v="19"/>
    <n v="1585.5"/>
  </r>
  <r>
    <x v="485"/>
    <x v="1"/>
    <x v="3"/>
    <x v="4"/>
    <x v="3"/>
    <x v="0"/>
    <x v="1"/>
    <n v="228.25"/>
    <x v="19"/>
    <n v="2282.5"/>
  </r>
  <r>
    <x v="486"/>
    <x v="2"/>
    <x v="0"/>
    <x v="3"/>
    <x v="1"/>
    <x v="6"/>
    <x v="1"/>
    <n v="40"/>
    <x v="10"/>
    <n v="520"/>
  </r>
  <r>
    <x v="487"/>
    <x v="188"/>
    <x v="2"/>
    <x v="0"/>
    <x v="4"/>
    <x v="5"/>
    <x v="0"/>
    <n v="91.81"/>
    <x v="18"/>
    <n v="1652.58"/>
  </r>
  <r>
    <x v="488"/>
    <x v="280"/>
    <x v="2"/>
    <x v="0"/>
    <x v="5"/>
    <x v="1"/>
    <x v="0"/>
    <n v="239.09"/>
    <x v="18"/>
    <n v="4303.62"/>
  </r>
  <r>
    <x v="489"/>
    <x v="139"/>
    <x v="3"/>
    <x v="0"/>
    <x v="1"/>
    <x v="1"/>
    <x v="1"/>
    <n v="225.86"/>
    <x v="7"/>
    <n v="2710.32"/>
  </r>
  <r>
    <x v="490"/>
    <x v="203"/>
    <x v="4"/>
    <x v="3"/>
    <x v="5"/>
    <x v="1"/>
    <x v="0"/>
    <n v="130.24"/>
    <x v="10"/>
    <n v="1693.12"/>
  </r>
  <r>
    <x v="491"/>
    <x v="113"/>
    <x v="2"/>
    <x v="0"/>
    <x v="1"/>
    <x v="5"/>
    <x v="1"/>
    <n v="166.43"/>
    <x v="9"/>
    <n v="1331.44"/>
  </r>
  <r>
    <x v="492"/>
    <x v="83"/>
    <x v="3"/>
    <x v="3"/>
    <x v="0"/>
    <x v="6"/>
    <x v="2"/>
    <n v="91.02"/>
    <x v="11"/>
    <n v="1729.38"/>
  </r>
  <r>
    <x v="493"/>
    <x v="67"/>
    <x v="1"/>
    <x v="5"/>
    <x v="2"/>
    <x v="3"/>
    <x v="0"/>
    <n v="71.39"/>
    <x v="11"/>
    <n v="1356.41"/>
  </r>
  <r>
    <x v="494"/>
    <x v="147"/>
    <x v="4"/>
    <x v="3"/>
    <x v="5"/>
    <x v="1"/>
    <x v="1"/>
    <n v="132.01"/>
    <x v="0"/>
    <n v="528.04"/>
  </r>
  <r>
    <x v="495"/>
    <x v="281"/>
    <x v="4"/>
    <x v="4"/>
    <x v="4"/>
    <x v="4"/>
    <x v="0"/>
    <n v="107.74"/>
    <x v="7"/>
    <n v="1292.8800000000001"/>
  </r>
  <r>
    <x v="496"/>
    <x v="282"/>
    <x v="4"/>
    <x v="3"/>
    <x v="5"/>
    <x v="6"/>
    <x v="1"/>
    <n v="158.4"/>
    <x v="17"/>
    <n v="2534.4"/>
  </r>
  <r>
    <x v="497"/>
    <x v="82"/>
    <x v="4"/>
    <x v="1"/>
    <x v="0"/>
    <x v="1"/>
    <x v="1"/>
    <n v="47.1"/>
    <x v="15"/>
    <n v="706.5"/>
  </r>
  <r>
    <x v="498"/>
    <x v="177"/>
    <x v="4"/>
    <x v="0"/>
    <x v="5"/>
    <x v="2"/>
    <x v="0"/>
    <n v="244.37"/>
    <x v="2"/>
    <n v="244.37"/>
  </r>
  <r>
    <x v="493"/>
    <x v="67"/>
    <x v="1"/>
    <x v="5"/>
    <x v="2"/>
    <x v="3"/>
    <x v="0"/>
    <n v="71.39"/>
    <x v="11"/>
    <n v="1356.41"/>
  </r>
  <r>
    <x v="494"/>
    <x v="147"/>
    <x v="4"/>
    <x v="3"/>
    <x v="5"/>
    <x v="1"/>
    <x v="1"/>
    <n v="132.01"/>
    <x v="0"/>
    <n v="528.04"/>
  </r>
  <r>
    <x v="495"/>
    <x v="281"/>
    <x v="4"/>
    <x v="4"/>
    <x v="4"/>
    <x v="4"/>
    <x v="0"/>
    <n v="107.74"/>
    <x v="7"/>
    <n v="1292.8800000000001"/>
  </r>
  <r>
    <x v="496"/>
    <x v="282"/>
    <x v="4"/>
    <x v="3"/>
    <x v="5"/>
    <x v="6"/>
    <x v="1"/>
    <n v="158.4"/>
    <x v="17"/>
    <n v="2534.4"/>
  </r>
  <r>
    <x v="497"/>
    <x v="82"/>
    <x v="4"/>
    <x v="1"/>
    <x v="0"/>
    <x v="1"/>
    <x v="1"/>
    <n v="47.1"/>
    <x v="15"/>
    <n v="706.5"/>
  </r>
  <r>
    <x v="498"/>
    <x v="177"/>
    <x v="4"/>
    <x v="0"/>
    <x v="5"/>
    <x v="2"/>
    <x v="0"/>
    <n v="244.37"/>
    <x v="2"/>
    <n v="244.37"/>
  </r>
  <r>
    <x v="499"/>
    <x v="111"/>
    <x v="3"/>
    <x v="5"/>
    <x v="2"/>
    <x v="3"/>
    <x v="1"/>
    <n v="246.97"/>
    <x v="12"/>
    <n v="4198.49"/>
  </r>
  <r>
    <x v="500"/>
    <x v="224"/>
    <x v="3"/>
    <x v="3"/>
    <x v="3"/>
    <x v="0"/>
    <x v="0"/>
    <n v="183.6"/>
    <x v="15"/>
    <n v="2754"/>
  </r>
  <r>
    <x v="501"/>
    <x v="0"/>
    <x v="5"/>
    <x v="1"/>
    <x v="3"/>
    <x v="5"/>
    <x v="0"/>
    <n v="147.94"/>
    <x v="3"/>
    <n v="2071.16"/>
  </r>
  <r>
    <x v="502"/>
    <x v="230"/>
    <x v="5"/>
    <x v="3"/>
    <x v="5"/>
    <x v="2"/>
    <x v="0"/>
    <n v="98.1"/>
    <x v="11"/>
    <n v="1863.9"/>
  </r>
  <r>
    <x v="503"/>
    <x v="256"/>
    <x v="1"/>
    <x v="1"/>
    <x v="1"/>
    <x v="1"/>
    <x v="1"/>
    <n v="209.03"/>
    <x v="5"/>
    <n v="1881.27"/>
  </r>
  <r>
    <x v="504"/>
    <x v="46"/>
    <x v="4"/>
    <x v="2"/>
    <x v="4"/>
    <x v="1"/>
    <x v="2"/>
    <n v="180.64"/>
    <x v="7"/>
    <n v="2167.6799999999998"/>
  </r>
  <r>
    <x v="505"/>
    <x v="263"/>
    <x v="2"/>
    <x v="0"/>
    <x v="0"/>
    <x v="5"/>
    <x v="2"/>
    <n v="65.78"/>
    <x v="17"/>
    <n v="1052.48"/>
  </r>
  <r>
    <x v="506"/>
    <x v="81"/>
    <x v="2"/>
    <x v="1"/>
    <x v="0"/>
    <x v="3"/>
    <x v="2"/>
    <n v="230.4"/>
    <x v="10"/>
    <n v="2995.2"/>
  </r>
  <r>
    <x v="507"/>
    <x v="283"/>
    <x v="1"/>
    <x v="0"/>
    <x v="0"/>
    <x v="5"/>
    <x v="1"/>
    <n v="210.96"/>
    <x v="8"/>
    <n v="1265.76"/>
  </r>
  <r>
    <x v="508"/>
    <x v="275"/>
    <x v="4"/>
    <x v="1"/>
    <x v="2"/>
    <x v="3"/>
    <x v="0"/>
    <n v="238.96"/>
    <x v="14"/>
    <n v="1194.8"/>
  </r>
  <r>
    <x v="509"/>
    <x v="38"/>
    <x v="1"/>
    <x v="2"/>
    <x v="1"/>
    <x v="6"/>
    <x v="2"/>
    <n v="189.66"/>
    <x v="7"/>
    <n v="2275.92"/>
  </r>
  <r>
    <x v="510"/>
    <x v="236"/>
    <x v="2"/>
    <x v="3"/>
    <x v="4"/>
    <x v="0"/>
    <x v="2"/>
    <n v="164.95"/>
    <x v="14"/>
    <n v="824.75"/>
  </r>
  <r>
    <x v="511"/>
    <x v="11"/>
    <x v="1"/>
    <x v="0"/>
    <x v="2"/>
    <x v="5"/>
    <x v="0"/>
    <n v="122.01"/>
    <x v="18"/>
    <n v="2196.1799999999998"/>
  </r>
  <r>
    <x v="512"/>
    <x v="115"/>
    <x v="3"/>
    <x v="2"/>
    <x v="0"/>
    <x v="4"/>
    <x v="2"/>
    <n v="235.2"/>
    <x v="19"/>
    <n v="2352"/>
  </r>
  <r>
    <x v="513"/>
    <x v="48"/>
    <x v="4"/>
    <x v="1"/>
    <x v="4"/>
    <x v="0"/>
    <x v="0"/>
    <n v="220.53"/>
    <x v="1"/>
    <n v="441.06"/>
  </r>
  <r>
    <x v="514"/>
    <x v="200"/>
    <x v="2"/>
    <x v="0"/>
    <x v="4"/>
    <x v="6"/>
    <x v="1"/>
    <n v="39.950000000000003"/>
    <x v="18"/>
    <n v="719.1"/>
  </r>
  <r>
    <x v="515"/>
    <x v="116"/>
    <x v="1"/>
    <x v="3"/>
    <x v="4"/>
    <x v="0"/>
    <x v="0"/>
    <n v="35.799999999999997"/>
    <x v="3"/>
    <n v="501.2"/>
  </r>
  <r>
    <x v="516"/>
    <x v="175"/>
    <x v="3"/>
    <x v="4"/>
    <x v="5"/>
    <x v="3"/>
    <x v="0"/>
    <n v="112.82"/>
    <x v="2"/>
    <n v="112.82"/>
  </r>
  <r>
    <x v="517"/>
    <x v="71"/>
    <x v="3"/>
    <x v="3"/>
    <x v="1"/>
    <x v="2"/>
    <x v="2"/>
    <n v="208.32"/>
    <x v="19"/>
    <n v="2083.1999999999998"/>
  </r>
  <r>
    <x v="518"/>
    <x v="238"/>
    <x v="0"/>
    <x v="5"/>
    <x v="5"/>
    <x v="3"/>
    <x v="1"/>
    <n v="247.2"/>
    <x v="12"/>
    <n v="4202.3999999999996"/>
  </r>
  <r>
    <x v="519"/>
    <x v="237"/>
    <x v="0"/>
    <x v="0"/>
    <x v="4"/>
    <x v="5"/>
    <x v="0"/>
    <n v="63.09"/>
    <x v="18"/>
    <n v="1135.6199999999999"/>
  </r>
  <r>
    <x v="520"/>
    <x v="284"/>
    <x v="1"/>
    <x v="0"/>
    <x v="2"/>
    <x v="3"/>
    <x v="0"/>
    <n v="160.71"/>
    <x v="0"/>
    <n v="642.84"/>
  </r>
  <r>
    <x v="521"/>
    <x v="230"/>
    <x v="4"/>
    <x v="1"/>
    <x v="4"/>
    <x v="4"/>
    <x v="0"/>
    <n v="113.8"/>
    <x v="5"/>
    <n v="1024.2"/>
  </r>
  <r>
    <x v="522"/>
    <x v="261"/>
    <x v="1"/>
    <x v="5"/>
    <x v="3"/>
    <x v="3"/>
    <x v="1"/>
    <n v="243.38"/>
    <x v="6"/>
    <n v="1703.66"/>
  </r>
  <r>
    <x v="523"/>
    <x v="81"/>
    <x v="3"/>
    <x v="5"/>
    <x v="2"/>
    <x v="4"/>
    <x v="0"/>
    <n v="215.27"/>
    <x v="3"/>
    <n v="3013.78"/>
  </r>
  <r>
    <x v="524"/>
    <x v="256"/>
    <x v="2"/>
    <x v="4"/>
    <x v="1"/>
    <x v="3"/>
    <x v="1"/>
    <n v="214.43"/>
    <x v="1"/>
    <n v="428.86"/>
  </r>
  <r>
    <x v="525"/>
    <x v="71"/>
    <x v="4"/>
    <x v="0"/>
    <x v="0"/>
    <x v="3"/>
    <x v="1"/>
    <n v="133.11000000000001"/>
    <x v="8"/>
    <n v="798.66"/>
  </r>
  <r>
    <x v="526"/>
    <x v="12"/>
    <x v="1"/>
    <x v="1"/>
    <x v="2"/>
    <x v="4"/>
    <x v="2"/>
    <n v="121.26"/>
    <x v="12"/>
    <n v="2061.42"/>
  </r>
  <r>
    <x v="527"/>
    <x v="41"/>
    <x v="1"/>
    <x v="2"/>
    <x v="3"/>
    <x v="4"/>
    <x v="0"/>
    <n v="90.15"/>
    <x v="5"/>
    <n v="811.35"/>
  </r>
  <r>
    <x v="528"/>
    <x v="37"/>
    <x v="1"/>
    <x v="4"/>
    <x v="2"/>
    <x v="4"/>
    <x v="1"/>
    <n v="42.4"/>
    <x v="14"/>
    <n v="212"/>
  </r>
  <r>
    <x v="529"/>
    <x v="285"/>
    <x v="3"/>
    <x v="5"/>
    <x v="3"/>
    <x v="3"/>
    <x v="1"/>
    <n v="220.24"/>
    <x v="17"/>
    <n v="3523.84"/>
  </r>
  <r>
    <x v="530"/>
    <x v="172"/>
    <x v="5"/>
    <x v="1"/>
    <x v="3"/>
    <x v="4"/>
    <x v="0"/>
    <n v="208.84"/>
    <x v="10"/>
    <n v="2714.92"/>
  </r>
  <r>
    <x v="531"/>
    <x v="47"/>
    <x v="1"/>
    <x v="4"/>
    <x v="3"/>
    <x v="3"/>
    <x v="2"/>
    <n v="249.94"/>
    <x v="12"/>
    <n v="4248.9799999999996"/>
  </r>
  <r>
    <x v="532"/>
    <x v="43"/>
    <x v="2"/>
    <x v="1"/>
    <x v="3"/>
    <x v="1"/>
    <x v="1"/>
    <n v="249.26"/>
    <x v="16"/>
    <n v="2741.86"/>
  </r>
  <r>
    <x v="533"/>
    <x v="286"/>
    <x v="0"/>
    <x v="5"/>
    <x v="4"/>
    <x v="0"/>
    <x v="2"/>
    <n v="152.19"/>
    <x v="7"/>
    <n v="1826.28"/>
  </r>
  <r>
    <x v="534"/>
    <x v="99"/>
    <x v="4"/>
    <x v="4"/>
    <x v="0"/>
    <x v="3"/>
    <x v="1"/>
    <n v="199.18"/>
    <x v="17"/>
    <n v="3186.88"/>
  </r>
  <r>
    <x v="535"/>
    <x v="9"/>
    <x v="2"/>
    <x v="3"/>
    <x v="0"/>
    <x v="2"/>
    <x v="0"/>
    <n v="237.85"/>
    <x v="14"/>
    <n v="1189.25"/>
  </r>
  <r>
    <x v="536"/>
    <x v="152"/>
    <x v="1"/>
    <x v="3"/>
    <x v="5"/>
    <x v="1"/>
    <x v="0"/>
    <n v="216.92"/>
    <x v="0"/>
    <n v="867.68"/>
  </r>
  <r>
    <x v="537"/>
    <x v="89"/>
    <x v="0"/>
    <x v="3"/>
    <x v="2"/>
    <x v="2"/>
    <x v="0"/>
    <n v="84.42"/>
    <x v="15"/>
    <n v="1266.3"/>
  </r>
  <r>
    <x v="538"/>
    <x v="265"/>
    <x v="3"/>
    <x v="4"/>
    <x v="5"/>
    <x v="2"/>
    <x v="2"/>
    <n v="129.12"/>
    <x v="19"/>
    <n v="1291.2"/>
  </r>
  <r>
    <x v="539"/>
    <x v="56"/>
    <x v="4"/>
    <x v="0"/>
    <x v="3"/>
    <x v="0"/>
    <x v="0"/>
    <n v="58.42"/>
    <x v="4"/>
    <n v="175.26"/>
  </r>
  <r>
    <x v="540"/>
    <x v="159"/>
    <x v="1"/>
    <x v="0"/>
    <x v="2"/>
    <x v="6"/>
    <x v="1"/>
    <n v="239.89"/>
    <x v="19"/>
    <n v="2398.9"/>
  </r>
  <r>
    <x v="541"/>
    <x v="161"/>
    <x v="0"/>
    <x v="2"/>
    <x v="4"/>
    <x v="1"/>
    <x v="0"/>
    <n v="163.36000000000001"/>
    <x v="0"/>
    <n v="653.44000000000005"/>
  </r>
  <r>
    <x v="542"/>
    <x v="97"/>
    <x v="2"/>
    <x v="0"/>
    <x v="4"/>
    <x v="1"/>
    <x v="0"/>
    <n v="80.3"/>
    <x v="9"/>
    <n v="642.4"/>
  </r>
  <r>
    <x v="543"/>
    <x v="82"/>
    <x v="0"/>
    <x v="3"/>
    <x v="3"/>
    <x v="0"/>
    <x v="2"/>
    <n v="177.77"/>
    <x v="16"/>
    <n v="1955.47"/>
  </r>
  <r>
    <x v="544"/>
    <x v="287"/>
    <x v="5"/>
    <x v="1"/>
    <x v="3"/>
    <x v="4"/>
    <x v="0"/>
    <n v="165.99"/>
    <x v="9"/>
    <n v="1327.92"/>
  </r>
  <r>
    <x v="545"/>
    <x v="6"/>
    <x v="4"/>
    <x v="4"/>
    <x v="2"/>
    <x v="6"/>
    <x v="0"/>
    <n v="108.8"/>
    <x v="16"/>
    <n v="1196.8"/>
  </r>
  <r>
    <x v="546"/>
    <x v="174"/>
    <x v="0"/>
    <x v="5"/>
    <x v="1"/>
    <x v="1"/>
    <x v="1"/>
    <n v="54.98"/>
    <x v="14"/>
    <n v="274.89999999999998"/>
  </r>
  <r>
    <x v="547"/>
    <x v="265"/>
    <x v="5"/>
    <x v="4"/>
    <x v="3"/>
    <x v="0"/>
    <x v="1"/>
    <n v="177.75"/>
    <x v="8"/>
    <n v="1066.5"/>
  </r>
  <r>
    <x v="548"/>
    <x v="243"/>
    <x v="2"/>
    <x v="0"/>
    <x v="4"/>
    <x v="4"/>
    <x v="0"/>
    <n v="144.47"/>
    <x v="3"/>
    <n v="2022.58"/>
  </r>
  <r>
    <x v="549"/>
    <x v="288"/>
    <x v="3"/>
    <x v="1"/>
    <x v="1"/>
    <x v="2"/>
    <x v="2"/>
    <n v="199.91"/>
    <x v="0"/>
    <n v="799.64"/>
  </r>
  <r>
    <x v="550"/>
    <x v="101"/>
    <x v="4"/>
    <x v="2"/>
    <x v="2"/>
    <x v="3"/>
    <x v="1"/>
    <n v="144.44"/>
    <x v="3"/>
    <n v="2022.16"/>
  </r>
  <r>
    <x v="551"/>
    <x v="275"/>
    <x v="2"/>
    <x v="5"/>
    <x v="1"/>
    <x v="2"/>
    <x v="1"/>
    <n v="217.48"/>
    <x v="9"/>
    <n v="1739.84"/>
  </r>
  <r>
    <x v="552"/>
    <x v="289"/>
    <x v="1"/>
    <x v="4"/>
    <x v="2"/>
    <x v="5"/>
    <x v="1"/>
    <n v="151.41999999999999"/>
    <x v="2"/>
    <n v="151.41999999999999"/>
  </r>
  <r>
    <x v="553"/>
    <x v="290"/>
    <x v="1"/>
    <x v="3"/>
    <x v="0"/>
    <x v="2"/>
    <x v="0"/>
    <n v="153.41"/>
    <x v="6"/>
    <n v="1073.8699999999999"/>
  </r>
  <r>
    <x v="554"/>
    <x v="219"/>
    <x v="5"/>
    <x v="1"/>
    <x v="2"/>
    <x v="6"/>
    <x v="1"/>
    <n v="222.86"/>
    <x v="17"/>
    <n v="3565.76"/>
  </r>
  <r>
    <x v="555"/>
    <x v="133"/>
    <x v="2"/>
    <x v="1"/>
    <x v="0"/>
    <x v="3"/>
    <x v="0"/>
    <n v="118.77"/>
    <x v="4"/>
    <n v="356.31"/>
  </r>
  <r>
    <x v="556"/>
    <x v="205"/>
    <x v="5"/>
    <x v="4"/>
    <x v="1"/>
    <x v="2"/>
    <x v="0"/>
    <n v="59.48"/>
    <x v="11"/>
    <n v="1130.1199999999999"/>
  </r>
  <r>
    <x v="557"/>
    <x v="145"/>
    <x v="0"/>
    <x v="5"/>
    <x v="5"/>
    <x v="1"/>
    <x v="2"/>
    <n v="36.33"/>
    <x v="4"/>
    <n v="108.99"/>
  </r>
  <r>
    <x v="558"/>
    <x v="235"/>
    <x v="0"/>
    <x v="3"/>
    <x v="1"/>
    <x v="3"/>
    <x v="1"/>
    <n v="196.13"/>
    <x v="1"/>
    <n v="392.26"/>
  </r>
  <r>
    <x v="559"/>
    <x v="229"/>
    <x v="5"/>
    <x v="3"/>
    <x v="3"/>
    <x v="6"/>
    <x v="0"/>
    <n v="166.47"/>
    <x v="12"/>
    <n v="2829.99"/>
  </r>
  <r>
    <x v="560"/>
    <x v="0"/>
    <x v="2"/>
    <x v="5"/>
    <x v="2"/>
    <x v="3"/>
    <x v="0"/>
    <n v="184.9"/>
    <x v="18"/>
    <n v="3328.2"/>
  </r>
  <r>
    <x v="561"/>
    <x v="73"/>
    <x v="2"/>
    <x v="2"/>
    <x v="2"/>
    <x v="5"/>
    <x v="2"/>
    <n v="76.849999999999994"/>
    <x v="4"/>
    <n v="230.55"/>
  </r>
  <r>
    <x v="562"/>
    <x v="291"/>
    <x v="1"/>
    <x v="0"/>
    <x v="3"/>
    <x v="2"/>
    <x v="0"/>
    <n v="60"/>
    <x v="11"/>
    <n v="1140"/>
  </r>
  <r>
    <x v="563"/>
    <x v="73"/>
    <x v="1"/>
    <x v="2"/>
    <x v="5"/>
    <x v="0"/>
    <x v="0"/>
    <n v="33.200000000000003"/>
    <x v="3"/>
    <n v="464.8"/>
  </r>
  <r>
    <x v="564"/>
    <x v="292"/>
    <x v="5"/>
    <x v="5"/>
    <x v="1"/>
    <x v="1"/>
    <x v="2"/>
    <n v="107.13"/>
    <x v="0"/>
    <n v="428.52"/>
  </r>
  <r>
    <x v="565"/>
    <x v="192"/>
    <x v="0"/>
    <x v="1"/>
    <x v="3"/>
    <x v="0"/>
    <x v="1"/>
    <n v="159.78"/>
    <x v="8"/>
    <n v="958.68"/>
  </r>
  <r>
    <x v="566"/>
    <x v="114"/>
    <x v="5"/>
    <x v="4"/>
    <x v="1"/>
    <x v="5"/>
    <x v="1"/>
    <n v="116.29"/>
    <x v="8"/>
    <n v="697.74"/>
  </r>
  <r>
    <x v="567"/>
    <x v="113"/>
    <x v="4"/>
    <x v="2"/>
    <x v="3"/>
    <x v="4"/>
    <x v="2"/>
    <n v="126.24"/>
    <x v="8"/>
    <n v="757.44"/>
  </r>
  <r>
    <x v="568"/>
    <x v="293"/>
    <x v="4"/>
    <x v="3"/>
    <x v="0"/>
    <x v="5"/>
    <x v="0"/>
    <n v="228.91"/>
    <x v="2"/>
    <n v="228.91"/>
  </r>
  <r>
    <x v="569"/>
    <x v="17"/>
    <x v="1"/>
    <x v="1"/>
    <x v="4"/>
    <x v="6"/>
    <x v="1"/>
    <n v="106.62"/>
    <x v="11"/>
    <n v="2025.78"/>
  </r>
  <r>
    <x v="570"/>
    <x v="280"/>
    <x v="5"/>
    <x v="5"/>
    <x v="2"/>
    <x v="3"/>
    <x v="0"/>
    <n v="143.08000000000001"/>
    <x v="1"/>
    <n v="286.16000000000003"/>
  </r>
  <r>
    <x v="571"/>
    <x v="156"/>
    <x v="2"/>
    <x v="0"/>
    <x v="3"/>
    <x v="1"/>
    <x v="0"/>
    <n v="202.4"/>
    <x v="0"/>
    <n v="809.6"/>
  </r>
  <r>
    <x v="572"/>
    <x v="290"/>
    <x v="0"/>
    <x v="1"/>
    <x v="2"/>
    <x v="1"/>
    <x v="2"/>
    <n v="117.24"/>
    <x v="2"/>
    <n v="117.24"/>
  </r>
  <r>
    <x v="573"/>
    <x v="213"/>
    <x v="3"/>
    <x v="2"/>
    <x v="5"/>
    <x v="5"/>
    <x v="1"/>
    <n v="166.86"/>
    <x v="10"/>
    <n v="2169.1799999999998"/>
  </r>
  <r>
    <x v="574"/>
    <x v="208"/>
    <x v="3"/>
    <x v="4"/>
    <x v="2"/>
    <x v="6"/>
    <x v="1"/>
    <n v="219.72"/>
    <x v="3"/>
    <n v="3076.08"/>
  </r>
  <r>
    <x v="575"/>
    <x v="90"/>
    <x v="0"/>
    <x v="5"/>
    <x v="0"/>
    <x v="1"/>
    <x v="1"/>
    <n v="238.89"/>
    <x v="5"/>
    <n v="2150.0100000000002"/>
  </r>
  <r>
    <x v="576"/>
    <x v="264"/>
    <x v="3"/>
    <x v="2"/>
    <x v="1"/>
    <x v="1"/>
    <x v="2"/>
    <n v="62.36"/>
    <x v="1"/>
    <n v="124.72"/>
  </r>
  <r>
    <x v="577"/>
    <x v="51"/>
    <x v="4"/>
    <x v="4"/>
    <x v="0"/>
    <x v="1"/>
    <x v="1"/>
    <n v="233.85"/>
    <x v="15"/>
    <n v="3507.75"/>
  </r>
  <r>
    <x v="578"/>
    <x v="85"/>
    <x v="4"/>
    <x v="2"/>
    <x v="0"/>
    <x v="5"/>
    <x v="2"/>
    <n v="138.27000000000001"/>
    <x v="2"/>
    <n v="138.27000000000001"/>
  </r>
  <r>
    <x v="579"/>
    <x v="294"/>
    <x v="5"/>
    <x v="4"/>
    <x v="1"/>
    <x v="6"/>
    <x v="0"/>
    <n v="86.81"/>
    <x v="9"/>
    <n v="694.48"/>
  </r>
  <r>
    <x v="580"/>
    <x v="4"/>
    <x v="3"/>
    <x v="1"/>
    <x v="4"/>
    <x v="1"/>
    <x v="0"/>
    <n v="131.01"/>
    <x v="9"/>
    <n v="1048.08"/>
  </r>
  <r>
    <x v="581"/>
    <x v="44"/>
    <x v="1"/>
    <x v="0"/>
    <x v="5"/>
    <x v="3"/>
    <x v="0"/>
    <n v="245.61"/>
    <x v="7"/>
    <n v="2947.32"/>
  </r>
  <r>
    <x v="582"/>
    <x v="139"/>
    <x v="1"/>
    <x v="0"/>
    <x v="0"/>
    <x v="1"/>
    <x v="0"/>
    <n v="138.38"/>
    <x v="10"/>
    <n v="1798.94"/>
  </r>
  <r>
    <x v="583"/>
    <x v="189"/>
    <x v="5"/>
    <x v="3"/>
    <x v="5"/>
    <x v="0"/>
    <x v="1"/>
    <n v="102.33"/>
    <x v="9"/>
    <n v="818.64"/>
  </r>
  <r>
    <x v="584"/>
    <x v="270"/>
    <x v="0"/>
    <x v="2"/>
    <x v="1"/>
    <x v="6"/>
    <x v="1"/>
    <n v="169.35"/>
    <x v="4"/>
    <n v="508.05"/>
  </r>
  <r>
    <x v="585"/>
    <x v="295"/>
    <x v="1"/>
    <x v="1"/>
    <x v="1"/>
    <x v="1"/>
    <x v="1"/>
    <n v="82.83"/>
    <x v="15"/>
    <n v="1242.45"/>
  </r>
  <r>
    <x v="586"/>
    <x v="296"/>
    <x v="0"/>
    <x v="5"/>
    <x v="1"/>
    <x v="1"/>
    <x v="2"/>
    <n v="46.69"/>
    <x v="10"/>
    <n v="606.97"/>
  </r>
  <r>
    <x v="587"/>
    <x v="297"/>
    <x v="3"/>
    <x v="4"/>
    <x v="0"/>
    <x v="4"/>
    <x v="2"/>
    <n v="58.35"/>
    <x v="14"/>
    <n v="291.75"/>
  </r>
  <r>
    <x v="588"/>
    <x v="285"/>
    <x v="4"/>
    <x v="3"/>
    <x v="0"/>
    <x v="0"/>
    <x v="0"/>
    <n v="58.17"/>
    <x v="16"/>
    <n v="639.87"/>
  </r>
  <r>
    <x v="589"/>
    <x v="298"/>
    <x v="2"/>
    <x v="1"/>
    <x v="2"/>
    <x v="1"/>
    <x v="0"/>
    <n v="63.42"/>
    <x v="14"/>
    <n v="317.10000000000002"/>
  </r>
  <r>
    <x v="590"/>
    <x v="230"/>
    <x v="4"/>
    <x v="3"/>
    <x v="5"/>
    <x v="5"/>
    <x v="2"/>
    <n v="60.54"/>
    <x v="15"/>
    <n v="908.1"/>
  </r>
  <r>
    <x v="591"/>
    <x v="299"/>
    <x v="4"/>
    <x v="3"/>
    <x v="0"/>
    <x v="4"/>
    <x v="0"/>
    <n v="170.99"/>
    <x v="15"/>
    <n v="2564.85"/>
  </r>
  <r>
    <x v="592"/>
    <x v="161"/>
    <x v="1"/>
    <x v="4"/>
    <x v="3"/>
    <x v="2"/>
    <x v="1"/>
    <n v="70.010000000000005"/>
    <x v="8"/>
    <n v="420.06"/>
  </r>
  <r>
    <x v="593"/>
    <x v="300"/>
    <x v="4"/>
    <x v="2"/>
    <x v="5"/>
    <x v="2"/>
    <x v="0"/>
    <n v="106.05"/>
    <x v="6"/>
    <n v="742.35"/>
  </r>
  <r>
    <x v="594"/>
    <x v="273"/>
    <x v="2"/>
    <x v="1"/>
    <x v="3"/>
    <x v="3"/>
    <x v="2"/>
    <n v="227.29"/>
    <x v="10"/>
    <n v="2954.77"/>
  </r>
  <r>
    <x v="595"/>
    <x v="75"/>
    <x v="5"/>
    <x v="3"/>
    <x v="1"/>
    <x v="2"/>
    <x v="1"/>
    <n v="134.27000000000001"/>
    <x v="2"/>
    <n v="134.27000000000001"/>
  </r>
  <r>
    <x v="596"/>
    <x v="37"/>
    <x v="5"/>
    <x v="1"/>
    <x v="2"/>
    <x v="1"/>
    <x v="0"/>
    <n v="176.86"/>
    <x v="0"/>
    <n v="707.44"/>
  </r>
  <r>
    <x v="597"/>
    <x v="202"/>
    <x v="3"/>
    <x v="2"/>
    <x v="4"/>
    <x v="3"/>
    <x v="1"/>
    <n v="67.91"/>
    <x v="9"/>
    <n v="543.28"/>
  </r>
  <r>
    <x v="598"/>
    <x v="301"/>
    <x v="2"/>
    <x v="5"/>
    <x v="0"/>
    <x v="4"/>
    <x v="0"/>
    <n v="72.3"/>
    <x v="4"/>
    <n v="216.9"/>
  </r>
  <r>
    <x v="599"/>
    <x v="302"/>
    <x v="3"/>
    <x v="0"/>
    <x v="4"/>
    <x v="4"/>
    <x v="0"/>
    <n v="38.99"/>
    <x v="4"/>
    <n v="116.97"/>
  </r>
  <r>
    <x v="600"/>
    <x v="143"/>
    <x v="0"/>
    <x v="1"/>
    <x v="4"/>
    <x v="1"/>
    <x v="0"/>
    <n v="67.17"/>
    <x v="16"/>
    <n v="738.87"/>
  </r>
  <r>
    <x v="601"/>
    <x v="125"/>
    <x v="1"/>
    <x v="3"/>
    <x v="4"/>
    <x v="1"/>
    <x v="2"/>
    <n v="91.29"/>
    <x v="3"/>
    <n v="1278.06"/>
  </r>
  <r>
    <x v="602"/>
    <x v="278"/>
    <x v="3"/>
    <x v="4"/>
    <x v="2"/>
    <x v="0"/>
    <x v="2"/>
    <n v="68.94"/>
    <x v="3"/>
    <n v="965.16"/>
  </r>
  <r>
    <x v="603"/>
    <x v="270"/>
    <x v="3"/>
    <x v="1"/>
    <x v="1"/>
    <x v="5"/>
    <x v="1"/>
    <n v="49.51"/>
    <x v="15"/>
    <n v="742.65"/>
  </r>
  <r>
    <x v="604"/>
    <x v="13"/>
    <x v="5"/>
    <x v="3"/>
    <x v="1"/>
    <x v="6"/>
    <x v="0"/>
    <n v="56.54"/>
    <x v="19"/>
    <n v="565.4"/>
  </r>
  <r>
    <x v="605"/>
    <x v="288"/>
    <x v="5"/>
    <x v="2"/>
    <x v="4"/>
    <x v="0"/>
    <x v="1"/>
    <n v="131.37"/>
    <x v="5"/>
    <n v="1182.33"/>
  </r>
  <r>
    <x v="606"/>
    <x v="255"/>
    <x v="1"/>
    <x v="5"/>
    <x v="5"/>
    <x v="6"/>
    <x v="1"/>
    <n v="75.39"/>
    <x v="9"/>
    <n v="603.12"/>
  </r>
  <r>
    <x v="607"/>
    <x v="61"/>
    <x v="2"/>
    <x v="3"/>
    <x v="0"/>
    <x v="5"/>
    <x v="1"/>
    <n v="110.14"/>
    <x v="17"/>
    <n v="1762.24"/>
  </r>
  <r>
    <x v="608"/>
    <x v="77"/>
    <x v="4"/>
    <x v="2"/>
    <x v="5"/>
    <x v="3"/>
    <x v="1"/>
    <n v="140.75"/>
    <x v="10"/>
    <n v="1829.75"/>
  </r>
  <r>
    <x v="609"/>
    <x v="32"/>
    <x v="4"/>
    <x v="1"/>
    <x v="4"/>
    <x v="5"/>
    <x v="2"/>
    <n v="181.89"/>
    <x v="2"/>
    <n v="181.89"/>
  </r>
  <r>
    <x v="610"/>
    <x v="303"/>
    <x v="3"/>
    <x v="1"/>
    <x v="2"/>
    <x v="2"/>
    <x v="0"/>
    <n v="38.65"/>
    <x v="9"/>
    <n v="309.2"/>
  </r>
  <r>
    <x v="611"/>
    <x v="12"/>
    <x v="1"/>
    <x v="1"/>
    <x v="2"/>
    <x v="5"/>
    <x v="2"/>
    <n v="205.87"/>
    <x v="18"/>
    <n v="3705.66"/>
  </r>
  <r>
    <x v="612"/>
    <x v="304"/>
    <x v="3"/>
    <x v="2"/>
    <x v="1"/>
    <x v="3"/>
    <x v="1"/>
    <n v="168.14"/>
    <x v="8"/>
    <n v="1008.84"/>
  </r>
  <r>
    <x v="613"/>
    <x v="124"/>
    <x v="2"/>
    <x v="1"/>
    <x v="3"/>
    <x v="2"/>
    <x v="2"/>
    <n v="47.99"/>
    <x v="7"/>
    <n v="575.88"/>
  </r>
  <r>
    <x v="614"/>
    <x v="305"/>
    <x v="3"/>
    <x v="5"/>
    <x v="2"/>
    <x v="4"/>
    <x v="2"/>
    <n v="222.19"/>
    <x v="11"/>
    <n v="4221.6099999999997"/>
  </r>
  <r>
    <x v="615"/>
    <x v="44"/>
    <x v="3"/>
    <x v="3"/>
    <x v="5"/>
    <x v="1"/>
    <x v="0"/>
    <n v="232.59"/>
    <x v="19"/>
    <n v="2325.9"/>
  </r>
  <r>
    <x v="616"/>
    <x v="167"/>
    <x v="3"/>
    <x v="1"/>
    <x v="1"/>
    <x v="6"/>
    <x v="0"/>
    <n v="43.44"/>
    <x v="13"/>
    <n v="868.8"/>
  </r>
  <r>
    <x v="617"/>
    <x v="92"/>
    <x v="3"/>
    <x v="2"/>
    <x v="0"/>
    <x v="2"/>
    <x v="0"/>
    <n v="90.91"/>
    <x v="13"/>
    <n v="1818.2"/>
  </r>
  <r>
    <x v="618"/>
    <x v="198"/>
    <x v="0"/>
    <x v="2"/>
    <x v="1"/>
    <x v="2"/>
    <x v="0"/>
    <n v="207.36"/>
    <x v="1"/>
    <n v="414.72"/>
  </r>
  <r>
    <x v="619"/>
    <x v="191"/>
    <x v="4"/>
    <x v="1"/>
    <x v="0"/>
    <x v="2"/>
    <x v="1"/>
    <n v="194.62"/>
    <x v="12"/>
    <n v="3308.54"/>
  </r>
  <r>
    <x v="620"/>
    <x v="159"/>
    <x v="0"/>
    <x v="4"/>
    <x v="0"/>
    <x v="3"/>
    <x v="0"/>
    <n v="70.59"/>
    <x v="11"/>
    <n v="1341.21"/>
  </r>
  <r>
    <x v="621"/>
    <x v="129"/>
    <x v="1"/>
    <x v="3"/>
    <x v="3"/>
    <x v="3"/>
    <x v="0"/>
    <n v="76.06"/>
    <x v="3"/>
    <n v="1064.8399999999999"/>
  </r>
  <r>
    <x v="622"/>
    <x v="109"/>
    <x v="1"/>
    <x v="5"/>
    <x v="0"/>
    <x v="0"/>
    <x v="1"/>
    <n v="111.5"/>
    <x v="18"/>
    <n v="2007"/>
  </r>
  <r>
    <x v="623"/>
    <x v="121"/>
    <x v="5"/>
    <x v="4"/>
    <x v="3"/>
    <x v="2"/>
    <x v="2"/>
    <n v="136.6"/>
    <x v="8"/>
    <n v="819.6"/>
  </r>
  <r>
    <x v="624"/>
    <x v="74"/>
    <x v="1"/>
    <x v="1"/>
    <x v="3"/>
    <x v="5"/>
    <x v="2"/>
    <n v="166.02"/>
    <x v="8"/>
    <n v="996.12"/>
  </r>
  <r>
    <x v="625"/>
    <x v="305"/>
    <x v="3"/>
    <x v="5"/>
    <x v="0"/>
    <x v="4"/>
    <x v="1"/>
    <n v="111.16"/>
    <x v="1"/>
    <n v="222.32"/>
  </r>
  <r>
    <x v="626"/>
    <x v="168"/>
    <x v="0"/>
    <x v="3"/>
    <x v="2"/>
    <x v="3"/>
    <x v="1"/>
    <n v="131.76"/>
    <x v="11"/>
    <n v="2503.44"/>
  </r>
  <r>
    <x v="627"/>
    <x v="195"/>
    <x v="4"/>
    <x v="4"/>
    <x v="2"/>
    <x v="2"/>
    <x v="0"/>
    <n v="194.44"/>
    <x v="9"/>
    <n v="1555.52"/>
  </r>
  <r>
    <x v="628"/>
    <x v="109"/>
    <x v="5"/>
    <x v="1"/>
    <x v="0"/>
    <x v="0"/>
    <x v="0"/>
    <n v="38.07"/>
    <x v="16"/>
    <n v="418.77"/>
  </r>
  <r>
    <x v="629"/>
    <x v="117"/>
    <x v="4"/>
    <x v="4"/>
    <x v="5"/>
    <x v="2"/>
    <x v="0"/>
    <n v="85.54"/>
    <x v="4"/>
    <n v="256.62"/>
  </r>
  <r>
    <x v="630"/>
    <x v="222"/>
    <x v="5"/>
    <x v="0"/>
    <x v="4"/>
    <x v="0"/>
    <x v="2"/>
    <n v="186.94"/>
    <x v="10"/>
    <n v="2430.2199999999998"/>
  </r>
  <r>
    <x v="631"/>
    <x v="249"/>
    <x v="4"/>
    <x v="5"/>
    <x v="4"/>
    <x v="1"/>
    <x v="2"/>
    <n v="226.95"/>
    <x v="10"/>
    <n v="2950.35"/>
  </r>
  <r>
    <x v="632"/>
    <x v="9"/>
    <x v="3"/>
    <x v="3"/>
    <x v="5"/>
    <x v="4"/>
    <x v="0"/>
    <n v="142.57"/>
    <x v="9"/>
    <n v="1140.56"/>
  </r>
  <r>
    <x v="633"/>
    <x v="306"/>
    <x v="4"/>
    <x v="4"/>
    <x v="5"/>
    <x v="1"/>
    <x v="2"/>
    <n v="147.06"/>
    <x v="2"/>
    <n v="147.06"/>
  </r>
  <r>
    <x v="634"/>
    <x v="154"/>
    <x v="3"/>
    <x v="0"/>
    <x v="5"/>
    <x v="5"/>
    <x v="0"/>
    <n v="53.58"/>
    <x v="10"/>
    <n v="696.54"/>
  </r>
  <r>
    <x v="635"/>
    <x v="150"/>
    <x v="2"/>
    <x v="3"/>
    <x v="3"/>
    <x v="1"/>
    <x v="2"/>
    <n v="128.43"/>
    <x v="13"/>
    <n v="2568.6"/>
  </r>
  <r>
    <x v="636"/>
    <x v="307"/>
    <x v="2"/>
    <x v="3"/>
    <x v="2"/>
    <x v="1"/>
    <x v="0"/>
    <n v="147.18"/>
    <x v="8"/>
    <n v="883.08"/>
  </r>
  <r>
    <x v="637"/>
    <x v="92"/>
    <x v="3"/>
    <x v="3"/>
    <x v="3"/>
    <x v="5"/>
    <x v="1"/>
    <n v="83.34"/>
    <x v="6"/>
    <n v="583.38"/>
  </r>
  <r>
    <x v="638"/>
    <x v="24"/>
    <x v="1"/>
    <x v="4"/>
    <x v="0"/>
    <x v="0"/>
    <x v="0"/>
    <n v="89.23"/>
    <x v="5"/>
    <n v="803.07"/>
  </r>
  <r>
    <x v="639"/>
    <x v="160"/>
    <x v="2"/>
    <x v="5"/>
    <x v="4"/>
    <x v="0"/>
    <x v="0"/>
    <n v="113"/>
    <x v="10"/>
    <n v="1469"/>
  </r>
  <r>
    <x v="640"/>
    <x v="280"/>
    <x v="5"/>
    <x v="1"/>
    <x v="0"/>
    <x v="4"/>
    <x v="1"/>
    <n v="34.42"/>
    <x v="2"/>
    <n v="34.42"/>
  </r>
  <r>
    <x v="641"/>
    <x v="262"/>
    <x v="5"/>
    <x v="2"/>
    <x v="5"/>
    <x v="1"/>
    <x v="0"/>
    <n v="100.86"/>
    <x v="13"/>
    <n v="2017.2"/>
  </r>
  <r>
    <x v="642"/>
    <x v="154"/>
    <x v="0"/>
    <x v="3"/>
    <x v="5"/>
    <x v="3"/>
    <x v="2"/>
    <n v="76.52"/>
    <x v="19"/>
    <n v="765.2"/>
  </r>
  <r>
    <x v="643"/>
    <x v="145"/>
    <x v="1"/>
    <x v="4"/>
    <x v="5"/>
    <x v="2"/>
    <x v="1"/>
    <n v="102.05"/>
    <x v="17"/>
    <n v="1632.8"/>
  </r>
  <r>
    <x v="644"/>
    <x v="205"/>
    <x v="4"/>
    <x v="3"/>
    <x v="0"/>
    <x v="0"/>
    <x v="2"/>
    <n v="56.35"/>
    <x v="8"/>
    <n v="338.1"/>
  </r>
  <r>
    <x v="645"/>
    <x v="57"/>
    <x v="5"/>
    <x v="3"/>
    <x v="0"/>
    <x v="0"/>
    <x v="2"/>
    <n v="225.92"/>
    <x v="5"/>
    <n v="2033.28"/>
  </r>
  <r>
    <x v="646"/>
    <x v="127"/>
    <x v="3"/>
    <x v="0"/>
    <x v="3"/>
    <x v="1"/>
    <x v="0"/>
    <n v="160.59"/>
    <x v="1"/>
    <n v="321.18"/>
  </r>
  <r>
    <x v="647"/>
    <x v="34"/>
    <x v="2"/>
    <x v="3"/>
    <x v="1"/>
    <x v="0"/>
    <x v="1"/>
    <n v="179.4"/>
    <x v="7"/>
    <n v="2152.8000000000002"/>
  </r>
  <r>
    <x v="648"/>
    <x v="202"/>
    <x v="2"/>
    <x v="3"/>
    <x v="1"/>
    <x v="2"/>
    <x v="2"/>
    <n v="203.62"/>
    <x v="10"/>
    <n v="2647.06"/>
  </r>
  <r>
    <x v="649"/>
    <x v="125"/>
    <x v="5"/>
    <x v="4"/>
    <x v="5"/>
    <x v="6"/>
    <x v="1"/>
    <n v="139.66"/>
    <x v="9"/>
    <n v="1117.28"/>
  </r>
  <r>
    <x v="650"/>
    <x v="308"/>
    <x v="2"/>
    <x v="5"/>
    <x v="1"/>
    <x v="2"/>
    <x v="1"/>
    <n v="49.12"/>
    <x v="12"/>
    <n v="835.04"/>
  </r>
  <r>
    <x v="651"/>
    <x v="60"/>
    <x v="5"/>
    <x v="2"/>
    <x v="2"/>
    <x v="0"/>
    <x v="0"/>
    <n v="148.16"/>
    <x v="0"/>
    <n v="592.64"/>
  </r>
  <r>
    <x v="652"/>
    <x v="27"/>
    <x v="5"/>
    <x v="1"/>
    <x v="3"/>
    <x v="6"/>
    <x v="0"/>
    <n v="159.11000000000001"/>
    <x v="1"/>
    <n v="318.22000000000003"/>
  </r>
  <r>
    <x v="653"/>
    <x v="309"/>
    <x v="2"/>
    <x v="4"/>
    <x v="0"/>
    <x v="2"/>
    <x v="0"/>
    <n v="194"/>
    <x v="14"/>
    <n v="970"/>
  </r>
  <r>
    <x v="654"/>
    <x v="288"/>
    <x v="2"/>
    <x v="3"/>
    <x v="1"/>
    <x v="3"/>
    <x v="2"/>
    <n v="124.97"/>
    <x v="10"/>
    <n v="1624.61"/>
  </r>
  <r>
    <x v="655"/>
    <x v="282"/>
    <x v="0"/>
    <x v="0"/>
    <x v="1"/>
    <x v="5"/>
    <x v="1"/>
    <n v="58.07"/>
    <x v="15"/>
    <n v="871.05"/>
  </r>
  <r>
    <x v="656"/>
    <x v="233"/>
    <x v="5"/>
    <x v="2"/>
    <x v="2"/>
    <x v="5"/>
    <x v="1"/>
    <n v="92.43"/>
    <x v="0"/>
    <n v="369.72"/>
  </r>
  <r>
    <x v="657"/>
    <x v="241"/>
    <x v="0"/>
    <x v="5"/>
    <x v="5"/>
    <x v="4"/>
    <x v="2"/>
    <n v="109.88"/>
    <x v="0"/>
    <n v="439.52"/>
  </r>
  <r>
    <x v="658"/>
    <x v="166"/>
    <x v="5"/>
    <x v="4"/>
    <x v="4"/>
    <x v="2"/>
    <x v="2"/>
    <n v="172.1"/>
    <x v="7"/>
    <n v="2065.1999999999998"/>
  </r>
  <r>
    <x v="659"/>
    <x v="201"/>
    <x v="5"/>
    <x v="1"/>
    <x v="2"/>
    <x v="3"/>
    <x v="2"/>
    <n v="155.57"/>
    <x v="13"/>
    <n v="3111.4"/>
  </r>
  <r>
    <x v="660"/>
    <x v="16"/>
    <x v="2"/>
    <x v="0"/>
    <x v="3"/>
    <x v="6"/>
    <x v="0"/>
    <n v="108.34"/>
    <x v="13"/>
    <n v="2166.8000000000002"/>
  </r>
  <r>
    <x v="661"/>
    <x v="159"/>
    <x v="1"/>
    <x v="2"/>
    <x v="5"/>
    <x v="2"/>
    <x v="2"/>
    <n v="247.03"/>
    <x v="16"/>
    <n v="2717.33"/>
  </r>
  <r>
    <x v="662"/>
    <x v="310"/>
    <x v="0"/>
    <x v="4"/>
    <x v="0"/>
    <x v="3"/>
    <x v="2"/>
    <n v="163.27000000000001"/>
    <x v="7"/>
    <n v="1959.24"/>
  </r>
  <r>
    <x v="663"/>
    <x v="116"/>
    <x v="3"/>
    <x v="2"/>
    <x v="0"/>
    <x v="2"/>
    <x v="2"/>
    <n v="82.19"/>
    <x v="0"/>
    <n v="328.76"/>
  </r>
  <r>
    <x v="664"/>
    <x v="77"/>
    <x v="1"/>
    <x v="3"/>
    <x v="1"/>
    <x v="2"/>
    <x v="0"/>
    <n v="52.39"/>
    <x v="5"/>
    <n v="471.51"/>
  </r>
  <r>
    <x v="665"/>
    <x v="311"/>
    <x v="3"/>
    <x v="3"/>
    <x v="3"/>
    <x v="6"/>
    <x v="1"/>
    <n v="63.63"/>
    <x v="15"/>
    <n v="954.45"/>
  </r>
  <r>
    <x v="666"/>
    <x v="30"/>
    <x v="2"/>
    <x v="2"/>
    <x v="5"/>
    <x v="3"/>
    <x v="1"/>
    <n v="84.11"/>
    <x v="1"/>
    <n v="168.22"/>
  </r>
  <r>
    <x v="667"/>
    <x v="239"/>
    <x v="3"/>
    <x v="5"/>
    <x v="1"/>
    <x v="1"/>
    <x v="0"/>
    <n v="65.349999999999994"/>
    <x v="10"/>
    <n v="849.55"/>
  </r>
  <r>
    <x v="668"/>
    <x v="119"/>
    <x v="0"/>
    <x v="2"/>
    <x v="5"/>
    <x v="6"/>
    <x v="0"/>
    <n v="71.040000000000006"/>
    <x v="6"/>
    <n v="497.28"/>
  </r>
  <r>
    <x v="669"/>
    <x v="280"/>
    <x v="4"/>
    <x v="4"/>
    <x v="4"/>
    <x v="5"/>
    <x v="2"/>
    <n v="92.72"/>
    <x v="6"/>
    <n v="649.04"/>
  </r>
  <r>
    <x v="670"/>
    <x v="11"/>
    <x v="1"/>
    <x v="1"/>
    <x v="2"/>
    <x v="3"/>
    <x v="2"/>
    <n v="68.14"/>
    <x v="0"/>
    <n v="272.56"/>
  </r>
  <r>
    <x v="671"/>
    <x v="133"/>
    <x v="3"/>
    <x v="3"/>
    <x v="1"/>
    <x v="5"/>
    <x v="2"/>
    <n v="227.29"/>
    <x v="15"/>
    <n v="3409.35"/>
  </r>
  <r>
    <x v="672"/>
    <x v="220"/>
    <x v="4"/>
    <x v="0"/>
    <x v="3"/>
    <x v="1"/>
    <x v="2"/>
    <n v="47.65"/>
    <x v="8"/>
    <n v="285.89999999999998"/>
  </r>
  <r>
    <x v="673"/>
    <x v="112"/>
    <x v="0"/>
    <x v="2"/>
    <x v="1"/>
    <x v="4"/>
    <x v="0"/>
    <n v="145.38999999999999"/>
    <x v="10"/>
    <n v="1890.07"/>
  </r>
  <r>
    <x v="674"/>
    <x v="168"/>
    <x v="1"/>
    <x v="2"/>
    <x v="0"/>
    <x v="2"/>
    <x v="2"/>
    <n v="120.29"/>
    <x v="9"/>
    <n v="962.32"/>
  </r>
  <r>
    <x v="675"/>
    <x v="312"/>
    <x v="1"/>
    <x v="1"/>
    <x v="4"/>
    <x v="0"/>
    <x v="1"/>
    <n v="246.12"/>
    <x v="2"/>
    <n v="246.12"/>
  </r>
  <r>
    <x v="676"/>
    <x v="313"/>
    <x v="0"/>
    <x v="2"/>
    <x v="0"/>
    <x v="5"/>
    <x v="2"/>
    <n v="54.65"/>
    <x v="13"/>
    <n v="1093"/>
  </r>
  <r>
    <x v="677"/>
    <x v="229"/>
    <x v="5"/>
    <x v="3"/>
    <x v="0"/>
    <x v="6"/>
    <x v="2"/>
    <n v="117.53"/>
    <x v="5"/>
    <n v="1057.77"/>
  </r>
  <r>
    <x v="678"/>
    <x v="314"/>
    <x v="4"/>
    <x v="0"/>
    <x v="1"/>
    <x v="4"/>
    <x v="1"/>
    <n v="243.28"/>
    <x v="15"/>
    <n v="3649.2"/>
  </r>
  <r>
    <x v="679"/>
    <x v="165"/>
    <x v="0"/>
    <x v="1"/>
    <x v="1"/>
    <x v="2"/>
    <x v="2"/>
    <n v="220.41"/>
    <x v="11"/>
    <n v="4187.79"/>
  </r>
  <r>
    <x v="680"/>
    <x v="186"/>
    <x v="2"/>
    <x v="4"/>
    <x v="0"/>
    <x v="2"/>
    <x v="0"/>
    <n v="209.76"/>
    <x v="13"/>
    <n v="4195.2"/>
  </r>
  <r>
    <x v="681"/>
    <x v="315"/>
    <x v="4"/>
    <x v="4"/>
    <x v="3"/>
    <x v="3"/>
    <x v="2"/>
    <n v="86.74"/>
    <x v="4"/>
    <n v="260.22000000000003"/>
  </r>
  <r>
    <x v="682"/>
    <x v="316"/>
    <x v="3"/>
    <x v="2"/>
    <x v="1"/>
    <x v="4"/>
    <x v="0"/>
    <n v="67.599999999999994"/>
    <x v="19"/>
    <n v="676"/>
  </r>
  <r>
    <x v="683"/>
    <x v="317"/>
    <x v="5"/>
    <x v="0"/>
    <x v="0"/>
    <x v="2"/>
    <x v="0"/>
    <n v="177.1"/>
    <x v="13"/>
    <n v="3542"/>
  </r>
  <r>
    <x v="684"/>
    <x v="318"/>
    <x v="4"/>
    <x v="4"/>
    <x v="4"/>
    <x v="6"/>
    <x v="2"/>
    <n v="234.46"/>
    <x v="17"/>
    <n v="3751.36"/>
  </r>
  <r>
    <x v="685"/>
    <x v="319"/>
    <x v="1"/>
    <x v="5"/>
    <x v="2"/>
    <x v="3"/>
    <x v="1"/>
    <n v="152.49"/>
    <x v="11"/>
    <n v="2897.31"/>
  </r>
  <r>
    <x v="686"/>
    <x v="168"/>
    <x v="1"/>
    <x v="3"/>
    <x v="3"/>
    <x v="3"/>
    <x v="1"/>
    <n v="155.75"/>
    <x v="18"/>
    <n v="2803.5"/>
  </r>
  <r>
    <x v="687"/>
    <x v="157"/>
    <x v="1"/>
    <x v="5"/>
    <x v="2"/>
    <x v="3"/>
    <x v="0"/>
    <n v="91.6"/>
    <x v="8"/>
    <n v="549.6"/>
  </r>
  <r>
    <x v="688"/>
    <x v="145"/>
    <x v="1"/>
    <x v="4"/>
    <x v="3"/>
    <x v="4"/>
    <x v="1"/>
    <n v="199.29"/>
    <x v="14"/>
    <n v="996.45"/>
  </r>
  <r>
    <x v="689"/>
    <x v="38"/>
    <x v="1"/>
    <x v="1"/>
    <x v="2"/>
    <x v="3"/>
    <x v="0"/>
    <n v="71.150000000000006"/>
    <x v="16"/>
    <n v="782.65"/>
  </r>
  <r>
    <x v="690"/>
    <x v="274"/>
    <x v="4"/>
    <x v="4"/>
    <x v="0"/>
    <x v="5"/>
    <x v="2"/>
    <n v="101.21"/>
    <x v="3"/>
    <n v="1416.94"/>
  </r>
  <r>
    <x v="691"/>
    <x v="320"/>
    <x v="5"/>
    <x v="1"/>
    <x v="3"/>
    <x v="5"/>
    <x v="1"/>
    <n v="123.6"/>
    <x v="0"/>
    <n v="494.4"/>
  </r>
  <r>
    <x v="692"/>
    <x v="48"/>
    <x v="5"/>
    <x v="2"/>
    <x v="1"/>
    <x v="1"/>
    <x v="1"/>
    <n v="141.66999999999999"/>
    <x v="4"/>
    <n v="425.01"/>
  </r>
  <r>
    <x v="693"/>
    <x v="20"/>
    <x v="4"/>
    <x v="3"/>
    <x v="5"/>
    <x v="4"/>
    <x v="0"/>
    <n v="83.33"/>
    <x v="12"/>
    <n v="1416.61"/>
  </r>
  <r>
    <x v="694"/>
    <x v="18"/>
    <x v="4"/>
    <x v="3"/>
    <x v="1"/>
    <x v="6"/>
    <x v="0"/>
    <n v="55.26"/>
    <x v="6"/>
    <n v="386.82"/>
  </r>
  <r>
    <x v="695"/>
    <x v="15"/>
    <x v="0"/>
    <x v="3"/>
    <x v="0"/>
    <x v="2"/>
    <x v="0"/>
    <n v="164.34"/>
    <x v="8"/>
    <n v="986.04"/>
  </r>
  <r>
    <x v="696"/>
    <x v="69"/>
    <x v="0"/>
    <x v="3"/>
    <x v="0"/>
    <x v="0"/>
    <x v="0"/>
    <n v="93.5"/>
    <x v="1"/>
    <n v="187"/>
  </r>
  <r>
    <x v="697"/>
    <x v="9"/>
    <x v="5"/>
    <x v="1"/>
    <x v="2"/>
    <x v="5"/>
    <x v="2"/>
    <n v="157.87"/>
    <x v="8"/>
    <n v="947.22"/>
  </r>
  <r>
    <x v="698"/>
    <x v="79"/>
    <x v="5"/>
    <x v="3"/>
    <x v="4"/>
    <x v="6"/>
    <x v="0"/>
    <n v="63.96"/>
    <x v="3"/>
    <n v="895.44"/>
  </r>
  <r>
    <x v="699"/>
    <x v="64"/>
    <x v="3"/>
    <x v="0"/>
    <x v="0"/>
    <x v="1"/>
    <x v="2"/>
    <n v="135.85"/>
    <x v="18"/>
    <n v="2445.3000000000002"/>
  </r>
  <r>
    <x v="700"/>
    <x v="189"/>
    <x v="0"/>
    <x v="0"/>
    <x v="5"/>
    <x v="2"/>
    <x v="1"/>
    <n v="147.16999999999999"/>
    <x v="6"/>
    <n v="1030.19"/>
  </r>
  <r>
    <x v="701"/>
    <x v="37"/>
    <x v="1"/>
    <x v="4"/>
    <x v="0"/>
    <x v="0"/>
    <x v="0"/>
    <n v="41.4"/>
    <x v="9"/>
    <n v="331.2"/>
  </r>
  <r>
    <x v="702"/>
    <x v="200"/>
    <x v="2"/>
    <x v="4"/>
    <x v="2"/>
    <x v="1"/>
    <x v="0"/>
    <n v="104.05"/>
    <x v="12"/>
    <n v="1768.85"/>
  </r>
  <r>
    <x v="703"/>
    <x v="23"/>
    <x v="5"/>
    <x v="0"/>
    <x v="1"/>
    <x v="5"/>
    <x v="1"/>
    <n v="59.57"/>
    <x v="19"/>
    <n v="595.70000000000005"/>
  </r>
  <r>
    <x v="704"/>
    <x v="211"/>
    <x v="1"/>
    <x v="2"/>
    <x v="0"/>
    <x v="6"/>
    <x v="2"/>
    <n v="43.94"/>
    <x v="3"/>
    <n v="615.16"/>
  </r>
  <r>
    <x v="705"/>
    <x v="311"/>
    <x v="5"/>
    <x v="1"/>
    <x v="2"/>
    <x v="0"/>
    <x v="1"/>
    <n v="247.79"/>
    <x v="8"/>
    <n v="1486.74"/>
  </r>
  <r>
    <x v="706"/>
    <x v="162"/>
    <x v="1"/>
    <x v="1"/>
    <x v="1"/>
    <x v="5"/>
    <x v="0"/>
    <n v="100.92"/>
    <x v="6"/>
    <n v="706.44"/>
  </r>
  <r>
    <x v="707"/>
    <x v="231"/>
    <x v="1"/>
    <x v="0"/>
    <x v="5"/>
    <x v="6"/>
    <x v="1"/>
    <n v="208.17"/>
    <x v="7"/>
    <n v="2498.04"/>
  </r>
  <r>
    <x v="708"/>
    <x v="156"/>
    <x v="2"/>
    <x v="1"/>
    <x v="1"/>
    <x v="1"/>
    <x v="1"/>
    <n v="86.02"/>
    <x v="18"/>
    <n v="1548.36"/>
  </r>
  <r>
    <x v="709"/>
    <x v="178"/>
    <x v="0"/>
    <x v="0"/>
    <x v="5"/>
    <x v="6"/>
    <x v="2"/>
    <n v="179.93"/>
    <x v="2"/>
    <n v="179.93"/>
  </r>
  <r>
    <x v="710"/>
    <x v="276"/>
    <x v="2"/>
    <x v="4"/>
    <x v="4"/>
    <x v="2"/>
    <x v="0"/>
    <n v="197.25"/>
    <x v="0"/>
    <n v="789"/>
  </r>
  <r>
    <x v="711"/>
    <x v="256"/>
    <x v="4"/>
    <x v="3"/>
    <x v="3"/>
    <x v="1"/>
    <x v="1"/>
    <n v="161.04"/>
    <x v="2"/>
    <n v="161.04"/>
  </r>
  <r>
    <x v="712"/>
    <x v="282"/>
    <x v="2"/>
    <x v="5"/>
    <x v="3"/>
    <x v="0"/>
    <x v="2"/>
    <n v="133.75"/>
    <x v="5"/>
    <n v="1203.75"/>
  </r>
  <r>
    <x v="713"/>
    <x v="321"/>
    <x v="1"/>
    <x v="5"/>
    <x v="5"/>
    <x v="3"/>
    <x v="0"/>
    <n v="120.61"/>
    <x v="12"/>
    <n v="2050.37"/>
  </r>
  <r>
    <x v="714"/>
    <x v="54"/>
    <x v="3"/>
    <x v="5"/>
    <x v="2"/>
    <x v="4"/>
    <x v="2"/>
    <n v="106.75"/>
    <x v="17"/>
    <n v="1708"/>
  </r>
  <r>
    <x v="715"/>
    <x v="322"/>
    <x v="4"/>
    <x v="0"/>
    <x v="4"/>
    <x v="3"/>
    <x v="0"/>
    <n v="234.5"/>
    <x v="6"/>
    <n v="1641.5"/>
  </r>
  <r>
    <x v="716"/>
    <x v="300"/>
    <x v="5"/>
    <x v="2"/>
    <x v="3"/>
    <x v="6"/>
    <x v="2"/>
    <n v="212.74"/>
    <x v="18"/>
    <n v="3829.32"/>
  </r>
  <r>
    <x v="717"/>
    <x v="251"/>
    <x v="0"/>
    <x v="0"/>
    <x v="5"/>
    <x v="1"/>
    <x v="1"/>
    <n v="242.31"/>
    <x v="2"/>
    <n v="242.31"/>
  </r>
  <r>
    <x v="718"/>
    <x v="34"/>
    <x v="3"/>
    <x v="1"/>
    <x v="1"/>
    <x v="1"/>
    <x v="1"/>
    <n v="57.35"/>
    <x v="17"/>
    <n v="917.6"/>
  </r>
  <r>
    <x v="719"/>
    <x v="210"/>
    <x v="1"/>
    <x v="2"/>
    <x v="4"/>
    <x v="3"/>
    <x v="2"/>
    <n v="190.79"/>
    <x v="5"/>
    <n v="1717.11"/>
  </r>
  <r>
    <x v="720"/>
    <x v="320"/>
    <x v="0"/>
    <x v="2"/>
    <x v="5"/>
    <x v="4"/>
    <x v="2"/>
    <n v="236.43"/>
    <x v="1"/>
    <n v="472.86"/>
  </r>
  <r>
    <x v="721"/>
    <x v="280"/>
    <x v="5"/>
    <x v="0"/>
    <x v="5"/>
    <x v="1"/>
    <x v="0"/>
    <n v="69.87"/>
    <x v="16"/>
    <n v="768.57"/>
  </r>
  <r>
    <x v="722"/>
    <x v="323"/>
    <x v="1"/>
    <x v="0"/>
    <x v="2"/>
    <x v="3"/>
    <x v="2"/>
    <n v="44.63"/>
    <x v="14"/>
    <n v="223.15"/>
  </r>
  <r>
    <x v="723"/>
    <x v="279"/>
    <x v="4"/>
    <x v="0"/>
    <x v="5"/>
    <x v="3"/>
    <x v="2"/>
    <n v="193.05"/>
    <x v="13"/>
    <n v="3861"/>
  </r>
  <r>
    <x v="724"/>
    <x v="38"/>
    <x v="5"/>
    <x v="3"/>
    <x v="4"/>
    <x v="3"/>
    <x v="2"/>
    <n v="156.38"/>
    <x v="0"/>
    <n v="625.52"/>
  </r>
  <r>
    <x v="725"/>
    <x v="29"/>
    <x v="5"/>
    <x v="0"/>
    <x v="2"/>
    <x v="1"/>
    <x v="0"/>
    <n v="215.2"/>
    <x v="17"/>
    <n v="3443.2"/>
  </r>
  <r>
    <x v="726"/>
    <x v="82"/>
    <x v="3"/>
    <x v="1"/>
    <x v="4"/>
    <x v="5"/>
    <x v="2"/>
    <n v="60.75"/>
    <x v="1"/>
    <n v="121.5"/>
  </r>
  <r>
    <x v="727"/>
    <x v="324"/>
    <x v="3"/>
    <x v="5"/>
    <x v="4"/>
    <x v="4"/>
    <x v="2"/>
    <n v="204.96"/>
    <x v="15"/>
    <n v="3074.4"/>
  </r>
  <r>
    <x v="728"/>
    <x v="325"/>
    <x v="1"/>
    <x v="0"/>
    <x v="2"/>
    <x v="6"/>
    <x v="2"/>
    <n v="74.36"/>
    <x v="2"/>
    <n v="74.36"/>
  </r>
  <r>
    <x v="729"/>
    <x v="25"/>
    <x v="5"/>
    <x v="1"/>
    <x v="5"/>
    <x v="3"/>
    <x v="1"/>
    <n v="66"/>
    <x v="3"/>
    <n v="924"/>
  </r>
  <r>
    <x v="730"/>
    <x v="69"/>
    <x v="1"/>
    <x v="0"/>
    <x v="1"/>
    <x v="4"/>
    <x v="1"/>
    <n v="66.14"/>
    <x v="2"/>
    <n v="66.14"/>
  </r>
  <r>
    <x v="731"/>
    <x v="9"/>
    <x v="3"/>
    <x v="0"/>
    <x v="0"/>
    <x v="5"/>
    <x v="1"/>
    <n v="209.21"/>
    <x v="11"/>
    <n v="3974.99"/>
  </r>
  <r>
    <x v="732"/>
    <x v="83"/>
    <x v="0"/>
    <x v="3"/>
    <x v="3"/>
    <x v="2"/>
    <x v="0"/>
    <n v="176.34"/>
    <x v="13"/>
    <n v="3526.8"/>
  </r>
  <r>
    <x v="733"/>
    <x v="315"/>
    <x v="1"/>
    <x v="0"/>
    <x v="3"/>
    <x v="6"/>
    <x v="0"/>
    <n v="145.07"/>
    <x v="7"/>
    <n v="1740.84"/>
  </r>
  <r>
    <x v="734"/>
    <x v="14"/>
    <x v="0"/>
    <x v="1"/>
    <x v="3"/>
    <x v="0"/>
    <x v="1"/>
    <n v="108.94"/>
    <x v="13"/>
    <n v="2178.8000000000002"/>
  </r>
  <r>
    <x v="735"/>
    <x v="136"/>
    <x v="3"/>
    <x v="1"/>
    <x v="4"/>
    <x v="3"/>
    <x v="0"/>
    <n v="222.98"/>
    <x v="17"/>
    <n v="3567.68"/>
  </r>
  <r>
    <x v="736"/>
    <x v="92"/>
    <x v="0"/>
    <x v="5"/>
    <x v="2"/>
    <x v="5"/>
    <x v="1"/>
    <n v="116.34"/>
    <x v="5"/>
    <n v="1047.06"/>
  </r>
  <r>
    <x v="737"/>
    <x v="8"/>
    <x v="3"/>
    <x v="1"/>
    <x v="4"/>
    <x v="6"/>
    <x v="1"/>
    <n v="209.65"/>
    <x v="10"/>
    <n v="2725.45"/>
  </r>
  <r>
    <x v="738"/>
    <x v="214"/>
    <x v="5"/>
    <x v="3"/>
    <x v="0"/>
    <x v="1"/>
    <x v="2"/>
    <n v="126.61"/>
    <x v="4"/>
    <n v="379.83"/>
  </r>
  <r>
    <x v="739"/>
    <x v="307"/>
    <x v="0"/>
    <x v="3"/>
    <x v="4"/>
    <x v="1"/>
    <x v="1"/>
    <n v="112.93"/>
    <x v="2"/>
    <n v="112.93"/>
  </r>
  <r>
    <x v="740"/>
    <x v="238"/>
    <x v="0"/>
    <x v="5"/>
    <x v="1"/>
    <x v="2"/>
    <x v="2"/>
    <n v="131.79"/>
    <x v="2"/>
    <n v="131.79"/>
  </r>
  <r>
    <x v="741"/>
    <x v="290"/>
    <x v="3"/>
    <x v="0"/>
    <x v="3"/>
    <x v="6"/>
    <x v="2"/>
    <n v="96.3"/>
    <x v="18"/>
    <n v="1733.4"/>
  </r>
  <r>
    <x v="742"/>
    <x v="213"/>
    <x v="3"/>
    <x v="3"/>
    <x v="0"/>
    <x v="5"/>
    <x v="1"/>
    <n v="194.47"/>
    <x v="1"/>
    <n v="388.94"/>
  </r>
  <r>
    <x v="743"/>
    <x v="106"/>
    <x v="1"/>
    <x v="0"/>
    <x v="0"/>
    <x v="2"/>
    <x v="2"/>
    <n v="140.6"/>
    <x v="17"/>
    <n v="2249.6"/>
  </r>
  <r>
    <x v="744"/>
    <x v="177"/>
    <x v="1"/>
    <x v="2"/>
    <x v="5"/>
    <x v="3"/>
    <x v="2"/>
    <n v="81.09"/>
    <x v="0"/>
    <n v="324.36"/>
  </r>
  <r>
    <x v="745"/>
    <x v="79"/>
    <x v="2"/>
    <x v="5"/>
    <x v="0"/>
    <x v="2"/>
    <x v="0"/>
    <n v="227.91"/>
    <x v="19"/>
    <n v="2279.1"/>
  </r>
  <r>
    <x v="746"/>
    <x v="152"/>
    <x v="5"/>
    <x v="2"/>
    <x v="3"/>
    <x v="2"/>
    <x v="1"/>
    <n v="114.46"/>
    <x v="8"/>
    <n v="686.76"/>
  </r>
  <r>
    <x v="747"/>
    <x v="169"/>
    <x v="4"/>
    <x v="5"/>
    <x v="2"/>
    <x v="0"/>
    <x v="0"/>
    <n v="149.58000000000001"/>
    <x v="0"/>
    <n v="598.32000000000005"/>
  </r>
  <r>
    <x v="748"/>
    <x v="285"/>
    <x v="5"/>
    <x v="2"/>
    <x v="3"/>
    <x v="3"/>
    <x v="0"/>
    <n v="229.42"/>
    <x v="6"/>
    <n v="1605.94"/>
  </r>
  <r>
    <x v="749"/>
    <x v="172"/>
    <x v="1"/>
    <x v="0"/>
    <x v="1"/>
    <x v="1"/>
    <x v="2"/>
    <n v="167.33"/>
    <x v="1"/>
    <n v="334.66"/>
  </r>
  <r>
    <x v="750"/>
    <x v="286"/>
    <x v="2"/>
    <x v="2"/>
    <x v="4"/>
    <x v="1"/>
    <x v="1"/>
    <n v="55.72"/>
    <x v="11"/>
    <n v="1058.68"/>
  </r>
  <r>
    <x v="751"/>
    <x v="222"/>
    <x v="5"/>
    <x v="5"/>
    <x v="4"/>
    <x v="5"/>
    <x v="0"/>
    <n v="236.76"/>
    <x v="18"/>
    <n v="4261.68"/>
  </r>
  <r>
    <x v="752"/>
    <x v="117"/>
    <x v="3"/>
    <x v="0"/>
    <x v="2"/>
    <x v="1"/>
    <x v="2"/>
    <n v="168.1"/>
    <x v="11"/>
    <n v="3193.9"/>
  </r>
  <r>
    <x v="753"/>
    <x v="139"/>
    <x v="2"/>
    <x v="4"/>
    <x v="1"/>
    <x v="6"/>
    <x v="2"/>
    <n v="103.68"/>
    <x v="13"/>
    <n v="2073.6"/>
  </r>
  <r>
    <x v="754"/>
    <x v="326"/>
    <x v="4"/>
    <x v="3"/>
    <x v="0"/>
    <x v="3"/>
    <x v="2"/>
    <n v="60.64"/>
    <x v="9"/>
    <n v="485.12"/>
  </r>
  <r>
    <x v="755"/>
    <x v="296"/>
    <x v="5"/>
    <x v="5"/>
    <x v="3"/>
    <x v="2"/>
    <x v="1"/>
    <n v="204.69"/>
    <x v="14"/>
    <n v="1023.45"/>
  </r>
  <r>
    <x v="756"/>
    <x v="157"/>
    <x v="4"/>
    <x v="0"/>
    <x v="3"/>
    <x v="5"/>
    <x v="1"/>
    <n v="166.42"/>
    <x v="18"/>
    <n v="2995.56"/>
  </r>
  <r>
    <x v="757"/>
    <x v="314"/>
    <x v="3"/>
    <x v="5"/>
    <x v="3"/>
    <x v="3"/>
    <x v="1"/>
    <n v="147.36000000000001"/>
    <x v="6"/>
    <n v="1031.52"/>
  </r>
  <r>
    <x v="758"/>
    <x v="220"/>
    <x v="1"/>
    <x v="0"/>
    <x v="2"/>
    <x v="5"/>
    <x v="1"/>
    <n v="226.66"/>
    <x v="14"/>
    <n v="1133.3"/>
  </r>
  <r>
    <x v="759"/>
    <x v="91"/>
    <x v="1"/>
    <x v="1"/>
    <x v="0"/>
    <x v="5"/>
    <x v="2"/>
    <n v="203.49"/>
    <x v="16"/>
    <n v="2238.39"/>
  </r>
  <r>
    <x v="760"/>
    <x v="241"/>
    <x v="1"/>
    <x v="0"/>
    <x v="4"/>
    <x v="2"/>
    <x v="1"/>
    <n v="63.37"/>
    <x v="11"/>
    <n v="1204.03"/>
  </r>
  <r>
    <x v="761"/>
    <x v="123"/>
    <x v="5"/>
    <x v="1"/>
    <x v="1"/>
    <x v="1"/>
    <x v="0"/>
    <n v="98.58"/>
    <x v="19"/>
    <n v="985.8"/>
  </r>
  <r>
    <x v="762"/>
    <x v="20"/>
    <x v="0"/>
    <x v="0"/>
    <x v="5"/>
    <x v="0"/>
    <x v="2"/>
    <n v="84.67"/>
    <x v="14"/>
    <n v="423.35"/>
  </r>
  <r>
    <x v="763"/>
    <x v="216"/>
    <x v="1"/>
    <x v="4"/>
    <x v="2"/>
    <x v="4"/>
    <x v="0"/>
    <n v="193.67"/>
    <x v="19"/>
    <n v="1936.7"/>
  </r>
  <r>
    <x v="764"/>
    <x v="29"/>
    <x v="3"/>
    <x v="5"/>
    <x v="5"/>
    <x v="3"/>
    <x v="2"/>
    <n v="37.380000000000003"/>
    <x v="19"/>
    <n v="373.8"/>
  </r>
  <r>
    <x v="765"/>
    <x v="6"/>
    <x v="1"/>
    <x v="0"/>
    <x v="1"/>
    <x v="4"/>
    <x v="0"/>
    <n v="155.38"/>
    <x v="13"/>
    <n v="3107.6"/>
  </r>
  <r>
    <x v="766"/>
    <x v="206"/>
    <x v="5"/>
    <x v="2"/>
    <x v="1"/>
    <x v="4"/>
    <x v="1"/>
    <n v="197.74"/>
    <x v="18"/>
    <n v="3559.32"/>
  </r>
  <r>
    <x v="767"/>
    <x v="138"/>
    <x v="5"/>
    <x v="3"/>
    <x v="4"/>
    <x v="4"/>
    <x v="1"/>
    <n v="222.89"/>
    <x v="1"/>
    <n v="445.78"/>
  </r>
  <r>
    <x v="768"/>
    <x v="69"/>
    <x v="0"/>
    <x v="1"/>
    <x v="3"/>
    <x v="3"/>
    <x v="0"/>
    <n v="105.26"/>
    <x v="18"/>
    <n v="1894.68"/>
  </r>
  <r>
    <x v="769"/>
    <x v="48"/>
    <x v="3"/>
    <x v="0"/>
    <x v="3"/>
    <x v="2"/>
    <x v="1"/>
    <n v="210.68"/>
    <x v="15"/>
    <n v="3160.2"/>
  </r>
  <r>
    <x v="770"/>
    <x v="103"/>
    <x v="2"/>
    <x v="0"/>
    <x v="1"/>
    <x v="0"/>
    <x v="1"/>
    <n v="54.34"/>
    <x v="11"/>
    <n v="1032.46"/>
  </r>
  <r>
    <x v="771"/>
    <x v="215"/>
    <x v="5"/>
    <x v="2"/>
    <x v="3"/>
    <x v="1"/>
    <x v="0"/>
    <n v="216.22"/>
    <x v="19"/>
    <n v="2162.1999999999998"/>
  </r>
  <r>
    <x v="772"/>
    <x v="313"/>
    <x v="0"/>
    <x v="3"/>
    <x v="5"/>
    <x v="6"/>
    <x v="2"/>
    <n v="58.05"/>
    <x v="12"/>
    <n v="986.85"/>
  </r>
  <r>
    <x v="773"/>
    <x v="327"/>
    <x v="3"/>
    <x v="2"/>
    <x v="1"/>
    <x v="4"/>
    <x v="2"/>
    <n v="117.4"/>
    <x v="5"/>
    <n v="1056.5999999999999"/>
  </r>
  <r>
    <x v="774"/>
    <x v="247"/>
    <x v="5"/>
    <x v="0"/>
    <x v="2"/>
    <x v="1"/>
    <x v="0"/>
    <n v="205.4"/>
    <x v="16"/>
    <n v="2259.4"/>
  </r>
  <r>
    <x v="775"/>
    <x v="198"/>
    <x v="0"/>
    <x v="0"/>
    <x v="1"/>
    <x v="4"/>
    <x v="1"/>
    <n v="62.98"/>
    <x v="13"/>
    <n v="1259.5999999999999"/>
  </r>
  <r>
    <x v="776"/>
    <x v="328"/>
    <x v="2"/>
    <x v="5"/>
    <x v="0"/>
    <x v="1"/>
    <x v="1"/>
    <n v="80.44"/>
    <x v="17"/>
    <n v="1287.04"/>
  </r>
  <r>
    <x v="777"/>
    <x v="86"/>
    <x v="3"/>
    <x v="2"/>
    <x v="1"/>
    <x v="1"/>
    <x v="1"/>
    <n v="188.9"/>
    <x v="12"/>
    <n v="3211.3"/>
  </r>
  <r>
    <x v="778"/>
    <x v="5"/>
    <x v="2"/>
    <x v="5"/>
    <x v="4"/>
    <x v="1"/>
    <x v="2"/>
    <n v="188.41"/>
    <x v="3"/>
    <n v="2637.74"/>
  </r>
  <r>
    <x v="779"/>
    <x v="168"/>
    <x v="1"/>
    <x v="4"/>
    <x v="0"/>
    <x v="3"/>
    <x v="2"/>
    <n v="171.05"/>
    <x v="6"/>
    <n v="1197.3499999999999"/>
  </r>
  <r>
    <x v="780"/>
    <x v="314"/>
    <x v="2"/>
    <x v="3"/>
    <x v="1"/>
    <x v="4"/>
    <x v="1"/>
    <n v="182.67"/>
    <x v="13"/>
    <n v="3653.4"/>
  </r>
  <r>
    <x v="781"/>
    <x v="323"/>
    <x v="1"/>
    <x v="4"/>
    <x v="4"/>
    <x v="0"/>
    <x v="1"/>
    <n v="149.4"/>
    <x v="0"/>
    <n v="597.6"/>
  </r>
  <r>
    <x v="782"/>
    <x v="253"/>
    <x v="3"/>
    <x v="1"/>
    <x v="3"/>
    <x v="3"/>
    <x v="2"/>
    <n v="85.4"/>
    <x v="13"/>
    <n v="1708"/>
  </r>
  <r>
    <x v="783"/>
    <x v="177"/>
    <x v="4"/>
    <x v="5"/>
    <x v="3"/>
    <x v="3"/>
    <x v="0"/>
    <n v="106.05"/>
    <x v="10"/>
    <n v="1378.65"/>
  </r>
  <r>
    <x v="784"/>
    <x v="329"/>
    <x v="2"/>
    <x v="5"/>
    <x v="4"/>
    <x v="6"/>
    <x v="0"/>
    <n v="69.95"/>
    <x v="7"/>
    <n v="839.4"/>
  </r>
  <r>
    <x v="785"/>
    <x v="122"/>
    <x v="4"/>
    <x v="5"/>
    <x v="5"/>
    <x v="1"/>
    <x v="0"/>
    <n v="229.86"/>
    <x v="6"/>
    <n v="1609.02"/>
  </r>
  <r>
    <x v="786"/>
    <x v="71"/>
    <x v="0"/>
    <x v="0"/>
    <x v="5"/>
    <x v="0"/>
    <x v="1"/>
    <n v="158.35"/>
    <x v="18"/>
    <n v="2850.3"/>
  </r>
  <r>
    <x v="787"/>
    <x v="301"/>
    <x v="1"/>
    <x v="3"/>
    <x v="5"/>
    <x v="0"/>
    <x v="1"/>
    <n v="118.19"/>
    <x v="6"/>
    <n v="827.33"/>
  </r>
  <r>
    <x v="788"/>
    <x v="330"/>
    <x v="1"/>
    <x v="1"/>
    <x v="3"/>
    <x v="2"/>
    <x v="0"/>
    <n v="131.63999999999999"/>
    <x v="3"/>
    <n v="1842.96"/>
  </r>
  <r>
    <x v="789"/>
    <x v="331"/>
    <x v="1"/>
    <x v="4"/>
    <x v="5"/>
    <x v="1"/>
    <x v="0"/>
    <n v="238.4"/>
    <x v="15"/>
    <n v="3576"/>
  </r>
  <r>
    <x v="790"/>
    <x v="36"/>
    <x v="4"/>
    <x v="5"/>
    <x v="5"/>
    <x v="5"/>
    <x v="0"/>
    <n v="63.74"/>
    <x v="8"/>
    <n v="382.44"/>
  </r>
  <r>
    <x v="791"/>
    <x v="113"/>
    <x v="5"/>
    <x v="3"/>
    <x v="3"/>
    <x v="6"/>
    <x v="2"/>
    <n v="158.97"/>
    <x v="3"/>
    <n v="2225.58"/>
  </r>
  <r>
    <x v="792"/>
    <x v="15"/>
    <x v="5"/>
    <x v="0"/>
    <x v="5"/>
    <x v="5"/>
    <x v="0"/>
    <n v="141.30000000000001"/>
    <x v="2"/>
    <n v="141.30000000000001"/>
  </r>
  <r>
    <x v="793"/>
    <x v="174"/>
    <x v="0"/>
    <x v="0"/>
    <x v="1"/>
    <x v="1"/>
    <x v="1"/>
    <n v="164.52"/>
    <x v="13"/>
    <n v="3290.4"/>
  </r>
  <r>
    <x v="794"/>
    <x v="50"/>
    <x v="2"/>
    <x v="1"/>
    <x v="0"/>
    <x v="4"/>
    <x v="1"/>
    <n v="33.979999999999997"/>
    <x v="7"/>
    <n v="407.76"/>
  </r>
  <r>
    <x v="795"/>
    <x v="328"/>
    <x v="0"/>
    <x v="4"/>
    <x v="4"/>
    <x v="6"/>
    <x v="2"/>
    <n v="221.87"/>
    <x v="13"/>
    <n v="4437.3999999999996"/>
  </r>
  <r>
    <x v="796"/>
    <x v="107"/>
    <x v="5"/>
    <x v="2"/>
    <x v="1"/>
    <x v="0"/>
    <x v="0"/>
    <n v="235.07"/>
    <x v="2"/>
    <n v="235.07"/>
  </r>
  <r>
    <x v="797"/>
    <x v="291"/>
    <x v="4"/>
    <x v="0"/>
    <x v="2"/>
    <x v="3"/>
    <x v="1"/>
    <n v="154.33000000000001"/>
    <x v="18"/>
    <n v="2777.94"/>
  </r>
  <r>
    <x v="798"/>
    <x v="206"/>
    <x v="0"/>
    <x v="5"/>
    <x v="1"/>
    <x v="0"/>
    <x v="0"/>
    <n v="183.26"/>
    <x v="7"/>
    <n v="2199.12"/>
  </r>
  <r>
    <x v="799"/>
    <x v="221"/>
    <x v="2"/>
    <x v="5"/>
    <x v="4"/>
    <x v="5"/>
    <x v="1"/>
    <n v="232.95"/>
    <x v="2"/>
    <n v="232.95"/>
  </r>
  <r>
    <x v="800"/>
    <x v="275"/>
    <x v="3"/>
    <x v="0"/>
    <x v="3"/>
    <x v="2"/>
    <x v="2"/>
    <n v="185.59"/>
    <x v="19"/>
    <n v="1855.9"/>
  </r>
  <r>
    <x v="801"/>
    <x v="99"/>
    <x v="1"/>
    <x v="5"/>
    <x v="2"/>
    <x v="0"/>
    <x v="0"/>
    <n v="63.56"/>
    <x v="3"/>
    <n v="889.84"/>
  </r>
  <r>
    <x v="802"/>
    <x v="168"/>
    <x v="4"/>
    <x v="2"/>
    <x v="5"/>
    <x v="0"/>
    <x v="1"/>
    <n v="156.78"/>
    <x v="13"/>
    <n v="3135.6"/>
  </r>
  <r>
    <x v="803"/>
    <x v="305"/>
    <x v="2"/>
    <x v="3"/>
    <x v="3"/>
    <x v="5"/>
    <x v="0"/>
    <n v="163.47999999999999"/>
    <x v="1"/>
    <n v="326.95999999999998"/>
  </r>
  <r>
    <x v="804"/>
    <x v="10"/>
    <x v="4"/>
    <x v="1"/>
    <x v="2"/>
    <x v="2"/>
    <x v="1"/>
    <n v="123.31"/>
    <x v="4"/>
    <n v="369.93"/>
  </r>
  <r>
    <x v="805"/>
    <x v="43"/>
    <x v="4"/>
    <x v="2"/>
    <x v="3"/>
    <x v="2"/>
    <x v="0"/>
    <n v="192.02"/>
    <x v="16"/>
    <n v="2112.2199999999998"/>
  </r>
  <r>
    <x v="806"/>
    <x v="210"/>
    <x v="2"/>
    <x v="1"/>
    <x v="2"/>
    <x v="3"/>
    <x v="2"/>
    <n v="235.56"/>
    <x v="19"/>
    <n v="2355.6"/>
  </r>
  <r>
    <x v="807"/>
    <x v="230"/>
    <x v="2"/>
    <x v="0"/>
    <x v="0"/>
    <x v="2"/>
    <x v="1"/>
    <n v="233.63"/>
    <x v="16"/>
    <n v="2569.9299999999998"/>
  </r>
  <r>
    <x v="808"/>
    <x v="19"/>
    <x v="2"/>
    <x v="4"/>
    <x v="0"/>
    <x v="6"/>
    <x v="0"/>
    <n v="129.18"/>
    <x v="11"/>
    <n v="2454.42"/>
  </r>
  <r>
    <x v="809"/>
    <x v="247"/>
    <x v="3"/>
    <x v="2"/>
    <x v="3"/>
    <x v="2"/>
    <x v="1"/>
    <n v="54.91"/>
    <x v="16"/>
    <n v="604.01"/>
  </r>
  <r>
    <x v="810"/>
    <x v="137"/>
    <x v="4"/>
    <x v="2"/>
    <x v="3"/>
    <x v="2"/>
    <x v="2"/>
    <n v="246.67"/>
    <x v="5"/>
    <n v="2220.0300000000002"/>
  </r>
  <r>
    <x v="811"/>
    <x v="180"/>
    <x v="5"/>
    <x v="4"/>
    <x v="0"/>
    <x v="6"/>
    <x v="1"/>
    <n v="214.56"/>
    <x v="15"/>
    <n v="3218.4"/>
  </r>
  <r>
    <x v="812"/>
    <x v="178"/>
    <x v="1"/>
    <x v="5"/>
    <x v="5"/>
    <x v="4"/>
    <x v="2"/>
    <n v="57.43"/>
    <x v="8"/>
    <n v="344.58"/>
  </r>
  <r>
    <x v="813"/>
    <x v="1"/>
    <x v="3"/>
    <x v="4"/>
    <x v="3"/>
    <x v="2"/>
    <x v="0"/>
    <n v="232.59"/>
    <x v="18"/>
    <n v="4186.62"/>
  </r>
  <r>
    <x v="814"/>
    <x v="59"/>
    <x v="2"/>
    <x v="0"/>
    <x v="5"/>
    <x v="4"/>
    <x v="1"/>
    <n v="221.38"/>
    <x v="2"/>
    <n v="221.38"/>
  </r>
  <r>
    <x v="815"/>
    <x v="197"/>
    <x v="2"/>
    <x v="2"/>
    <x v="5"/>
    <x v="5"/>
    <x v="2"/>
    <n v="144.13999999999999"/>
    <x v="10"/>
    <n v="1873.82"/>
  </r>
  <r>
    <x v="816"/>
    <x v="258"/>
    <x v="5"/>
    <x v="0"/>
    <x v="2"/>
    <x v="3"/>
    <x v="2"/>
    <n v="160.08000000000001"/>
    <x v="18"/>
    <n v="2881.44"/>
  </r>
  <r>
    <x v="817"/>
    <x v="217"/>
    <x v="1"/>
    <x v="4"/>
    <x v="2"/>
    <x v="6"/>
    <x v="1"/>
    <n v="117.78"/>
    <x v="11"/>
    <n v="2237.8200000000002"/>
  </r>
  <r>
    <x v="818"/>
    <x v="332"/>
    <x v="5"/>
    <x v="4"/>
    <x v="1"/>
    <x v="1"/>
    <x v="1"/>
    <n v="42.05"/>
    <x v="4"/>
    <n v="126.15"/>
  </r>
  <r>
    <x v="819"/>
    <x v="219"/>
    <x v="1"/>
    <x v="2"/>
    <x v="1"/>
    <x v="0"/>
    <x v="2"/>
    <n v="103.74"/>
    <x v="13"/>
    <n v="2074.8000000000002"/>
  </r>
  <r>
    <x v="820"/>
    <x v="5"/>
    <x v="2"/>
    <x v="5"/>
    <x v="3"/>
    <x v="4"/>
    <x v="0"/>
    <n v="206.63"/>
    <x v="8"/>
    <n v="1239.78"/>
  </r>
  <r>
    <x v="821"/>
    <x v="147"/>
    <x v="0"/>
    <x v="2"/>
    <x v="4"/>
    <x v="0"/>
    <x v="0"/>
    <n v="31.02"/>
    <x v="7"/>
    <n v="372.24"/>
  </r>
  <r>
    <x v="822"/>
    <x v="49"/>
    <x v="3"/>
    <x v="1"/>
    <x v="3"/>
    <x v="0"/>
    <x v="1"/>
    <n v="103.37"/>
    <x v="7"/>
    <n v="1240.44"/>
  </r>
  <r>
    <x v="823"/>
    <x v="280"/>
    <x v="5"/>
    <x v="3"/>
    <x v="5"/>
    <x v="1"/>
    <x v="1"/>
    <n v="117.6"/>
    <x v="10"/>
    <n v="1528.8"/>
  </r>
  <r>
    <x v="824"/>
    <x v="198"/>
    <x v="1"/>
    <x v="5"/>
    <x v="3"/>
    <x v="4"/>
    <x v="2"/>
    <n v="148.22999999999999"/>
    <x v="0"/>
    <n v="592.91999999999996"/>
  </r>
  <r>
    <x v="825"/>
    <x v="17"/>
    <x v="2"/>
    <x v="5"/>
    <x v="2"/>
    <x v="6"/>
    <x v="1"/>
    <n v="232.37"/>
    <x v="11"/>
    <n v="4415.03"/>
  </r>
  <r>
    <x v="826"/>
    <x v="8"/>
    <x v="2"/>
    <x v="0"/>
    <x v="5"/>
    <x v="5"/>
    <x v="2"/>
    <n v="106.2"/>
    <x v="7"/>
    <n v="1274.4000000000001"/>
  </r>
  <r>
    <x v="827"/>
    <x v="257"/>
    <x v="2"/>
    <x v="3"/>
    <x v="0"/>
    <x v="4"/>
    <x v="2"/>
    <n v="106.33"/>
    <x v="9"/>
    <n v="850.64"/>
  </r>
  <r>
    <x v="828"/>
    <x v="43"/>
    <x v="2"/>
    <x v="1"/>
    <x v="1"/>
    <x v="0"/>
    <x v="2"/>
    <n v="192.25"/>
    <x v="17"/>
    <n v="3076"/>
  </r>
  <r>
    <x v="829"/>
    <x v="96"/>
    <x v="0"/>
    <x v="5"/>
    <x v="3"/>
    <x v="3"/>
    <x v="0"/>
    <n v="129.49"/>
    <x v="9"/>
    <n v="1035.92"/>
  </r>
  <r>
    <x v="830"/>
    <x v="132"/>
    <x v="3"/>
    <x v="4"/>
    <x v="1"/>
    <x v="2"/>
    <x v="0"/>
    <n v="79.41"/>
    <x v="8"/>
    <n v="476.46"/>
  </r>
  <r>
    <x v="831"/>
    <x v="107"/>
    <x v="5"/>
    <x v="4"/>
    <x v="3"/>
    <x v="1"/>
    <x v="2"/>
    <n v="129.54"/>
    <x v="9"/>
    <n v="1036.32"/>
  </r>
  <r>
    <x v="832"/>
    <x v="151"/>
    <x v="5"/>
    <x v="2"/>
    <x v="1"/>
    <x v="0"/>
    <x v="1"/>
    <n v="60.99"/>
    <x v="17"/>
    <n v="975.84"/>
  </r>
  <r>
    <x v="833"/>
    <x v="148"/>
    <x v="3"/>
    <x v="1"/>
    <x v="2"/>
    <x v="5"/>
    <x v="1"/>
    <n v="68.81"/>
    <x v="2"/>
    <n v="68.81"/>
  </r>
  <r>
    <x v="834"/>
    <x v="216"/>
    <x v="1"/>
    <x v="5"/>
    <x v="5"/>
    <x v="5"/>
    <x v="0"/>
    <n v="139.63999999999999"/>
    <x v="14"/>
    <n v="698.2"/>
  </r>
  <r>
    <x v="835"/>
    <x v="269"/>
    <x v="4"/>
    <x v="2"/>
    <x v="1"/>
    <x v="6"/>
    <x v="1"/>
    <n v="122.16"/>
    <x v="8"/>
    <n v="732.96"/>
  </r>
  <r>
    <x v="836"/>
    <x v="127"/>
    <x v="1"/>
    <x v="0"/>
    <x v="3"/>
    <x v="4"/>
    <x v="2"/>
    <n v="231.27"/>
    <x v="2"/>
    <n v="231.27"/>
  </r>
  <r>
    <x v="837"/>
    <x v="275"/>
    <x v="5"/>
    <x v="5"/>
    <x v="4"/>
    <x v="4"/>
    <x v="2"/>
    <n v="109.73"/>
    <x v="6"/>
    <n v="768.11"/>
  </r>
  <r>
    <x v="838"/>
    <x v="154"/>
    <x v="5"/>
    <x v="5"/>
    <x v="2"/>
    <x v="4"/>
    <x v="1"/>
    <n v="157.72999999999999"/>
    <x v="9"/>
    <n v="1261.8399999999999"/>
  </r>
  <r>
    <x v="839"/>
    <x v="38"/>
    <x v="1"/>
    <x v="5"/>
    <x v="0"/>
    <x v="0"/>
    <x v="1"/>
    <n v="169.1"/>
    <x v="13"/>
    <n v="3382"/>
  </r>
  <r>
    <x v="840"/>
    <x v="185"/>
    <x v="5"/>
    <x v="5"/>
    <x v="1"/>
    <x v="1"/>
    <x v="0"/>
    <n v="32.880000000000003"/>
    <x v="16"/>
    <n v="361.68"/>
  </r>
  <r>
    <x v="841"/>
    <x v="8"/>
    <x v="3"/>
    <x v="1"/>
    <x v="5"/>
    <x v="0"/>
    <x v="1"/>
    <n v="175.98"/>
    <x v="10"/>
    <n v="2287.7399999999998"/>
  </r>
  <r>
    <x v="842"/>
    <x v="333"/>
    <x v="3"/>
    <x v="5"/>
    <x v="5"/>
    <x v="0"/>
    <x v="2"/>
    <n v="69.17"/>
    <x v="3"/>
    <n v="968.38"/>
  </r>
  <r>
    <x v="843"/>
    <x v="253"/>
    <x v="0"/>
    <x v="5"/>
    <x v="1"/>
    <x v="4"/>
    <x v="0"/>
    <n v="241.44"/>
    <x v="13"/>
    <n v="4828.8"/>
  </r>
  <r>
    <x v="844"/>
    <x v="143"/>
    <x v="1"/>
    <x v="2"/>
    <x v="1"/>
    <x v="5"/>
    <x v="0"/>
    <n v="62.71"/>
    <x v="17"/>
    <n v="1003.36"/>
  </r>
  <r>
    <x v="845"/>
    <x v="67"/>
    <x v="2"/>
    <x v="3"/>
    <x v="0"/>
    <x v="4"/>
    <x v="0"/>
    <n v="121.22"/>
    <x v="3"/>
    <n v="1697.08"/>
  </r>
  <r>
    <x v="846"/>
    <x v="124"/>
    <x v="5"/>
    <x v="2"/>
    <x v="4"/>
    <x v="4"/>
    <x v="2"/>
    <n v="48.78"/>
    <x v="12"/>
    <n v="829.26"/>
  </r>
  <r>
    <x v="847"/>
    <x v="101"/>
    <x v="1"/>
    <x v="0"/>
    <x v="1"/>
    <x v="1"/>
    <x v="2"/>
    <n v="249.31"/>
    <x v="11"/>
    <n v="4736.8900000000003"/>
  </r>
  <r>
    <x v="848"/>
    <x v="296"/>
    <x v="5"/>
    <x v="2"/>
    <x v="5"/>
    <x v="3"/>
    <x v="1"/>
    <n v="140.47999999999999"/>
    <x v="5"/>
    <n v="1264.32"/>
  </r>
  <r>
    <x v="849"/>
    <x v="258"/>
    <x v="4"/>
    <x v="2"/>
    <x v="5"/>
    <x v="2"/>
    <x v="1"/>
    <n v="160.97999999999999"/>
    <x v="3"/>
    <n v="2253.7199999999998"/>
  </r>
  <r>
    <x v="850"/>
    <x v="94"/>
    <x v="2"/>
    <x v="1"/>
    <x v="1"/>
    <x v="1"/>
    <x v="2"/>
    <n v="44.76"/>
    <x v="11"/>
    <n v="850.44"/>
  </r>
  <r>
    <x v="851"/>
    <x v="208"/>
    <x v="1"/>
    <x v="4"/>
    <x v="4"/>
    <x v="3"/>
    <x v="0"/>
    <n v="194.99"/>
    <x v="6"/>
    <n v="1364.93"/>
  </r>
  <r>
    <x v="852"/>
    <x v="334"/>
    <x v="1"/>
    <x v="5"/>
    <x v="0"/>
    <x v="3"/>
    <x v="1"/>
    <n v="76.180000000000007"/>
    <x v="3"/>
    <n v="1066.52"/>
  </r>
  <r>
    <x v="853"/>
    <x v="2"/>
    <x v="4"/>
    <x v="5"/>
    <x v="0"/>
    <x v="2"/>
    <x v="2"/>
    <n v="227.57"/>
    <x v="11"/>
    <n v="4323.83"/>
  </r>
  <r>
    <x v="854"/>
    <x v="141"/>
    <x v="2"/>
    <x v="5"/>
    <x v="4"/>
    <x v="0"/>
    <x v="2"/>
    <n v="75.13"/>
    <x v="3"/>
    <n v="1051.82"/>
  </r>
  <r>
    <x v="855"/>
    <x v="62"/>
    <x v="5"/>
    <x v="4"/>
    <x v="0"/>
    <x v="5"/>
    <x v="2"/>
    <n v="71.95"/>
    <x v="18"/>
    <n v="1295.0999999999999"/>
  </r>
  <r>
    <x v="856"/>
    <x v="218"/>
    <x v="1"/>
    <x v="2"/>
    <x v="3"/>
    <x v="1"/>
    <x v="1"/>
    <n v="38.04"/>
    <x v="10"/>
    <n v="494.52"/>
  </r>
  <r>
    <x v="857"/>
    <x v="335"/>
    <x v="1"/>
    <x v="2"/>
    <x v="5"/>
    <x v="0"/>
    <x v="1"/>
    <n v="133.85"/>
    <x v="15"/>
    <n v="2007.75"/>
  </r>
  <r>
    <x v="858"/>
    <x v="188"/>
    <x v="2"/>
    <x v="5"/>
    <x v="3"/>
    <x v="2"/>
    <x v="1"/>
    <n v="154.27000000000001"/>
    <x v="16"/>
    <n v="1696.97"/>
  </r>
  <r>
    <x v="859"/>
    <x v="126"/>
    <x v="5"/>
    <x v="0"/>
    <x v="5"/>
    <x v="4"/>
    <x v="0"/>
    <n v="44.46"/>
    <x v="8"/>
    <n v="266.76"/>
  </r>
  <r>
    <x v="860"/>
    <x v="153"/>
    <x v="2"/>
    <x v="3"/>
    <x v="5"/>
    <x v="1"/>
    <x v="2"/>
    <n v="200.62"/>
    <x v="17"/>
    <n v="3209.92"/>
  </r>
  <r>
    <x v="861"/>
    <x v="168"/>
    <x v="0"/>
    <x v="5"/>
    <x v="5"/>
    <x v="2"/>
    <x v="2"/>
    <n v="129.72"/>
    <x v="7"/>
    <n v="1556.64"/>
  </r>
  <r>
    <x v="862"/>
    <x v="188"/>
    <x v="1"/>
    <x v="5"/>
    <x v="0"/>
    <x v="2"/>
    <x v="1"/>
    <n v="145.37"/>
    <x v="13"/>
    <n v="2907.4"/>
  </r>
  <r>
    <x v="863"/>
    <x v="317"/>
    <x v="1"/>
    <x v="3"/>
    <x v="4"/>
    <x v="1"/>
    <x v="0"/>
    <n v="126.97"/>
    <x v="8"/>
    <n v="761.82"/>
  </r>
  <r>
    <x v="864"/>
    <x v="139"/>
    <x v="4"/>
    <x v="2"/>
    <x v="5"/>
    <x v="4"/>
    <x v="1"/>
    <n v="118.17"/>
    <x v="12"/>
    <n v="2008.89"/>
  </r>
  <r>
    <x v="865"/>
    <x v="332"/>
    <x v="1"/>
    <x v="2"/>
    <x v="1"/>
    <x v="0"/>
    <x v="1"/>
    <n v="153.12"/>
    <x v="12"/>
    <n v="2603.04"/>
  </r>
  <r>
    <x v="866"/>
    <x v="319"/>
    <x v="3"/>
    <x v="0"/>
    <x v="5"/>
    <x v="0"/>
    <x v="0"/>
    <n v="64.150000000000006"/>
    <x v="7"/>
    <n v="769.8"/>
  </r>
  <r>
    <x v="867"/>
    <x v="173"/>
    <x v="4"/>
    <x v="0"/>
    <x v="4"/>
    <x v="6"/>
    <x v="1"/>
    <n v="70.02"/>
    <x v="10"/>
    <n v="910.26"/>
  </r>
  <r>
    <x v="868"/>
    <x v="227"/>
    <x v="0"/>
    <x v="0"/>
    <x v="3"/>
    <x v="1"/>
    <x v="0"/>
    <n v="219.59"/>
    <x v="12"/>
    <n v="3733.03"/>
  </r>
  <r>
    <x v="869"/>
    <x v="238"/>
    <x v="1"/>
    <x v="5"/>
    <x v="1"/>
    <x v="3"/>
    <x v="2"/>
    <n v="238.15"/>
    <x v="19"/>
    <n v="2381.5"/>
  </r>
  <r>
    <x v="870"/>
    <x v="173"/>
    <x v="2"/>
    <x v="2"/>
    <x v="4"/>
    <x v="6"/>
    <x v="1"/>
    <n v="112.13"/>
    <x v="9"/>
    <n v="897.04"/>
  </r>
  <r>
    <x v="871"/>
    <x v="247"/>
    <x v="3"/>
    <x v="3"/>
    <x v="1"/>
    <x v="1"/>
    <x v="1"/>
    <n v="89.56"/>
    <x v="5"/>
    <n v="806.04"/>
  </r>
  <r>
    <x v="872"/>
    <x v="50"/>
    <x v="4"/>
    <x v="4"/>
    <x v="5"/>
    <x v="4"/>
    <x v="1"/>
    <n v="171.68"/>
    <x v="12"/>
    <n v="2918.56"/>
  </r>
  <r>
    <x v="873"/>
    <x v="163"/>
    <x v="2"/>
    <x v="4"/>
    <x v="3"/>
    <x v="6"/>
    <x v="2"/>
    <n v="119.92"/>
    <x v="18"/>
    <n v="2158.56"/>
  </r>
  <r>
    <x v="874"/>
    <x v="127"/>
    <x v="3"/>
    <x v="4"/>
    <x v="4"/>
    <x v="2"/>
    <x v="2"/>
    <n v="35.58"/>
    <x v="17"/>
    <n v="569.28"/>
  </r>
  <r>
    <x v="875"/>
    <x v="135"/>
    <x v="5"/>
    <x v="1"/>
    <x v="0"/>
    <x v="1"/>
    <x v="2"/>
    <n v="64.349999999999994"/>
    <x v="2"/>
    <n v="64.349999999999994"/>
  </r>
  <r>
    <x v="876"/>
    <x v="79"/>
    <x v="1"/>
    <x v="0"/>
    <x v="2"/>
    <x v="4"/>
    <x v="2"/>
    <n v="187.51"/>
    <x v="9"/>
    <n v="1500.08"/>
  </r>
  <r>
    <x v="877"/>
    <x v="184"/>
    <x v="2"/>
    <x v="5"/>
    <x v="5"/>
    <x v="2"/>
    <x v="2"/>
    <n v="174.96"/>
    <x v="7"/>
    <n v="2099.52"/>
  </r>
  <r>
    <x v="878"/>
    <x v="37"/>
    <x v="0"/>
    <x v="3"/>
    <x v="3"/>
    <x v="2"/>
    <x v="2"/>
    <n v="35.96"/>
    <x v="19"/>
    <n v="359.6"/>
  </r>
  <r>
    <x v="879"/>
    <x v="59"/>
    <x v="3"/>
    <x v="3"/>
    <x v="0"/>
    <x v="3"/>
    <x v="0"/>
    <n v="78.83"/>
    <x v="18"/>
    <n v="1418.94"/>
  </r>
  <r>
    <x v="880"/>
    <x v="125"/>
    <x v="3"/>
    <x v="0"/>
    <x v="3"/>
    <x v="0"/>
    <x v="2"/>
    <n v="80.84"/>
    <x v="5"/>
    <n v="727.56"/>
  </r>
  <r>
    <x v="881"/>
    <x v="227"/>
    <x v="1"/>
    <x v="2"/>
    <x v="0"/>
    <x v="0"/>
    <x v="0"/>
    <n v="177.82"/>
    <x v="9"/>
    <n v="1422.56"/>
  </r>
  <r>
    <x v="882"/>
    <x v="298"/>
    <x v="2"/>
    <x v="4"/>
    <x v="2"/>
    <x v="4"/>
    <x v="0"/>
    <n v="34.340000000000003"/>
    <x v="9"/>
    <n v="274.72000000000003"/>
  </r>
  <r>
    <x v="883"/>
    <x v="336"/>
    <x v="1"/>
    <x v="0"/>
    <x v="4"/>
    <x v="5"/>
    <x v="0"/>
    <n v="52.9"/>
    <x v="4"/>
    <n v="158.69999999999999"/>
  </r>
  <r>
    <x v="884"/>
    <x v="44"/>
    <x v="5"/>
    <x v="4"/>
    <x v="1"/>
    <x v="3"/>
    <x v="2"/>
    <n v="205.98"/>
    <x v="1"/>
    <n v="411.96"/>
  </r>
  <r>
    <x v="885"/>
    <x v="260"/>
    <x v="5"/>
    <x v="2"/>
    <x v="1"/>
    <x v="3"/>
    <x v="2"/>
    <n v="69.28"/>
    <x v="5"/>
    <n v="623.52"/>
  </r>
  <r>
    <x v="886"/>
    <x v="168"/>
    <x v="3"/>
    <x v="1"/>
    <x v="1"/>
    <x v="4"/>
    <x v="2"/>
    <n v="173.6"/>
    <x v="11"/>
    <n v="3298.4"/>
  </r>
  <r>
    <x v="887"/>
    <x v="45"/>
    <x v="0"/>
    <x v="5"/>
    <x v="0"/>
    <x v="6"/>
    <x v="1"/>
    <n v="82.4"/>
    <x v="18"/>
    <n v="1483.2"/>
  </r>
  <r>
    <x v="888"/>
    <x v="75"/>
    <x v="0"/>
    <x v="0"/>
    <x v="1"/>
    <x v="6"/>
    <x v="2"/>
    <n v="51.88"/>
    <x v="15"/>
    <n v="778.2"/>
  </r>
  <r>
    <x v="889"/>
    <x v="83"/>
    <x v="0"/>
    <x v="0"/>
    <x v="2"/>
    <x v="6"/>
    <x v="1"/>
    <n v="83.5"/>
    <x v="2"/>
    <n v="83.5"/>
  </r>
  <r>
    <x v="890"/>
    <x v="210"/>
    <x v="4"/>
    <x v="5"/>
    <x v="0"/>
    <x v="0"/>
    <x v="1"/>
    <n v="188.9"/>
    <x v="16"/>
    <n v="2077.9"/>
  </r>
  <r>
    <x v="891"/>
    <x v="17"/>
    <x v="4"/>
    <x v="3"/>
    <x v="1"/>
    <x v="3"/>
    <x v="2"/>
    <n v="218.25"/>
    <x v="9"/>
    <n v="1746"/>
  </r>
  <r>
    <x v="892"/>
    <x v="120"/>
    <x v="5"/>
    <x v="2"/>
    <x v="4"/>
    <x v="2"/>
    <x v="2"/>
    <n v="212.65"/>
    <x v="17"/>
    <n v="3402.4"/>
  </r>
  <r>
    <x v="893"/>
    <x v="213"/>
    <x v="4"/>
    <x v="3"/>
    <x v="2"/>
    <x v="5"/>
    <x v="0"/>
    <n v="117.38"/>
    <x v="10"/>
    <n v="1525.94"/>
  </r>
  <r>
    <x v="894"/>
    <x v="260"/>
    <x v="0"/>
    <x v="0"/>
    <x v="0"/>
    <x v="4"/>
    <x v="0"/>
    <n v="176.98"/>
    <x v="9"/>
    <n v="1415.84"/>
  </r>
  <r>
    <x v="895"/>
    <x v="327"/>
    <x v="5"/>
    <x v="2"/>
    <x v="2"/>
    <x v="4"/>
    <x v="1"/>
    <n v="75.099999999999994"/>
    <x v="3"/>
    <n v="1051.4000000000001"/>
  </r>
  <r>
    <x v="896"/>
    <x v="132"/>
    <x v="0"/>
    <x v="2"/>
    <x v="4"/>
    <x v="6"/>
    <x v="0"/>
    <n v="94.49"/>
    <x v="17"/>
    <n v="1511.84"/>
  </r>
  <r>
    <x v="897"/>
    <x v="301"/>
    <x v="2"/>
    <x v="0"/>
    <x v="0"/>
    <x v="4"/>
    <x v="2"/>
    <n v="227.19"/>
    <x v="12"/>
    <n v="3862.23"/>
  </r>
  <r>
    <x v="898"/>
    <x v="157"/>
    <x v="2"/>
    <x v="5"/>
    <x v="5"/>
    <x v="6"/>
    <x v="0"/>
    <n v="32.86"/>
    <x v="5"/>
    <n v="295.74"/>
  </r>
  <r>
    <x v="899"/>
    <x v="29"/>
    <x v="0"/>
    <x v="2"/>
    <x v="0"/>
    <x v="6"/>
    <x v="1"/>
    <n v="48.81"/>
    <x v="8"/>
    <n v="292.86"/>
  </r>
  <r>
    <x v="900"/>
    <x v="35"/>
    <x v="1"/>
    <x v="4"/>
    <x v="0"/>
    <x v="3"/>
    <x v="2"/>
    <n v="75.73"/>
    <x v="15"/>
    <n v="1135.95"/>
  </r>
  <r>
    <x v="901"/>
    <x v="62"/>
    <x v="4"/>
    <x v="4"/>
    <x v="5"/>
    <x v="6"/>
    <x v="0"/>
    <n v="35.840000000000003"/>
    <x v="18"/>
    <n v="645.12"/>
  </r>
  <r>
    <x v="902"/>
    <x v="101"/>
    <x v="3"/>
    <x v="5"/>
    <x v="1"/>
    <x v="2"/>
    <x v="1"/>
    <n v="69.92"/>
    <x v="13"/>
    <n v="1398.4"/>
  </r>
  <r>
    <x v="903"/>
    <x v="71"/>
    <x v="4"/>
    <x v="4"/>
    <x v="0"/>
    <x v="2"/>
    <x v="1"/>
    <n v="158.27000000000001"/>
    <x v="8"/>
    <n v="949.62"/>
  </r>
  <r>
    <x v="904"/>
    <x v="43"/>
    <x v="0"/>
    <x v="3"/>
    <x v="1"/>
    <x v="3"/>
    <x v="2"/>
    <n v="122.71"/>
    <x v="15"/>
    <n v="1840.65"/>
  </r>
  <r>
    <x v="905"/>
    <x v="199"/>
    <x v="3"/>
    <x v="0"/>
    <x v="0"/>
    <x v="6"/>
    <x v="1"/>
    <n v="226.39"/>
    <x v="14"/>
    <n v="1131.95"/>
  </r>
  <r>
    <x v="906"/>
    <x v="325"/>
    <x v="5"/>
    <x v="1"/>
    <x v="5"/>
    <x v="0"/>
    <x v="2"/>
    <n v="209.84"/>
    <x v="11"/>
    <n v="3986.96"/>
  </r>
  <r>
    <x v="907"/>
    <x v="65"/>
    <x v="4"/>
    <x v="0"/>
    <x v="0"/>
    <x v="2"/>
    <x v="2"/>
    <n v="105.2"/>
    <x v="16"/>
    <n v="1157.2"/>
  </r>
  <r>
    <x v="908"/>
    <x v="7"/>
    <x v="4"/>
    <x v="3"/>
    <x v="0"/>
    <x v="2"/>
    <x v="1"/>
    <n v="87.07"/>
    <x v="10"/>
    <n v="1131.9100000000001"/>
  </r>
  <r>
    <x v="909"/>
    <x v="282"/>
    <x v="5"/>
    <x v="2"/>
    <x v="2"/>
    <x v="4"/>
    <x v="0"/>
    <n v="113.53"/>
    <x v="15"/>
    <n v="1702.95"/>
  </r>
  <r>
    <x v="910"/>
    <x v="27"/>
    <x v="1"/>
    <x v="4"/>
    <x v="3"/>
    <x v="2"/>
    <x v="1"/>
    <n v="159.86000000000001"/>
    <x v="9"/>
    <n v="1278.8800000000001"/>
  </r>
  <r>
    <x v="911"/>
    <x v="26"/>
    <x v="3"/>
    <x v="3"/>
    <x v="5"/>
    <x v="1"/>
    <x v="0"/>
    <n v="88.97"/>
    <x v="6"/>
    <n v="622.79"/>
  </r>
  <r>
    <x v="912"/>
    <x v="78"/>
    <x v="0"/>
    <x v="1"/>
    <x v="4"/>
    <x v="5"/>
    <x v="0"/>
    <n v="167.31"/>
    <x v="18"/>
    <n v="3011.58"/>
  </r>
  <r>
    <x v="913"/>
    <x v="321"/>
    <x v="2"/>
    <x v="2"/>
    <x v="5"/>
    <x v="2"/>
    <x v="2"/>
    <n v="120.07"/>
    <x v="5"/>
    <n v="1080.6300000000001"/>
  </r>
  <r>
    <x v="914"/>
    <x v="73"/>
    <x v="3"/>
    <x v="0"/>
    <x v="0"/>
    <x v="6"/>
    <x v="1"/>
    <n v="151.44999999999999"/>
    <x v="9"/>
    <n v="1211.5999999999999"/>
  </r>
  <r>
    <x v="915"/>
    <x v="27"/>
    <x v="2"/>
    <x v="2"/>
    <x v="5"/>
    <x v="1"/>
    <x v="1"/>
    <n v="125.95"/>
    <x v="14"/>
    <n v="629.75"/>
  </r>
  <r>
    <x v="916"/>
    <x v="273"/>
    <x v="5"/>
    <x v="3"/>
    <x v="1"/>
    <x v="3"/>
    <x v="1"/>
    <n v="94.78"/>
    <x v="16"/>
    <n v="1042.58"/>
  </r>
  <r>
    <x v="917"/>
    <x v="181"/>
    <x v="1"/>
    <x v="5"/>
    <x v="2"/>
    <x v="5"/>
    <x v="1"/>
    <n v="238.66"/>
    <x v="14"/>
    <n v="1193.3"/>
  </r>
  <r>
    <x v="918"/>
    <x v="85"/>
    <x v="5"/>
    <x v="5"/>
    <x v="3"/>
    <x v="2"/>
    <x v="1"/>
    <n v="197.99"/>
    <x v="11"/>
    <n v="3761.81"/>
  </r>
  <r>
    <x v="919"/>
    <x v="73"/>
    <x v="5"/>
    <x v="5"/>
    <x v="2"/>
    <x v="4"/>
    <x v="0"/>
    <n v="60.82"/>
    <x v="7"/>
    <n v="729.84"/>
  </r>
  <r>
    <x v="920"/>
    <x v="58"/>
    <x v="4"/>
    <x v="3"/>
    <x v="0"/>
    <x v="0"/>
    <x v="2"/>
    <n v="221.06"/>
    <x v="19"/>
    <n v="2210.6"/>
  </r>
  <r>
    <x v="921"/>
    <x v="114"/>
    <x v="2"/>
    <x v="2"/>
    <x v="0"/>
    <x v="3"/>
    <x v="2"/>
    <n v="137.22999999999999"/>
    <x v="2"/>
    <n v="137.22999999999999"/>
  </r>
  <r>
    <x v="922"/>
    <x v="123"/>
    <x v="1"/>
    <x v="3"/>
    <x v="4"/>
    <x v="3"/>
    <x v="0"/>
    <n v="226.8"/>
    <x v="2"/>
    <n v="226.8"/>
  </r>
  <r>
    <x v="923"/>
    <x v="223"/>
    <x v="2"/>
    <x v="2"/>
    <x v="5"/>
    <x v="5"/>
    <x v="2"/>
    <n v="205.97"/>
    <x v="19"/>
    <n v="2059.6999999999998"/>
  </r>
  <r>
    <x v="924"/>
    <x v="311"/>
    <x v="2"/>
    <x v="3"/>
    <x v="4"/>
    <x v="0"/>
    <x v="0"/>
    <n v="123.55"/>
    <x v="3"/>
    <n v="1729.7"/>
  </r>
  <r>
    <x v="925"/>
    <x v="203"/>
    <x v="5"/>
    <x v="2"/>
    <x v="0"/>
    <x v="1"/>
    <x v="2"/>
    <n v="34.94"/>
    <x v="10"/>
    <n v="454.22"/>
  </r>
  <r>
    <x v="926"/>
    <x v="262"/>
    <x v="2"/>
    <x v="5"/>
    <x v="3"/>
    <x v="2"/>
    <x v="2"/>
    <n v="89.11"/>
    <x v="9"/>
    <n v="712.88"/>
  </r>
  <r>
    <x v="927"/>
    <x v="289"/>
    <x v="4"/>
    <x v="3"/>
    <x v="2"/>
    <x v="4"/>
    <x v="0"/>
    <n v="149.16"/>
    <x v="18"/>
    <n v="2684.88"/>
  </r>
  <r>
    <x v="928"/>
    <x v="38"/>
    <x v="4"/>
    <x v="1"/>
    <x v="3"/>
    <x v="6"/>
    <x v="1"/>
    <n v="169.37"/>
    <x v="14"/>
    <n v="846.85"/>
  </r>
  <r>
    <x v="929"/>
    <x v="337"/>
    <x v="1"/>
    <x v="5"/>
    <x v="4"/>
    <x v="0"/>
    <x v="2"/>
    <n v="86.74"/>
    <x v="5"/>
    <n v="780.66"/>
  </r>
  <r>
    <x v="930"/>
    <x v="193"/>
    <x v="0"/>
    <x v="5"/>
    <x v="5"/>
    <x v="0"/>
    <x v="0"/>
    <n v="60.66"/>
    <x v="14"/>
    <n v="303.3"/>
  </r>
  <r>
    <x v="931"/>
    <x v="338"/>
    <x v="3"/>
    <x v="0"/>
    <x v="4"/>
    <x v="2"/>
    <x v="0"/>
    <n v="213.68"/>
    <x v="5"/>
    <n v="1923.12"/>
  </r>
  <r>
    <x v="932"/>
    <x v="167"/>
    <x v="3"/>
    <x v="1"/>
    <x v="4"/>
    <x v="0"/>
    <x v="2"/>
    <n v="246.57"/>
    <x v="4"/>
    <n v="739.71"/>
  </r>
  <r>
    <x v="933"/>
    <x v="108"/>
    <x v="5"/>
    <x v="4"/>
    <x v="4"/>
    <x v="2"/>
    <x v="0"/>
    <n v="145.65"/>
    <x v="19"/>
    <n v="1456.5"/>
  </r>
  <r>
    <x v="934"/>
    <x v="92"/>
    <x v="3"/>
    <x v="1"/>
    <x v="0"/>
    <x v="4"/>
    <x v="2"/>
    <n v="67.77"/>
    <x v="4"/>
    <n v="203.31"/>
  </r>
  <r>
    <x v="935"/>
    <x v="287"/>
    <x v="5"/>
    <x v="2"/>
    <x v="2"/>
    <x v="4"/>
    <x v="2"/>
    <n v="89.91"/>
    <x v="18"/>
    <n v="1618.38"/>
  </r>
  <r>
    <x v="936"/>
    <x v="20"/>
    <x v="0"/>
    <x v="0"/>
    <x v="2"/>
    <x v="6"/>
    <x v="2"/>
    <n v="34.049999999999997"/>
    <x v="2"/>
    <n v="34.049999999999997"/>
  </r>
  <r>
    <x v="937"/>
    <x v="102"/>
    <x v="3"/>
    <x v="3"/>
    <x v="3"/>
    <x v="4"/>
    <x v="0"/>
    <n v="231.15"/>
    <x v="1"/>
    <n v="462.3"/>
  </r>
  <r>
    <x v="938"/>
    <x v="282"/>
    <x v="5"/>
    <x v="3"/>
    <x v="3"/>
    <x v="3"/>
    <x v="2"/>
    <n v="55.91"/>
    <x v="6"/>
    <n v="391.37"/>
  </r>
  <r>
    <x v="939"/>
    <x v="5"/>
    <x v="1"/>
    <x v="5"/>
    <x v="1"/>
    <x v="1"/>
    <x v="2"/>
    <n v="156.83000000000001"/>
    <x v="1"/>
    <n v="313.66000000000003"/>
  </r>
  <r>
    <x v="940"/>
    <x v="315"/>
    <x v="3"/>
    <x v="4"/>
    <x v="5"/>
    <x v="4"/>
    <x v="1"/>
    <n v="90.29"/>
    <x v="19"/>
    <n v="902.9"/>
  </r>
  <r>
    <x v="941"/>
    <x v="314"/>
    <x v="3"/>
    <x v="0"/>
    <x v="4"/>
    <x v="3"/>
    <x v="0"/>
    <n v="151.91999999999999"/>
    <x v="0"/>
    <n v="607.67999999999995"/>
  </r>
  <r>
    <x v="942"/>
    <x v="40"/>
    <x v="2"/>
    <x v="1"/>
    <x v="4"/>
    <x v="4"/>
    <x v="0"/>
    <n v="173.31"/>
    <x v="5"/>
    <n v="1559.79"/>
  </r>
  <r>
    <x v="943"/>
    <x v="323"/>
    <x v="2"/>
    <x v="0"/>
    <x v="4"/>
    <x v="2"/>
    <x v="1"/>
    <n v="212.54"/>
    <x v="1"/>
    <n v="425.08"/>
  </r>
  <r>
    <x v="944"/>
    <x v="334"/>
    <x v="0"/>
    <x v="2"/>
    <x v="2"/>
    <x v="6"/>
    <x v="0"/>
    <n v="75.41"/>
    <x v="7"/>
    <n v="904.92"/>
  </r>
  <r>
    <x v="945"/>
    <x v="185"/>
    <x v="4"/>
    <x v="0"/>
    <x v="5"/>
    <x v="1"/>
    <x v="2"/>
    <n v="32.42"/>
    <x v="13"/>
    <n v="648.4"/>
  </r>
  <r>
    <x v="946"/>
    <x v="203"/>
    <x v="1"/>
    <x v="5"/>
    <x v="5"/>
    <x v="0"/>
    <x v="2"/>
    <n v="60.11"/>
    <x v="14"/>
    <n v="300.55"/>
  </r>
  <r>
    <x v="947"/>
    <x v="167"/>
    <x v="2"/>
    <x v="0"/>
    <x v="0"/>
    <x v="4"/>
    <x v="2"/>
    <n v="228"/>
    <x v="16"/>
    <n v="2508"/>
  </r>
  <r>
    <x v="948"/>
    <x v="119"/>
    <x v="1"/>
    <x v="3"/>
    <x v="0"/>
    <x v="2"/>
    <x v="0"/>
    <n v="222.26"/>
    <x v="2"/>
    <n v="222.26"/>
  </r>
  <r>
    <x v="949"/>
    <x v="56"/>
    <x v="5"/>
    <x v="0"/>
    <x v="4"/>
    <x v="5"/>
    <x v="2"/>
    <n v="161.43"/>
    <x v="1"/>
    <n v="322.86"/>
  </r>
  <r>
    <x v="950"/>
    <x v="44"/>
    <x v="3"/>
    <x v="5"/>
    <x v="2"/>
    <x v="5"/>
    <x v="2"/>
    <n v="162.11000000000001"/>
    <x v="17"/>
    <n v="2593.7600000000002"/>
  </r>
  <r>
    <x v="951"/>
    <x v="198"/>
    <x v="4"/>
    <x v="5"/>
    <x v="1"/>
    <x v="0"/>
    <x v="0"/>
    <n v="176.31"/>
    <x v="15"/>
    <n v="2644.65"/>
  </r>
  <r>
    <x v="952"/>
    <x v="189"/>
    <x v="5"/>
    <x v="4"/>
    <x v="0"/>
    <x v="5"/>
    <x v="2"/>
    <n v="68.58"/>
    <x v="14"/>
    <n v="342.9"/>
  </r>
  <r>
    <x v="953"/>
    <x v="131"/>
    <x v="1"/>
    <x v="5"/>
    <x v="4"/>
    <x v="2"/>
    <x v="0"/>
    <n v="231.17"/>
    <x v="2"/>
    <n v="231.17"/>
  </r>
  <r>
    <x v="954"/>
    <x v="193"/>
    <x v="4"/>
    <x v="5"/>
    <x v="2"/>
    <x v="3"/>
    <x v="1"/>
    <n v="122.13"/>
    <x v="13"/>
    <n v="2442.6"/>
  </r>
  <r>
    <x v="955"/>
    <x v="31"/>
    <x v="5"/>
    <x v="2"/>
    <x v="1"/>
    <x v="2"/>
    <x v="2"/>
    <n v="114.29"/>
    <x v="18"/>
    <n v="2057.2199999999998"/>
  </r>
  <r>
    <x v="956"/>
    <x v="339"/>
    <x v="2"/>
    <x v="4"/>
    <x v="0"/>
    <x v="6"/>
    <x v="1"/>
    <n v="144.16"/>
    <x v="14"/>
    <n v="720.8"/>
  </r>
  <r>
    <x v="957"/>
    <x v="77"/>
    <x v="0"/>
    <x v="5"/>
    <x v="3"/>
    <x v="1"/>
    <x v="0"/>
    <n v="40.33"/>
    <x v="0"/>
    <n v="161.32"/>
  </r>
  <r>
    <x v="958"/>
    <x v="176"/>
    <x v="0"/>
    <x v="2"/>
    <x v="5"/>
    <x v="6"/>
    <x v="0"/>
    <n v="66.58"/>
    <x v="8"/>
    <n v="399.48"/>
  </r>
  <r>
    <x v="959"/>
    <x v="39"/>
    <x v="2"/>
    <x v="0"/>
    <x v="4"/>
    <x v="2"/>
    <x v="2"/>
    <n v="192.37"/>
    <x v="1"/>
    <n v="384.74"/>
  </r>
  <r>
    <x v="960"/>
    <x v="255"/>
    <x v="1"/>
    <x v="5"/>
    <x v="0"/>
    <x v="1"/>
    <x v="2"/>
    <n v="48.22"/>
    <x v="13"/>
    <n v="964.4"/>
  </r>
  <r>
    <x v="961"/>
    <x v="168"/>
    <x v="1"/>
    <x v="1"/>
    <x v="5"/>
    <x v="0"/>
    <x v="1"/>
    <n v="162.69"/>
    <x v="13"/>
    <n v="3253.8"/>
  </r>
  <r>
    <x v="962"/>
    <x v="116"/>
    <x v="5"/>
    <x v="0"/>
    <x v="5"/>
    <x v="3"/>
    <x v="1"/>
    <n v="83.98"/>
    <x v="4"/>
    <n v="251.94"/>
  </r>
  <r>
    <x v="963"/>
    <x v="172"/>
    <x v="1"/>
    <x v="1"/>
    <x v="1"/>
    <x v="3"/>
    <x v="1"/>
    <n v="115.65"/>
    <x v="7"/>
    <n v="1387.8"/>
  </r>
  <r>
    <x v="964"/>
    <x v="300"/>
    <x v="4"/>
    <x v="1"/>
    <x v="2"/>
    <x v="5"/>
    <x v="0"/>
    <n v="93.51"/>
    <x v="4"/>
    <n v="280.52999999999997"/>
  </r>
  <r>
    <x v="965"/>
    <x v="210"/>
    <x v="2"/>
    <x v="3"/>
    <x v="2"/>
    <x v="0"/>
    <x v="1"/>
    <n v="108.25"/>
    <x v="9"/>
    <n v="866"/>
  </r>
  <r>
    <x v="966"/>
    <x v="139"/>
    <x v="2"/>
    <x v="0"/>
    <x v="2"/>
    <x v="5"/>
    <x v="1"/>
    <n v="188.19"/>
    <x v="9"/>
    <n v="1505.52"/>
  </r>
  <r>
    <x v="967"/>
    <x v="14"/>
    <x v="1"/>
    <x v="1"/>
    <x v="3"/>
    <x v="5"/>
    <x v="2"/>
    <n v="95.37"/>
    <x v="3"/>
    <n v="1335.18"/>
  </r>
  <r>
    <x v="968"/>
    <x v="151"/>
    <x v="1"/>
    <x v="0"/>
    <x v="4"/>
    <x v="1"/>
    <x v="0"/>
    <n v="154.61000000000001"/>
    <x v="15"/>
    <n v="2319.15"/>
  </r>
  <r>
    <x v="969"/>
    <x v="212"/>
    <x v="5"/>
    <x v="5"/>
    <x v="0"/>
    <x v="2"/>
    <x v="0"/>
    <n v="134.72999999999999"/>
    <x v="18"/>
    <n v="2425.14"/>
  </r>
  <r>
    <x v="970"/>
    <x v="123"/>
    <x v="5"/>
    <x v="4"/>
    <x v="0"/>
    <x v="5"/>
    <x v="2"/>
    <n v="176.01"/>
    <x v="13"/>
    <n v="3520.2"/>
  </r>
  <r>
    <x v="971"/>
    <x v="295"/>
    <x v="1"/>
    <x v="3"/>
    <x v="3"/>
    <x v="3"/>
    <x v="1"/>
    <n v="236.1"/>
    <x v="3"/>
    <n v="3305.4"/>
  </r>
  <r>
    <x v="972"/>
    <x v="155"/>
    <x v="2"/>
    <x v="2"/>
    <x v="4"/>
    <x v="4"/>
    <x v="1"/>
    <n v="191.17"/>
    <x v="11"/>
    <n v="3632.23"/>
  </r>
  <r>
    <x v="973"/>
    <x v="156"/>
    <x v="5"/>
    <x v="3"/>
    <x v="4"/>
    <x v="1"/>
    <x v="1"/>
    <n v="77.290000000000006"/>
    <x v="7"/>
    <n v="927.48"/>
  </r>
  <r>
    <x v="974"/>
    <x v="308"/>
    <x v="2"/>
    <x v="1"/>
    <x v="1"/>
    <x v="0"/>
    <x v="2"/>
    <n v="36.86"/>
    <x v="19"/>
    <n v="368.6"/>
  </r>
  <r>
    <x v="975"/>
    <x v="94"/>
    <x v="3"/>
    <x v="2"/>
    <x v="0"/>
    <x v="1"/>
    <x v="1"/>
    <n v="87.7"/>
    <x v="19"/>
    <n v="877"/>
  </r>
  <r>
    <x v="976"/>
    <x v="173"/>
    <x v="2"/>
    <x v="5"/>
    <x v="1"/>
    <x v="5"/>
    <x v="0"/>
    <n v="160.91999999999999"/>
    <x v="18"/>
    <n v="2896.56"/>
  </r>
  <r>
    <x v="977"/>
    <x v="340"/>
    <x v="5"/>
    <x v="4"/>
    <x v="2"/>
    <x v="0"/>
    <x v="2"/>
    <n v="41.31"/>
    <x v="1"/>
    <n v="82.62"/>
  </r>
  <r>
    <x v="978"/>
    <x v="237"/>
    <x v="3"/>
    <x v="2"/>
    <x v="0"/>
    <x v="4"/>
    <x v="2"/>
    <n v="139.19999999999999"/>
    <x v="11"/>
    <n v="2644.8"/>
  </r>
  <r>
    <x v="979"/>
    <x v="143"/>
    <x v="5"/>
    <x v="5"/>
    <x v="2"/>
    <x v="2"/>
    <x v="0"/>
    <n v="161.31"/>
    <x v="11"/>
    <n v="3064.89"/>
  </r>
  <r>
    <x v="980"/>
    <x v="182"/>
    <x v="3"/>
    <x v="3"/>
    <x v="3"/>
    <x v="2"/>
    <x v="1"/>
    <n v="103.53"/>
    <x v="17"/>
    <n v="1656.48"/>
  </r>
  <r>
    <x v="981"/>
    <x v="340"/>
    <x v="1"/>
    <x v="4"/>
    <x v="5"/>
    <x v="2"/>
    <x v="1"/>
    <n v="199.6"/>
    <x v="13"/>
    <n v="3992"/>
  </r>
  <r>
    <x v="982"/>
    <x v="20"/>
    <x v="0"/>
    <x v="4"/>
    <x v="0"/>
    <x v="4"/>
    <x v="2"/>
    <n v="53.45"/>
    <x v="4"/>
    <n v="160.35"/>
  </r>
  <r>
    <x v="983"/>
    <x v="232"/>
    <x v="3"/>
    <x v="0"/>
    <x v="3"/>
    <x v="4"/>
    <x v="1"/>
    <n v="46.53"/>
    <x v="0"/>
    <n v="186.12"/>
  </r>
  <r>
    <x v="984"/>
    <x v="114"/>
    <x v="0"/>
    <x v="4"/>
    <x v="1"/>
    <x v="1"/>
    <x v="2"/>
    <n v="190.2"/>
    <x v="10"/>
    <n v="2472.6"/>
  </r>
  <r>
    <x v="985"/>
    <x v="24"/>
    <x v="3"/>
    <x v="4"/>
    <x v="1"/>
    <x v="2"/>
    <x v="0"/>
    <n v="139.01"/>
    <x v="11"/>
    <n v="2641.19"/>
  </r>
  <r>
    <x v="986"/>
    <x v="19"/>
    <x v="1"/>
    <x v="0"/>
    <x v="4"/>
    <x v="6"/>
    <x v="1"/>
    <n v="181.45"/>
    <x v="1"/>
    <n v="362.9"/>
  </r>
  <r>
    <x v="987"/>
    <x v="260"/>
    <x v="0"/>
    <x v="2"/>
    <x v="4"/>
    <x v="3"/>
    <x v="2"/>
    <n v="125.66"/>
    <x v="12"/>
    <n v="2136.2199999999998"/>
  </r>
  <r>
    <x v="988"/>
    <x v="60"/>
    <x v="4"/>
    <x v="1"/>
    <x v="4"/>
    <x v="5"/>
    <x v="1"/>
    <n v="84.21"/>
    <x v="14"/>
    <n v="421.05"/>
  </r>
  <r>
    <x v="989"/>
    <x v="160"/>
    <x v="5"/>
    <x v="4"/>
    <x v="5"/>
    <x v="6"/>
    <x v="1"/>
    <n v="210.2"/>
    <x v="18"/>
    <n v="3783.6"/>
  </r>
  <r>
    <x v="990"/>
    <x v="292"/>
    <x v="3"/>
    <x v="3"/>
    <x v="1"/>
    <x v="0"/>
    <x v="2"/>
    <n v="205.87"/>
    <x v="14"/>
    <n v="1029.3499999999999"/>
  </r>
  <r>
    <x v="991"/>
    <x v="159"/>
    <x v="3"/>
    <x v="5"/>
    <x v="1"/>
    <x v="2"/>
    <x v="1"/>
    <n v="182.83"/>
    <x v="11"/>
    <n v="3473.77"/>
  </r>
  <r>
    <x v="992"/>
    <x v="102"/>
    <x v="0"/>
    <x v="4"/>
    <x v="4"/>
    <x v="3"/>
    <x v="1"/>
    <n v="89.87"/>
    <x v="9"/>
    <n v="718.96"/>
  </r>
  <r>
    <x v="993"/>
    <x v="260"/>
    <x v="0"/>
    <x v="0"/>
    <x v="4"/>
    <x v="6"/>
    <x v="2"/>
    <n v="159.85"/>
    <x v="4"/>
    <n v="479.55"/>
  </r>
  <r>
    <x v="994"/>
    <x v="196"/>
    <x v="4"/>
    <x v="4"/>
    <x v="1"/>
    <x v="2"/>
    <x v="0"/>
    <n v="109.41"/>
    <x v="6"/>
    <n v="765.87"/>
  </r>
  <r>
    <x v="995"/>
    <x v="341"/>
    <x v="4"/>
    <x v="5"/>
    <x v="4"/>
    <x v="5"/>
    <x v="0"/>
    <n v="50.15"/>
    <x v="8"/>
    <n v="300.89999999999998"/>
  </r>
  <r>
    <x v="996"/>
    <x v="89"/>
    <x v="3"/>
    <x v="2"/>
    <x v="3"/>
    <x v="3"/>
    <x v="0"/>
    <n v="231.81"/>
    <x v="1"/>
    <n v="463.62"/>
  </r>
  <r>
    <x v="997"/>
    <x v="275"/>
    <x v="1"/>
    <x v="1"/>
    <x v="2"/>
    <x v="5"/>
    <x v="0"/>
    <n v="60.1"/>
    <x v="0"/>
    <n v="240.4"/>
  </r>
  <r>
    <x v="998"/>
    <x v="138"/>
    <x v="4"/>
    <x v="0"/>
    <x v="5"/>
    <x v="3"/>
    <x v="2"/>
    <n v="239.05"/>
    <x v="2"/>
    <n v="239.05"/>
  </r>
  <r>
    <x v="999"/>
    <x v="145"/>
    <x v="4"/>
    <x v="2"/>
    <x v="3"/>
    <x v="5"/>
    <x v="0"/>
    <n v="128.12"/>
    <x v="2"/>
    <n v="128.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KPI_Total Sold"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D6:D7" firstHeaderRow="1" firstDataRow="1" firstDataCol="0"/>
  <pivotFields count="13">
    <pivotField showAll="0"/>
    <pivotField numFmtId="166" showAll="0">
      <items count="15">
        <item x="0"/>
        <item x="1"/>
        <item x="2"/>
        <item x="3"/>
        <item x="4"/>
        <item x="5"/>
        <item x="6"/>
        <item x="7"/>
        <item x="8"/>
        <item x="9"/>
        <item x="10"/>
        <item x="11"/>
        <item x="12"/>
        <item x="13"/>
        <item t="default"/>
      </items>
    </pivotField>
    <pivotField showAll="0">
      <items count="7">
        <item x="3"/>
        <item x="2"/>
        <item x="0"/>
        <item x="4"/>
        <item x="5"/>
        <item x="1"/>
        <item t="default"/>
      </items>
    </pivotField>
    <pivotField showAll="0"/>
    <pivotField showAll="0"/>
    <pivotField showAll="0">
      <items count="8">
        <item x="3"/>
        <item x="6"/>
        <item x="5"/>
        <item x="4"/>
        <item x="2"/>
        <item x="0"/>
        <item x="1"/>
        <item t="default"/>
      </items>
    </pivotField>
    <pivotField showAll="0">
      <items count="4">
        <item x="1"/>
        <item x="0"/>
        <item x="2"/>
        <item t="default"/>
      </items>
    </pivotField>
    <pivotField numFmtId="2" showAll="0"/>
    <pivotField dataField="1" showAll="0"/>
    <pivotField numFmtId="2" showAl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Total Sold" fld="8" baseField="0" baseItem="0"/>
  </dataFields>
  <formats count="7">
    <format dxfId="77">
      <pivotArea dataOnly="0" labelOnly="1" outline="0" axis="axisValues" fieldPosition="0"/>
    </format>
    <format dxfId="76">
      <pivotArea outline="0" collapsedLevelsAreSubtotals="1" fieldPosition="0"/>
    </format>
    <format dxfId="75">
      <pivotArea dataOnly="0" labelOnly="1" outline="0" axis="axisValues" fieldPosition="0"/>
    </format>
    <format dxfId="74">
      <pivotArea dataOnly="0" labelOnly="1" outline="0" axis="axisValues" fieldPosition="0"/>
    </format>
    <format dxfId="73">
      <pivotArea outline="0" collapsedLevelsAreSubtotals="1" fieldPosition="0"/>
    </format>
    <format dxfId="72">
      <pivotArea type="all" dataOnly="0" outline="0" fieldPosition="0"/>
    </format>
    <format dxfId="71">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NoConnect_RevGrowth"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8">
  <location ref="F3:G15" firstHeaderRow="1" firstDataRow="1" firstDataCol="1"/>
  <pivotFields count="13">
    <pivotField showAll="0"/>
    <pivotField axis="axisRow"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numFmtId="2" showAll="0"/>
    <pivotField showAll="0"/>
    <pivotField dataField="1" numFmtId="2" showAll="0"/>
    <pivotField dragToRow="0" dragToCol="0" dragToPage="0" showAll="0" defaultSubtotal="0"/>
    <pivotField dragToRow="0" dragToCol="0" dragToPage="0" showAll="0" defaultSubtotal="0"/>
    <pivotField dragToRow="0" dragToCol="0" dragToPage="0" showAll="0" defaultSubtotal="0"/>
  </pivotFields>
  <rowFields count="1">
    <field x="1"/>
  </rowFields>
  <rowItems count="12">
    <i>
      <x v="1"/>
    </i>
    <i>
      <x v="2"/>
    </i>
    <i>
      <x v="3"/>
    </i>
    <i>
      <x v="4"/>
    </i>
    <i>
      <x v="5"/>
    </i>
    <i>
      <x v="6"/>
    </i>
    <i>
      <x v="7"/>
    </i>
    <i>
      <x v="8"/>
    </i>
    <i>
      <x v="9"/>
    </i>
    <i>
      <x v="10"/>
    </i>
    <i>
      <x v="11"/>
    </i>
    <i>
      <x v="12"/>
    </i>
  </rowItems>
  <colItems count="1">
    <i/>
  </colItems>
  <dataFields count="1">
    <dataField name="Sum of Revenue_USD" fld="9" baseField="0" baseItem="0" numFmtId="167"/>
  </dataFields>
  <formats count="2">
    <format dxfId="79">
      <pivotArea outline="0" collapsedLevelsAreSubtotals="1" fieldPosition="0"/>
    </format>
    <format dxfId="78">
      <pivotArea dataOnly="0" labelOnly="1" fieldPosition="0">
        <references count="1">
          <reference field="1" count="12">
            <x v="1"/>
            <x v="2"/>
            <x v="3"/>
            <x v="4"/>
            <x v="5"/>
            <x v="6"/>
            <x v="7"/>
            <x v="8"/>
            <x v="9"/>
            <x v="10"/>
            <x v="11"/>
            <x v="12"/>
          </reference>
        </references>
      </pivotArea>
    </format>
  </formats>
  <chartFormats count="1">
    <chartFormat chart="7"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KPI_Total Revenue"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B2:B3" firstHeaderRow="1" firstDataRow="1" firstDataCol="0"/>
  <pivotFields count="13">
    <pivotField showAll="0"/>
    <pivotField numFmtId="166" showAll="0">
      <items count="15">
        <item x="0"/>
        <item x="1"/>
        <item x="2"/>
        <item x="3"/>
        <item x="4"/>
        <item x="5"/>
        <item x="6"/>
        <item x="7"/>
        <item x="8"/>
        <item x="9"/>
        <item x="10"/>
        <item x="11"/>
        <item x="12"/>
        <item x="13"/>
        <item t="default"/>
      </items>
    </pivotField>
    <pivotField showAll="0">
      <items count="7">
        <item x="3"/>
        <item x="2"/>
        <item x="0"/>
        <item x="4"/>
        <item x="5"/>
        <item x="1"/>
        <item t="default"/>
      </items>
    </pivotField>
    <pivotField showAll="0"/>
    <pivotField showAll="0"/>
    <pivotField showAll="0">
      <items count="8">
        <item x="3"/>
        <item x="6"/>
        <item x="5"/>
        <item x="4"/>
        <item x="2"/>
        <item x="0"/>
        <item x="1"/>
        <item t="default"/>
      </items>
    </pivotField>
    <pivotField showAll="0">
      <items count="4">
        <item x="1"/>
        <item x="0"/>
        <item x="2"/>
        <item t="default"/>
      </items>
    </pivotField>
    <pivotField numFmtId="2" showAll="0"/>
    <pivotField showAll="0"/>
    <pivotField dataField="1" numFmtId="2" showAl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Total Revenue" fld="9" baseField="0" baseItem="0" numFmtId="173"/>
  </dataFields>
  <formats count="12">
    <format dxfId="91">
      <pivotArea outline="0" collapsedLevelsAreSubtotals="1" fieldPosition="0"/>
    </format>
    <format dxfId="90">
      <pivotArea outline="0" collapsedLevelsAreSubtotals="1" fieldPosition="0"/>
    </format>
    <format dxfId="89">
      <pivotArea outline="0" collapsedLevelsAreSubtotals="1" fieldPosition="0"/>
    </format>
    <format dxfId="88">
      <pivotArea dataOnly="0" labelOnly="1" outline="0" axis="axisValues" fieldPosition="0"/>
    </format>
    <format dxfId="87">
      <pivotArea dataOnly="0" labelOnly="1" outline="0" axis="axisValues" fieldPosition="0"/>
    </format>
    <format dxfId="86">
      <pivotArea dataOnly="0" labelOnly="1" outline="0" axis="axisValues" fieldPosition="0"/>
    </format>
    <format dxfId="85">
      <pivotArea dataOnly="0" labelOnly="1" outline="0" axis="axisValues" fieldPosition="0"/>
    </format>
    <format dxfId="84">
      <pivotArea outline="0" collapsedLevelsAreSubtotals="1" fieldPosition="0"/>
    </format>
    <format dxfId="83">
      <pivotArea type="all" dataOnly="0" outline="0" fieldPosition="0"/>
    </format>
    <format dxfId="82">
      <pivotArea type="all" dataOnly="0" outline="0" fieldPosition="0"/>
    </format>
    <format dxfId="81">
      <pivotArea type="all" dataOnly="0" outline="0" fieldPosition="0"/>
    </format>
    <format dxfId="80">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KPI_Best Month"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8">
  <location ref="N3:O15" firstHeaderRow="1" firstDataRow="1" firstDataCol="1"/>
  <pivotFields count="13">
    <pivotField showAll="0"/>
    <pivotField axis="axisRow" numFmtId="14" showAll="0" sortType="descending">
      <items count="15">
        <item x="1"/>
        <item x="2"/>
        <item x="3"/>
        <item x="4"/>
        <item x="5"/>
        <item x="6"/>
        <item x="7"/>
        <item x="8"/>
        <item x="9"/>
        <item x="10"/>
        <item x="11"/>
        <item x="12"/>
        <item x="0"/>
        <item x="13"/>
        <item t="default"/>
      </items>
      <autoSortScope>
        <pivotArea dataOnly="0" outline="0" fieldPosition="0">
          <references count="1">
            <reference field="4294967294" count="1" selected="0">
              <x v="0"/>
            </reference>
          </references>
        </pivotArea>
      </autoSortScope>
    </pivotField>
    <pivotField showAll="0">
      <items count="7">
        <item x="3"/>
        <item x="2"/>
        <item x="0"/>
        <item x="4"/>
        <item x="5"/>
        <item x="1"/>
        <item t="default"/>
      </items>
    </pivotField>
    <pivotField showAll="0"/>
    <pivotField showAll="0"/>
    <pivotField showAll="0">
      <items count="8">
        <item x="3"/>
        <item x="6"/>
        <item x="5"/>
        <item x="4"/>
        <item x="2"/>
        <item x="0"/>
        <item x="1"/>
        <item t="default"/>
      </items>
    </pivotField>
    <pivotField showAll="0">
      <items count="4">
        <item x="1"/>
        <item x="0"/>
        <item x="2"/>
        <item t="default"/>
      </items>
    </pivotField>
    <pivotField numFmtId="2" showAll="0"/>
    <pivotField showAll="0"/>
    <pivotField dataField="1" numFmtId="2" showAll="0"/>
    <pivotField dragToRow="0" dragToCol="0" dragToPage="0" showAll="0" defaultSubtotal="0"/>
    <pivotField dragToRow="0" dragToCol="0" dragToPage="0" showAll="0" defaultSubtotal="0"/>
    <pivotField dragToRow="0" dragToCol="0" dragToPage="0" showAll="0" defaultSubtotal="0"/>
  </pivotFields>
  <rowFields count="1">
    <field x="1"/>
  </rowFields>
  <rowItems count="12">
    <i>
      <x v="9"/>
    </i>
    <i>
      <x v="6"/>
    </i>
    <i>
      <x v="10"/>
    </i>
    <i>
      <x v="1"/>
    </i>
    <i>
      <x v="11"/>
    </i>
    <i>
      <x v="5"/>
    </i>
    <i>
      <x v="4"/>
    </i>
    <i>
      <x v="2"/>
    </i>
    <i>
      <x v="3"/>
    </i>
    <i>
      <x/>
    </i>
    <i>
      <x v="8"/>
    </i>
    <i>
      <x v="7"/>
    </i>
  </rowItems>
  <colItems count="1">
    <i/>
  </colItems>
  <dataFields count="1">
    <dataField name="Sum of Revenue_USD" fld="9" baseField="0" baseItem="0" numFmtId="167"/>
  </dataFields>
  <formats count="1">
    <format dxfId="92">
      <pivotArea outline="0" collapsedLevelsAreSubtotals="1" fieldPosition="0"/>
    </format>
  </formats>
  <chartFormats count="1">
    <chartFormat chart="7"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B9:B10" firstHeaderRow="1" firstDataRow="1" firstDataCol="0"/>
  <pivotFields count="13">
    <pivotField showAll="0"/>
    <pivotField numFmtId="166" showAll="0">
      <items count="15">
        <item x="0"/>
        <item x="1"/>
        <item x="2"/>
        <item x="3"/>
        <item x="4"/>
        <item x="5"/>
        <item x="6"/>
        <item x="7"/>
        <item x="8"/>
        <item x="9"/>
        <item x="10"/>
        <item x="11"/>
        <item x="12"/>
        <item x="13"/>
        <item t="default"/>
      </items>
    </pivotField>
    <pivotField showAll="0">
      <items count="7">
        <item x="3"/>
        <item x="2"/>
        <item x="0"/>
        <item x="4"/>
        <item x="5"/>
        <item x="1"/>
        <item t="default"/>
      </items>
    </pivotField>
    <pivotField showAll="0"/>
    <pivotField showAll="0"/>
    <pivotField showAll="0">
      <items count="8">
        <item x="3"/>
        <item x="6"/>
        <item x="5"/>
        <item x="4"/>
        <item x="2"/>
        <item x="0"/>
        <item x="1"/>
        <item t="default"/>
      </items>
    </pivotField>
    <pivotField showAll="0">
      <items count="4">
        <item x="1"/>
        <item x="0"/>
        <item x="2"/>
        <item t="default"/>
      </items>
    </pivotField>
    <pivotField numFmtId="2" showAll="0"/>
    <pivotField showAll="0"/>
    <pivotField numFmtId="2" showAll="0"/>
    <pivotField dragToRow="0" dragToCol="0" dragToPage="0" showAll="0" defaultSubtotal="0"/>
    <pivotField dataField="1" dragToRow="0" dragToCol="0" dragToPage="0" showAll="0" defaultSubtotal="0"/>
    <pivotField dragToRow="0" dragToCol="0" dragToPage="0" showAll="0" defaultSubtotal="0"/>
  </pivotFields>
  <rowItems count="1">
    <i/>
  </rowItems>
  <colItems count="1">
    <i/>
  </colItems>
  <dataFields count="1">
    <dataField name="AVG Revenue Per Product" fld="11" baseField="0" baseItem="0" numFmtId="173"/>
  </dataFields>
  <formats count="11">
    <format dxfId="103">
      <pivotArea dataOnly="0" labelOnly="1" outline="0" axis="axisValues" fieldPosition="0"/>
    </format>
    <format dxfId="102">
      <pivotArea dataOnly="0" labelOnly="1" outline="0" axis="axisValues" fieldPosition="0"/>
    </format>
    <format dxfId="101">
      <pivotArea dataOnly="0" labelOnly="1" outline="0" axis="axisValues" fieldPosition="0"/>
    </format>
    <format dxfId="100">
      <pivotArea dataOnly="0" labelOnly="1" outline="0" axis="axisValues" fieldPosition="0"/>
    </format>
    <format dxfId="99">
      <pivotArea dataOnly="0" labelOnly="1" outline="0" axis="axisValues" fieldPosition="0"/>
    </format>
    <format dxfId="98">
      <pivotArea outline="0" collapsedLevelsAreSubtotals="1" fieldPosition="0"/>
    </format>
    <format dxfId="97">
      <pivotArea outline="0" collapsedLevelsAreSubtotals="1" fieldPosition="0"/>
    </format>
    <format dxfId="96">
      <pivotArea outline="0" collapsedLevelsAreSubtotals="1" fieldPosition="0"/>
    </format>
    <format dxfId="95">
      <pivotArea dataOnly="0" labelOnly="1" outline="0" axis="axisValues" fieldPosition="0"/>
    </format>
    <format dxfId="94">
      <pivotArea type="all" dataOnly="0" outline="0" fieldPosition="0"/>
    </format>
    <format dxfId="9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KPI1_Monthly Growth"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8">
  <location ref="R2:S14" firstHeaderRow="1" firstDataRow="1" firstDataCol="1"/>
  <pivotFields count="13">
    <pivotField showAll="0"/>
    <pivotField axis="axisRow" numFmtId="14" showAll="0" sortType="ascending">
      <items count="15">
        <item x="1"/>
        <item x="2"/>
        <item x="3"/>
        <item x="4"/>
        <item x="5"/>
        <item x="6"/>
        <item x="7"/>
        <item x="8"/>
        <item x="9"/>
        <item x="10"/>
        <item x="11"/>
        <item x="12"/>
        <item x="0"/>
        <item x="13"/>
        <item t="default"/>
      </items>
    </pivotField>
    <pivotField showAll="0">
      <items count="7">
        <item x="3"/>
        <item x="2"/>
        <item x="0"/>
        <item x="4"/>
        <item x="5"/>
        <item x="1"/>
        <item t="default"/>
      </items>
    </pivotField>
    <pivotField showAll="0"/>
    <pivotField showAll="0"/>
    <pivotField showAll="0">
      <items count="8">
        <item x="3"/>
        <item x="6"/>
        <item x="5"/>
        <item x="4"/>
        <item x="2"/>
        <item x="0"/>
        <item x="1"/>
        <item t="default"/>
      </items>
    </pivotField>
    <pivotField showAll="0">
      <items count="4">
        <item x="1"/>
        <item x="0"/>
        <item x="2"/>
        <item t="default"/>
      </items>
    </pivotField>
    <pivotField numFmtId="2" showAll="0"/>
    <pivotField showAll="0"/>
    <pivotField dataField="1" numFmtId="2" showAll="0"/>
    <pivotField dragToRow="0" dragToCol="0" dragToPage="0" showAll="0" defaultSubtotal="0"/>
    <pivotField dragToRow="0" dragToCol="0" dragToPage="0" showAll="0" defaultSubtotal="0"/>
    <pivotField dragToRow="0" dragToCol="0" dragToPage="0" showAll="0" defaultSubtotal="0"/>
  </pivotFields>
  <rowFields count="1">
    <field x="1"/>
  </rowFields>
  <rowItems count="12">
    <i>
      <x/>
    </i>
    <i>
      <x v="1"/>
    </i>
    <i>
      <x v="2"/>
    </i>
    <i>
      <x v="3"/>
    </i>
    <i>
      <x v="4"/>
    </i>
    <i>
      <x v="5"/>
    </i>
    <i>
      <x v="6"/>
    </i>
    <i>
      <x v="7"/>
    </i>
    <i>
      <x v="8"/>
    </i>
    <i>
      <x v="9"/>
    </i>
    <i>
      <x v="10"/>
    </i>
    <i>
      <x v="11"/>
    </i>
  </rowItems>
  <colItems count="1">
    <i/>
  </colItems>
  <dataFields count="1">
    <dataField name="Sum of Revenue_USD" fld="9" baseField="0" baseItem="0" numFmtId="167"/>
  </dataFields>
  <formats count="1">
    <format dxfId="104">
      <pivotArea outline="0" collapsedLevelsAreSubtotals="1" fieldPosition="0"/>
    </format>
  </formats>
  <chartFormats count="1">
    <chartFormat chart="7"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location ref="D2:D3" firstHeaderRow="1" firstDataRow="1" firstDataCol="0"/>
  <pivotFields count="13">
    <pivotField showAll="0">
      <items count="1001">
        <item x="0"/>
        <item x="9"/>
        <item x="99"/>
        <item x="9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0"/>
        <item x="201"/>
        <item x="202"/>
        <item x="203"/>
        <item x="204"/>
        <item x="205"/>
        <item x="206"/>
        <item x="207"/>
        <item x="208"/>
        <item x="20"/>
        <item x="209"/>
        <item x="210"/>
        <item x="211"/>
        <item x="212"/>
        <item x="213"/>
        <item x="214"/>
        <item x="215"/>
        <item x="216"/>
        <item x="217"/>
        <item x="218"/>
        <item x="21"/>
        <item x="219"/>
        <item x="220"/>
        <item x="221"/>
        <item x="222"/>
        <item x="223"/>
        <item x="224"/>
        <item x="225"/>
        <item x="226"/>
        <item x="227"/>
        <item x="228"/>
        <item x="22"/>
        <item x="229"/>
        <item x="230"/>
        <item x="231"/>
        <item x="232"/>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numFmtId="166" showAll="0">
      <items count="15">
        <item x="0"/>
        <item x="1"/>
        <item x="2"/>
        <item x="3"/>
        <item x="4"/>
        <item x="5"/>
        <item x="6"/>
        <item x="7"/>
        <item x="8"/>
        <item x="9"/>
        <item x="10"/>
        <item x="11"/>
        <item x="12"/>
        <item x="13"/>
        <item t="default"/>
      </items>
    </pivotField>
    <pivotField showAll="0">
      <items count="7">
        <item x="3"/>
        <item x="2"/>
        <item x="0"/>
        <item x="4"/>
        <item x="5"/>
        <item x="1"/>
        <item t="default"/>
      </items>
    </pivotField>
    <pivotField showAll="0"/>
    <pivotField showAll="0"/>
    <pivotField showAll="0">
      <items count="8">
        <item x="3"/>
        <item x="6"/>
        <item x="5"/>
        <item x="4"/>
        <item x="2"/>
        <item x="0"/>
        <item x="1"/>
        <item t="default"/>
      </items>
    </pivotField>
    <pivotField showAll="0">
      <items count="4">
        <item x="1"/>
        <item x="0"/>
        <item x="2"/>
        <item t="default"/>
      </items>
    </pivotField>
    <pivotField numFmtId="2" showAll="0"/>
    <pivotField showAll="0">
      <items count="21">
        <item x="2"/>
        <item x="1"/>
        <item x="4"/>
        <item x="0"/>
        <item x="14"/>
        <item x="8"/>
        <item x="6"/>
        <item x="9"/>
        <item x="5"/>
        <item x="19"/>
        <item x="16"/>
        <item x="7"/>
        <item x="10"/>
        <item x="3"/>
        <item x="15"/>
        <item x="17"/>
        <item x="12"/>
        <item x="18"/>
        <item x="11"/>
        <item x="13"/>
        <item t="default"/>
      </items>
    </pivotField>
    <pivotField dataField="1" numFmtId="2" showAl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AVG Revenue " fld="9" subtotal="average" baseField="0" baseItem="0" numFmtId="173"/>
  </dataFields>
  <formats count="11">
    <format dxfId="115">
      <pivotArea dataOnly="0" labelOnly="1" outline="0" axis="axisValues" fieldPosition="0"/>
    </format>
    <format dxfId="114">
      <pivotArea dataOnly="0" labelOnly="1" outline="0" axis="axisValues" fieldPosition="0"/>
    </format>
    <format dxfId="113">
      <pivotArea dataOnly="0" labelOnly="1" outline="0" axis="axisValues" fieldPosition="0"/>
    </format>
    <format dxfId="112">
      <pivotArea dataOnly="0" labelOnly="1" outline="0" axis="axisValues" fieldPosition="0"/>
    </format>
    <format dxfId="111">
      <pivotArea outline="0" collapsedLevelsAreSubtotals="1" fieldPosition="0"/>
    </format>
    <format dxfId="110">
      <pivotArea outline="0" collapsedLevelsAreSubtotals="1" fieldPosition="0"/>
    </format>
    <format dxfId="109">
      <pivotArea outline="0" collapsedLevelsAreSubtotals="1" fieldPosition="0"/>
    </format>
    <format dxfId="108">
      <pivotArea type="all" dataOnly="0" outline="0" fieldPosition="0"/>
    </format>
    <format dxfId="107">
      <pivotArea type="all" dataOnly="0" outline="0" fieldPosition="0"/>
    </format>
    <format dxfId="106">
      <pivotArea type="all" dataOnly="0" outline="0" fieldPosition="0"/>
    </format>
    <format dxfId="105">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KPI_Monthly Growth"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8">
  <location ref="F19:G31" firstHeaderRow="1" firstDataRow="1" firstDataCol="1"/>
  <pivotFields count="13">
    <pivotField showAll="0"/>
    <pivotField axis="axisRow" numFmtId="14" showAll="0">
      <items count="15">
        <item x="0"/>
        <item x="1"/>
        <item x="2"/>
        <item x="3"/>
        <item x="4"/>
        <item x="5"/>
        <item x="6"/>
        <item x="7"/>
        <item x="8"/>
        <item x="9"/>
        <item x="10"/>
        <item x="11"/>
        <item x="12"/>
        <item x="13"/>
        <item t="default"/>
      </items>
    </pivotField>
    <pivotField showAll="0">
      <items count="7">
        <item x="3"/>
        <item x="2"/>
        <item x="0"/>
        <item x="4"/>
        <item x="5"/>
        <item x="1"/>
        <item t="default"/>
      </items>
    </pivotField>
    <pivotField showAll="0"/>
    <pivotField showAll="0"/>
    <pivotField showAll="0">
      <items count="8">
        <item x="3"/>
        <item x="6"/>
        <item x="5"/>
        <item x="4"/>
        <item x="2"/>
        <item x="0"/>
        <item x="1"/>
        <item t="default"/>
      </items>
    </pivotField>
    <pivotField showAll="0">
      <items count="4">
        <item x="1"/>
        <item x="0"/>
        <item x="2"/>
        <item t="default"/>
      </items>
    </pivotField>
    <pivotField numFmtId="2" showAll="0"/>
    <pivotField showAll="0"/>
    <pivotField dataField="1" numFmtId="2" showAll="0"/>
    <pivotField dragToRow="0" dragToCol="0" dragToPage="0" showAll="0" defaultSubtotal="0"/>
    <pivotField dragToRow="0" dragToCol="0" dragToPage="0" showAll="0" defaultSubtotal="0"/>
    <pivotField dragToRow="0" dragToCol="0" dragToPage="0" showAll="0" defaultSubtotal="0"/>
  </pivotFields>
  <rowFields count="1">
    <field x="1"/>
  </rowFields>
  <rowItems count="12">
    <i>
      <x v="1"/>
    </i>
    <i>
      <x v="2"/>
    </i>
    <i>
      <x v="3"/>
    </i>
    <i>
      <x v="4"/>
    </i>
    <i>
      <x v="5"/>
    </i>
    <i>
      <x v="6"/>
    </i>
    <i>
      <x v="7"/>
    </i>
    <i>
      <x v="8"/>
    </i>
    <i>
      <x v="9"/>
    </i>
    <i>
      <x v="10"/>
    </i>
    <i>
      <x v="11"/>
    </i>
    <i>
      <x v="12"/>
    </i>
  </rowItems>
  <colItems count="1">
    <i/>
  </colItems>
  <dataFields count="1">
    <dataField name="Sum of Revenue_USD" fld="9" baseField="0" baseItem="0" numFmtId="167"/>
  </dataFields>
  <formats count="1">
    <format dxfId="116">
      <pivotArea outline="0" collapsedLevelsAreSubtotals="1" fieldPosition="0"/>
    </format>
  </formats>
  <chartFormats count="1">
    <chartFormat chart="7"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KPI_AVG Monthly rev"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B13:B14" firstHeaderRow="1" firstDataRow="1" firstDataCol="0"/>
  <pivotFields count="13">
    <pivotField showAll="0"/>
    <pivotField numFmtId="166" showAll="0">
      <items count="15">
        <item x="0"/>
        <item x="1"/>
        <item x="2"/>
        <item x="3"/>
        <item x="4"/>
        <item x="5"/>
        <item x="6"/>
        <item x="7"/>
        <item x="8"/>
        <item x="9"/>
        <item x="10"/>
        <item x="11"/>
        <item x="12"/>
        <item x="13"/>
        <item t="default"/>
      </items>
    </pivotField>
    <pivotField showAll="0">
      <items count="7">
        <item x="3"/>
        <item x="2"/>
        <item x="0"/>
        <item x="4"/>
        <item x="5"/>
        <item x="1"/>
        <item t="default"/>
      </items>
    </pivotField>
    <pivotField showAll="0"/>
    <pivotField showAll="0"/>
    <pivotField showAll="0">
      <items count="8">
        <item x="3"/>
        <item x="6"/>
        <item x="5"/>
        <item x="4"/>
        <item x="2"/>
        <item x="0"/>
        <item x="1"/>
        <item t="default"/>
      </items>
    </pivotField>
    <pivotField showAll="0">
      <items count="4">
        <item x="1"/>
        <item x="0"/>
        <item x="2"/>
        <item t="default"/>
      </items>
    </pivotField>
    <pivotField numFmtId="2" showAll="0"/>
    <pivotField showAll="0"/>
    <pivotField numFmtId="2" showAll="0"/>
    <pivotField dragToRow="0" dragToCol="0" dragToPage="0" showAll="0" defaultSubtotal="0"/>
    <pivotField dragToRow="0" dragToCol="0" dragToPage="0" showAll="0" defaultSubtotal="0"/>
    <pivotField dataField="1" dragToRow="0" dragToCol="0" dragToPage="0" showAll="0" defaultSubtotal="0"/>
  </pivotFields>
  <rowItems count="1">
    <i/>
  </rowItems>
  <colItems count="1">
    <i/>
  </colItems>
  <dataFields count="1">
    <dataField name="Average Monthly Revenue" fld="12" baseField="0" baseItem="0" numFmtId="173"/>
  </dataFields>
  <formats count="10">
    <format dxfId="126">
      <pivotArea dataOnly="0" labelOnly="1" outline="0" axis="axisValues" fieldPosition="0"/>
    </format>
    <format dxfId="125">
      <pivotArea dataOnly="0" labelOnly="1" outline="0" axis="axisValues" fieldPosition="0"/>
    </format>
    <format dxfId="124">
      <pivotArea outline="0" collapsedLevelsAreSubtotals="1" fieldPosition="0"/>
    </format>
    <format dxfId="123">
      <pivotArea outline="0" collapsedLevelsAreSubtotals="1" fieldPosition="0"/>
    </format>
    <format dxfId="122">
      <pivotArea outline="0" collapsedLevelsAreSubtotals="1" fieldPosition="0"/>
    </format>
    <format dxfId="121">
      <pivotArea dataOnly="0" outline="0" axis="axisValues" fieldPosition="0"/>
    </format>
    <format dxfId="120">
      <pivotArea dataOnly="0" outline="0" axis="axisValues" fieldPosition="0"/>
    </format>
    <format dxfId="119">
      <pivotArea outline="0" collapsedLevelsAreSubtotals="1" fieldPosition="0"/>
    </format>
    <format dxfId="118">
      <pivotArea type="all" dataOnly="0" outline="0" fieldPosition="0"/>
    </format>
    <format dxfId="117">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8">
  <location ref="V2:W14" firstHeaderRow="1" firstDataRow="1" firstDataCol="1"/>
  <pivotFields count="13">
    <pivotField showAll="0"/>
    <pivotField axis="axisRow" numFmtId="14" showAll="0" rankBy="0">
      <items count="15">
        <item x="1"/>
        <item x="2"/>
        <item x="3"/>
        <item x="4"/>
        <item x="5"/>
        <item x="6"/>
        <item x="7"/>
        <item x="8"/>
        <item x="9"/>
        <item x="10"/>
        <item x="11"/>
        <item x="12"/>
        <item x="0"/>
        <item x="13"/>
        <item t="default"/>
      </items>
    </pivotField>
    <pivotField showAll="0">
      <items count="7">
        <item x="3"/>
        <item x="2"/>
        <item x="0"/>
        <item x="4"/>
        <item x="5"/>
        <item x="1"/>
        <item t="default"/>
      </items>
    </pivotField>
    <pivotField showAll="0"/>
    <pivotField showAll="0"/>
    <pivotField showAll="0">
      <items count="8">
        <item x="3"/>
        <item x="6"/>
        <item x="5"/>
        <item x="4"/>
        <item x="2"/>
        <item x="0"/>
        <item x="1"/>
        <item t="default"/>
      </items>
    </pivotField>
    <pivotField showAll="0">
      <items count="4">
        <item x="1"/>
        <item x="0"/>
        <item x="2"/>
        <item t="default"/>
      </items>
    </pivotField>
    <pivotField numFmtId="2" showAll="0"/>
    <pivotField showAll="0"/>
    <pivotField dataField="1" numFmtId="2" showAll="0"/>
    <pivotField dragToRow="0" dragToCol="0" dragToPage="0" showAll="0" defaultSubtotal="0"/>
    <pivotField dragToRow="0" dragToCol="0" dragToPage="0" showAll="0" defaultSubtotal="0"/>
    <pivotField dragToRow="0" dragToCol="0" dragToPage="0" showAll="0" defaultSubtotal="0"/>
  </pivotFields>
  <rowFields count="1">
    <field x="1"/>
  </rowFields>
  <rowItems count="12">
    <i>
      <x/>
    </i>
    <i>
      <x v="1"/>
    </i>
    <i>
      <x v="2"/>
    </i>
    <i>
      <x v="3"/>
    </i>
    <i>
      <x v="4"/>
    </i>
    <i>
      <x v="5"/>
    </i>
    <i>
      <x v="6"/>
    </i>
    <i>
      <x v="7"/>
    </i>
    <i>
      <x v="8"/>
    </i>
    <i>
      <x v="9"/>
    </i>
    <i>
      <x v="10"/>
    </i>
    <i>
      <x v="11"/>
    </i>
  </rowItems>
  <colItems count="1">
    <i/>
  </colItems>
  <dataFields count="1">
    <dataField name="Sum of Revenue_USD" fld="9" showDataAs="percentDiff" baseField="1" baseItem="1048828" numFmtId="10"/>
  </dataFields>
  <formats count="2">
    <format dxfId="128">
      <pivotArea outline="0" collapsedLevelsAreSubtotals="1" fieldPosition="0"/>
    </format>
    <format dxfId="127">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KPI_Total Transaction"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B6:B7" firstHeaderRow="1" firstDataRow="1" firstDataCol="0"/>
  <pivotFields count="13">
    <pivotField dataField="1" showAll="0"/>
    <pivotField numFmtId="166" showAll="0">
      <items count="15">
        <item x="0"/>
        <item x="1"/>
        <item x="2"/>
        <item x="3"/>
        <item x="4"/>
        <item x="5"/>
        <item x="6"/>
        <item x="7"/>
        <item x="8"/>
        <item x="9"/>
        <item x="10"/>
        <item x="11"/>
        <item x="12"/>
        <item x="13"/>
        <item t="default"/>
      </items>
    </pivotField>
    <pivotField showAll="0">
      <items count="7">
        <item x="3"/>
        <item x="2"/>
        <item x="0"/>
        <item x="4"/>
        <item x="5"/>
        <item x="1"/>
        <item t="default"/>
      </items>
    </pivotField>
    <pivotField showAll="0"/>
    <pivotField showAll="0"/>
    <pivotField showAll="0">
      <items count="8">
        <item x="3"/>
        <item x="6"/>
        <item x="5"/>
        <item x="4"/>
        <item x="2"/>
        <item x="0"/>
        <item x="1"/>
        <item t="default"/>
      </items>
    </pivotField>
    <pivotField showAll="0">
      <items count="4">
        <item x="1"/>
        <item x="0"/>
        <item x="2"/>
        <item t="default"/>
      </items>
    </pivotField>
    <pivotField numFmtId="2" showAll="0"/>
    <pivotField showAll="0"/>
    <pivotField numFmtId="2" showAl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Total Transaction" fld="0" subtotal="count" baseField="0" baseItem="0"/>
  </dataFields>
  <formats count="6">
    <format dxfId="134">
      <pivotArea dataOnly="0" labelOnly="1" outline="0" axis="axisValues" fieldPosition="0"/>
    </format>
    <format dxfId="133">
      <pivotArea dataOnly="0" labelOnly="1" outline="0" axis="axisValues" fieldPosition="0"/>
    </format>
    <format dxfId="132">
      <pivotArea dataOnly="0" labelOnly="1" outline="0" axis="axisValues" fieldPosition="0"/>
    </format>
    <format dxfId="131">
      <pivotArea outline="0" collapsedLevelsAreSubtotals="1" fieldPosition="0"/>
    </format>
    <format dxfId="130">
      <pivotArea outline="0" collapsedLevelsAreSubtotals="1" fieldPosition="0"/>
    </format>
    <format dxfId="129">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KPI_Best Country"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8">
  <location ref="J3:K10" firstHeaderRow="1" firstDataRow="1" firstDataCol="1"/>
  <pivotFields count="13">
    <pivotField showAll="0"/>
    <pivotField numFmtId="14" showAll="0">
      <items count="15">
        <item x="0"/>
        <item x="1"/>
        <item x="2"/>
        <item x="3"/>
        <item x="4"/>
        <item x="5"/>
        <item x="6"/>
        <item x="7"/>
        <item x="8"/>
        <item x="9"/>
        <item x="10"/>
        <item x="11"/>
        <item x="12"/>
        <item x="13"/>
        <item t="default"/>
      </items>
    </pivotField>
    <pivotField showAll="0">
      <items count="7">
        <item x="3"/>
        <item x="2"/>
        <item x="0"/>
        <item x="4"/>
        <item x="5"/>
        <item x="1"/>
        <item t="default"/>
      </items>
    </pivotField>
    <pivotField showAll="0"/>
    <pivotField showAll="0"/>
    <pivotField axis="axisRow" showAll="0" sortType="descending">
      <items count="8">
        <item x="3"/>
        <item x="6"/>
        <item x="5"/>
        <item x="4"/>
        <item x="2"/>
        <item x="0"/>
        <item x="1"/>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numFmtId="2" showAll="0"/>
    <pivotField showAll="0"/>
    <pivotField dataField="1" numFmtId="2" showAll="0"/>
    <pivotField dragToRow="0" dragToCol="0" dragToPage="0" showAll="0" defaultSubtotal="0"/>
    <pivotField dragToRow="0" dragToCol="0" dragToPage="0" showAll="0" defaultSubtotal="0"/>
    <pivotField dragToRow="0" dragToCol="0" dragToPage="0" showAll="0" defaultSubtotal="0"/>
  </pivotFields>
  <rowFields count="1">
    <field x="5"/>
  </rowFields>
  <rowItems count="7">
    <i>
      <x v="4"/>
    </i>
    <i>
      <x v="6"/>
    </i>
    <i>
      <x/>
    </i>
    <i>
      <x v="1"/>
    </i>
    <i>
      <x v="3"/>
    </i>
    <i>
      <x v="5"/>
    </i>
    <i>
      <x v="2"/>
    </i>
  </rowItems>
  <colItems count="1">
    <i/>
  </colItems>
  <dataFields count="1">
    <dataField name="Sum of Revenue_USD" fld="9" baseField="0" baseItem="0" numFmtId="167"/>
  </dataFields>
  <formats count="1">
    <format dxfId="135">
      <pivotArea outline="0" collapsedLevelsAreSubtotals="1" fieldPosition="0"/>
    </format>
  </formats>
  <chartFormats count="1">
    <chartFormat chart="7"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8">
  <location ref="M28:N40" firstHeaderRow="1" firstDataRow="1" firstDataCol="1"/>
  <pivotFields count="13">
    <pivotField showAll="0"/>
    <pivotField axis="axisRow" numFmtId="14" showAll="0">
      <items count="15">
        <item x="0"/>
        <item x="1"/>
        <item x="2"/>
        <item x="3"/>
        <item x="4"/>
        <item x="5"/>
        <item x="6"/>
        <item x="7"/>
        <item x="8"/>
        <item x="9"/>
        <item x="10"/>
        <item x="11"/>
        <item x="12"/>
        <item x="13"/>
        <item t="default"/>
      </items>
    </pivotField>
    <pivotField showAll="0">
      <items count="7">
        <item x="3"/>
        <item x="2"/>
        <item x="0"/>
        <item x="4"/>
        <item x="5"/>
        <item x="1"/>
        <item t="default"/>
      </items>
    </pivotField>
    <pivotField showAll="0"/>
    <pivotField showAll="0"/>
    <pivotField showAll="0">
      <items count="8">
        <item x="3"/>
        <item x="6"/>
        <item x="5"/>
        <item x="4"/>
        <item x="2"/>
        <item x="0"/>
        <item x="1"/>
        <item t="default"/>
      </items>
    </pivotField>
    <pivotField showAll="0">
      <items count="4">
        <item x="1"/>
        <item x="0"/>
        <item x="2"/>
        <item t="default"/>
      </items>
    </pivotField>
    <pivotField numFmtId="2" showAll="0"/>
    <pivotField showAll="0"/>
    <pivotField dataField="1" numFmtId="2" showAll="0"/>
    <pivotField dragToRow="0" dragToCol="0" dragToPage="0" showAll="0" defaultSubtotal="0"/>
    <pivotField dragToRow="0" dragToCol="0" dragToPage="0" showAll="0" defaultSubtotal="0"/>
    <pivotField dragToRow="0" dragToCol="0" dragToPage="0" showAll="0" defaultSubtotal="0"/>
  </pivotFields>
  <rowFields count="1">
    <field x="1"/>
  </rowFields>
  <rowItems count="12">
    <i>
      <x v="1"/>
    </i>
    <i>
      <x v="2"/>
    </i>
    <i>
      <x v="3"/>
    </i>
    <i>
      <x v="4"/>
    </i>
    <i>
      <x v="5"/>
    </i>
    <i>
      <x v="6"/>
    </i>
    <i>
      <x v="7"/>
    </i>
    <i>
      <x v="8"/>
    </i>
    <i>
      <x v="9"/>
    </i>
    <i>
      <x v="10"/>
    </i>
    <i>
      <x v="11"/>
    </i>
    <i>
      <x v="12"/>
    </i>
  </rowItems>
  <colItems count="1">
    <i/>
  </colItems>
  <dataFields count="1">
    <dataField name="Sum of Revenue_USD" fld="9" showDataAs="percentOfTotal" baseField="0" baseItem="0" numFmtId="10"/>
  </dataFields>
  <formats count="3">
    <format dxfId="43">
      <pivotArea type="all" dataOnly="0" outline="0" fieldPosition="0"/>
    </format>
    <format dxfId="42">
      <pivotArea outline="0" collapsedLevelsAreSubtotals="1" fieldPosition="0"/>
    </format>
    <format dxfId="41">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Mtrk_Monthly Revenue"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8">
  <location ref="B3:C15" firstHeaderRow="1" firstDataRow="1" firstDataCol="1"/>
  <pivotFields count="13">
    <pivotField showAll="0"/>
    <pivotField axis="axisRow" numFmtId="14" showAll="0">
      <items count="15">
        <item x="0"/>
        <item x="1"/>
        <item x="2"/>
        <item x="3"/>
        <item x="4"/>
        <item x="5"/>
        <item x="6"/>
        <item x="7"/>
        <item x="8"/>
        <item x="9"/>
        <item x="10"/>
        <item x="11"/>
        <item x="12"/>
        <item x="13"/>
        <item t="default"/>
      </items>
    </pivotField>
    <pivotField showAll="0">
      <items count="7">
        <item x="3"/>
        <item x="2"/>
        <item x="0"/>
        <item x="4"/>
        <item x="5"/>
        <item x="1"/>
        <item t="default"/>
      </items>
    </pivotField>
    <pivotField showAll="0"/>
    <pivotField showAll="0"/>
    <pivotField showAll="0">
      <items count="8">
        <item x="3"/>
        <item x="6"/>
        <item x="5"/>
        <item x="4"/>
        <item x="2"/>
        <item x="0"/>
        <item x="1"/>
        <item t="default"/>
      </items>
    </pivotField>
    <pivotField showAll="0">
      <items count="4">
        <item x="1"/>
        <item x="0"/>
        <item x="2"/>
        <item t="default"/>
      </items>
    </pivotField>
    <pivotField numFmtId="2" showAll="0"/>
    <pivotField showAll="0"/>
    <pivotField dataField="1" numFmtId="2" showAll="0"/>
    <pivotField dragToRow="0" dragToCol="0" dragToPage="0" showAll="0" defaultSubtotal="0"/>
    <pivotField dragToRow="0" dragToCol="0" dragToPage="0" showAll="0" defaultSubtotal="0"/>
    <pivotField dragToRow="0" dragToCol="0" dragToPage="0" showAll="0" defaultSubtotal="0"/>
  </pivotFields>
  <rowFields count="1">
    <field x="1"/>
  </rowFields>
  <rowItems count="12">
    <i>
      <x v="1"/>
    </i>
    <i>
      <x v="2"/>
    </i>
    <i>
      <x v="3"/>
    </i>
    <i>
      <x v="4"/>
    </i>
    <i>
      <x v="5"/>
    </i>
    <i>
      <x v="6"/>
    </i>
    <i>
      <x v="7"/>
    </i>
    <i>
      <x v="8"/>
    </i>
    <i>
      <x v="9"/>
    </i>
    <i>
      <x v="10"/>
    </i>
    <i>
      <x v="11"/>
    </i>
    <i>
      <x v="12"/>
    </i>
  </rowItems>
  <colItems count="1">
    <i/>
  </colItems>
  <dataFields count="1">
    <dataField name="Sum of Revenue_USD" fld="9" baseField="0" baseItem="0" numFmtId="168"/>
  </dataFields>
  <formats count="2">
    <format dxfId="45">
      <pivotArea type="all" dataOnly="0" outline="0" fieldPosition="0"/>
    </format>
    <format dxfId="4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5.xml><?xml version="1.0" encoding="utf-8"?>
<pivotTableDefinition xmlns="http://schemas.openxmlformats.org/spreadsheetml/2006/main" name="Mtrks_Channel_Rev" cacheId="0" applyNumberFormats="0" applyBorderFormats="0" applyFontFormats="0" applyPatternFormats="0" applyAlignmentFormats="0" applyWidthHeightFormats="1" dataCaption="Values" updatedVersion="4" minRefreshableVersion="3" rowGrandTotals="0" colGrandTotals="0" itemPrintTitles="1" createdVersion="4" indent="0" outline="1" outlineData="1" multipleFieldFilters="0" chartFormat="47">
  <location ref="B52:D55" firstHeaderRow="0" firstDataRow="1" firstDataCol="1"/>
  <pivotFields count="13">
    <pivotField showAll="0"/>
    <pivotField numFmtId="14" showAll="0">
      <items count="15">
        <item x="0"/>
        <item x="1"/>
        <item x="2"/>
        <item x="3"/>
        <item x="4"/>
        <item x="5"/>
        <item x="6"/>
        <item x="7"/>
        <item x="8"/>
        <item x="9"/>
        <item x="10"/>
        <item x="11"/>
        <item x="12"/>
        <item x="13"/>
        <item t="default"/>
      </items>
    </pivotField>
    <pivotField showAll="0">
      <items count="7">
        <item x="3"/>
        <item x="2"/>
        <item x="0"/>
        <item x="4"/>
        <item x="5"/>
        <item x="1"/>
        <item t="default"/>
      </items>
    </pivotField>
    <pivotField showAll="0"/>
    <pivotField showAll="0"/>
    <pivotField showAll="0">
      <items count="8">
        <item x="3"/>
        <item x="6"/>
        <item x="5"/>
        <item x="4"/>
        <item x="2"/>
        <item x="0"/>
        <item x="1"/>
        <item t="default"/>
      </items>
    </pivotField>
    <pivotField axis="axisRow" showAll="0">
      <items count="4">
        <item x="1"/>
        <item x="0"/>
        <item x="2"/>
        <item t="default"/>
      </items>
    </pivotField>
    <pivotField numFmtId="2" showAll="0"/>
    <pivotField showAll="0"/>
    <pivotField dataField="1" numFmtId="2" showAll="0"/>
    <pivotField dragToRow="0" dragToCol="0" dragToPage="0" showAll="0" defaultSubtotal="0"/>
    <pivotField dragToRow="0" dragToCol="0" dragToPage="0" showAll="0" defaultSubtotal="0"/>
    <pivotField dragToRow="0" dragToCol="0" dragToPage="0" showAll="0" defaultSubtotal="0"/>
  </pivotFields>
  <rowFields count="1">
    <field x="6"/>
  </rowFields>
  <rowItems count="3">
    <i>
      <x/>
    </i>
    <i>
      <x v="1"/>
    </i>
    <i>
      <x v="2"/>
    </i>
  </rowItems>
  <colFields count="1">
    <field x="-2"/>
  </colFields>
  <colItems count="2">
    <i>
      <x/>
    </i>
    <i i="1">
      <x v="1"/>
    </i>
  </colItems>
  <dataFields count="2">
    <dataField name="Sum of Revenue_USD" fld="9" baseField="0" baseItem="0"/>
    <dataField name="Sum of Revenue_USD2" fld="9" showDataAs="percentOfTotal" baseField="0" baseItem="0" numFmtId="10"/>
  </dataFields>
  <formats count="3">
    <format dxfId="48">
      <pivotArea outline="0" collapsedLevelsAreSubtotals="1" fieldPosition="0"/>
    </format>
    <format dxfId="47">
      <pivotArea type="all" dataOnly="0" outline="0" fieldPosition="0"/>
    </format>
    <format dxfId="46">
      <pivotArea outline="0" fieldPosition="0">
        <references count="1">
          <reference field="4294967294" count="1">
            <x v="1"/>
          </reference>
        </references>
      </pivotArea>
    </format>
  </formats>
  <chartFormats count="2">
    <chartFormat chart="46" format="4" series="1">
      <pivotArea type="data" outline="0" fieldPosition="0">
        <references count="1">
          <reference field="4294967294" count="1" selected="0">
            <x v="0"/>
          </reference>
        </references>
      </pivotArea>
    </chartFormat>
    <chartFormat chart="46"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6.xml><?xml version="1.0" encoding="utf-8"?>
<pivotTableDefinition xmlns="http://schemas.openxmlformats.org/spreadsheetml/2006/main" name="mtrk_TypeofShoe" cacheId="0" applyNumberFormats="0" applyBorderFormats="0" applyFontFormats="0" applyPatternFormats="0" applyAlignmentFormats="0" applyWidthHeightFormats="1" dataCaption="Values" updatedVersion="4" minRefreshableVersion="3" rowGrandTotals="0" colGrandTotals="0" itemPrintTitles="1" createdVersion="4" indent="0" outline="1" outlineData="1" multipleFieldFilters="0" chartFormat="52">
  <location ref="B58:D64" firstHeaderRow="0" firstDataRow="1" firstDataCol="1"/>
  <pivotFields count="13">
    <pivotField showAll="0"/>
    <pivotField numFmtId="14" showAll="0">
      <items count="15">
        <item x="0"/>
        <item x="1"/>
        <item x="2"/>
        <item x="3"/>
        <item x="4"/>
        <item x="5"/>
        <item x="6"/>
        <item x="7"/>
        <item x="8"/>
        <item x="9"/>
        <item x="10"/>
        <item x="11"/>
        <item x="12"/>
        <item x="13"/>
        <item t="default"/>
      </items>
    </pivotField>
    <pivotField showAll="0">
      <items count="7">
        <item x="3"/>
        <item x="2"/>
        <item x="0"/>
        <item x="4"/>
        <item x="5"/>
        <item x="1"/>
        <item t="default"/>
      </items>
    </pivotField>
    <pivotField axis="axisRow" showAll="0" sortType="ascending">
      <items count="7">
        <item x="0"/>
        <item x="2"/>
        <item x="3"/>
        <item x="1"/>
        <item x="5"/>
        <item x="4"/>
        <item t="default"/>
      </items>
      <autoSortScope>
        <pivotArea dataOnly="0" outline="0" fieldPosition="0">
          <references count="1">
            <reference field="4294967294" count="1" selected="0">
              <x v="0"/>
            </reference>
          </references>
        </pivotArea>
      </autoSortScope>
    </pivotField>
    <pivotField showAll="0"/>
    <pivotField showAll="0">
      <items count="8">
        <item x="3"/>
        <item x="6"/>
        <item x="5"/>
        <item x="4"/>
        <item x="2"/>
        <item x="0"/>
        <item x="1"/>
        <item t="default"/>
      </items>
    </pivotField>
    <pivotField showAll="0">
      <items count="4">
        <item x="1"/>
        <item x="0"/>
        <item x="2"/>
        <item t="default"/>
      </items>
    </pivotField>
    <pivotField numFmtId="2" showAll="0"/>
    <pivotField showAll="0"/>
    <pivotField dataField="1" numFmtId="2" showAll="0"/>
    <pivotField dragToRow="0" dragToCol="0" dragToPage="0" showAll="0" defaultSubtotal="0"/>
    <pivotField dragToRow="0" dragToCol="0" dragToPage="0" showAll="0" defaultSubtotal="0"/>
    <pivotField dragToRow="0" dragToCol="0" dragToPage="0" showAll="0" defaultSubtotal="0"/>
  </pivotFields>
  <rowFields count="1">
    <field x="3"/>
  </rowFields>
  <rowItems count="6">
    <i>
      <x v="5"/>
    </i>
    <i>
      <x v="1"/>
    </i>
    <i>
      <x v="3"/>
    </i>
    <i>
      <x v="2"/>
    </i>
    <i>
      <x/>
    </i>
    <i>
      <x v="4"/>
    </i>
  </rowItems>
  <colFields count="1">
    <field x="-2"/>
  </colFields>
  <colItems count="2">
    <i>
      <x/>
    </i>
    <i i="1">
      <x v="1"/>
    </i>
  </colItems>
  <dataFields count="2">
    <dataField name="Sum of Revenue_USD" fld="9" baseField="0" baseItem="0"/>
    <dataField name="Sum of Revenue_USD2" fld="9" showDataAs="percentOfCol" baseField="0" baseItem="0" numFmtId="10"/>
  </dataFields>
  <formats count="3">
    <format dxfId="51">
      <pivotArea outline="0" collapsedLevelsAreSubtotals="1" fieldPosition="0"/>
    </format>
    <format dxfId="50">
      <pivotArea type="all" dataOnly="0" outline="0" fieldPosition="0"/>
    </format>
    <format dxfId="49">
      <pivotArea outline="0" fieldPosition="0">
        <references count="1">
          <reference field="4294967294" count="1">
            <x v="1"/>
          </reference>
        </references>
      </pivotArea>
    </format>
  </formats>
  <chartFormats count="5">
    <chartFormat chart="46" format="4" series="1">
      <pivotArea type="data" outline="0" fieldPosition="0">
        <references count="1">
          <reference field="4294967294" count="1" selected="0">
            <x v="0"/>
          </reference>
        </references>
      </pivotArea>
    </chartFormat>
    <chartFormat chart="47" format="0" series="1">
      <pivotArea type="data" outline="0" fieldPosition="0">
        <references count="1">
          <reference field="4294967294" count="1" selected="0">
            <x v="0"/>
          </reference>
        </references>
      </pivotArea>
    </chartFormat>
    <chartFormat chart="50" format="2" series="1">
      <pivotArea type="data" outline="0" fieldPosition="0">
        <references count="1">
          <reference field="4294967294" count="1" selected="0">
            <x v="0"/>
          </reference>
        </references>
      </pivotArea>
    </chartFormat>
    <chartFormat chart="51" format="4" series="1">
      <pivotArea type="data" outline="0" fieldPosition="0">
        <references count="1">
          <reference field="4294967294" count="1" selected="0">
            <x v="0"/>
          </reference>
        </references>
      </pivotArea>
    </chartFormat>
    <chartFormat chart="51"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7.xml><?xml version="1.0" encoding="utf-8"?>
<pivotTableDefinition xmlns="http://schemas.openxmlformats.org/spreadsheetml/2006/main" name="Mtrks_Country Contribution"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19">
  <location ref="B32:D39" firstHeaderRow="0" firstDataRow="1" firstDataCol="1"/>
  <pivotFields count="13">
    <pivotField showAll="0"/>
    <pivotField numFmtId="14" showAll="0">
      <items count="15">
        <item x="0"/>
        <item x="1"/>
        <item x="2"/>
        <item x="3"/>
        <item x="4"/>
        <item x="5"/>
        <item x="6"/>
        <item x="7"/>
        <item x="8"/>
        <item x="9"/>
        <item x="10"/>
        <item x="11"/>
        <item x="12"/>
        <item x="13"/>
        <item t="default"/>
      </items>
    </pivotField>
    <pivotField showAll="0">
      <items count="7">
        <item x="3"/>
        <item x="2"/>
        <item x="0"/>
        <item x="4"/>
        <item x="5"/>
        <item x="1"/>
        <item t="default"/>
      </items>
    </pivotField>
    <pivotField showAll="0"/>
    <pivotField showAll="0"/>
    <pivotField axis="axisRow" showAll="0" sortType="ascending">
      <items count="8">
        <item x="1"/>
        <item x="0"/>
        <item x="2"/>
        <item x="4"/>
        <item x="5"/>
        <item x="6"/>
        <item x="3"/>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numFmtId="2" showAll="0"/>
    <pivotField showAll="0"/>
    <pivotField dataField="1" numFmtId="2" showAll="0"/>
    <pivotField dragToRow="0" dragToCol="0" dragToPage="0" showAll="0" defaultSubtotal="0"/>
    <pivotField dragToRow="0" dragToCol="0" dragToPage="0" showAll="0" defaultSubtotal="0"/>
    <pivotField dragToRow="0" dragToCol="0" dragToPage="0" showAll="0" defaultSubtotal="0"/>
  </pivotFields>
  <rowFields count="1">
    <field x="5"/>
  </rowFields>
  <rowItems count="7">
    <i>
      <x v="4"/>
    </i>
    <i>
      <x v="1"/>
    </i>
    <i>
      <x v="3"/>
    </i>
    <i>
      <x v="5"/>
    </i>
    <i>
      <x v="6"/>
    </i>
    <i>
      <x/>
    </i>
    <i>
      <x v="2"/>
    </i>
  </rowItems>
  <colFields count="1">
    <field x="-2"/>
  </colFields>
  <colItems count="2">
    <i>
      <x/>
    </i>
    <i i="1">
      <x v="1"/>
    </i>
  </colItems>
  <dataFields count="2">
    <dataField name="Sum of Revenue_USD2" fld="9" baseField="0" baseItem="0"/>
    <dataField name="Sum of Revenue_USD" fld="9" showDataAs="percentOfTotal" baseField="0" baseItem="0" numFmtId="10"/>
  </dataFields>
  <formats count="3">
    <format dxfId="54">
      <pivotArea outline="0" collapsedLevelsAreSubtotals="1" fieldPosition="0"/>
    </format>
    <format dxfId="53">
      <pivotArea type="all" dataOnly="0" outline="0" fieldPosition="0"/>
    </format>
    <format dxfId="52">
      <pivotArea outline="0" fieldPosition="0">
        <references count="1">
          <reference field="4294967294" count="1">
            <x v="1"/>
          </reference>
        </references>
      </pivotArea>
    </format>
  </formats>
  <chartFormats count="4">
    <chartFormat chart="15"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 chart="17" format="10"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8.xml><?xml version="1.0" encoding="utf-8"?>
<pivotTableDefinition xmlns="http://schemas.openxmlformats.org/spreadsheetml/2006/main" name="Mtks_Brand Rev Performance"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30">
  <location ref="B43:D49" firstHeaderRow="0" firstDataRow="1" firstDataCol="1"/>
  <pivotFields count="13">
    <pivotField showAll="0"/>
    <pivotField numFmtId="14" showAll="0">
      <items count="15">
        <item x="0"/>
        <item x="1"/>
        <item x="2"/>
        <item x="3"/>
        <item x="4"/>
        <item x="5"/>
        <item x="6"/>
        <item x="7"/>
        <item x="8"/>
        <item x="9"/>
        <item x="10"/>
        <item x="11"/>
        <item x="12"/>
        <item x="13"/>
        <item t="default"/>
      </items>
    </pivotField>
    <pivotField axis="axisRow" showAll="0" sortType="ascending">
      <items count="7">
        <item x="3"/>
        <item x="2"/>
        <item x="0"/>
        <item x="4"/>
        <item x="5"/>
        <item x="1"/>
        <item t="default"/>
      </items>
      <autoSortScope>
        <pivotArea dataOnly="0" outline="0" fieldPosition="0">
          <references count="1">
            <reference field="4294967294" count="1" selected="0">
              <x v="0"/>
            </reference>
          </references>
        </pivotArea>
      </autoSortScope>
    </pivotField>
    <pivotField showAll="0"/>
    <pivotField showAll="0"/>
    <pivotField showAll="0">
      <items count="8">
        <item x="3"/>
        <item x="6"/>
        <item x="5"/>
        <item x="4"/>
        <item x="2"/>
        <item x="0"/>
        <item x="1"/>
        <item t="default"/>
      </items>
    </pivotField>
    <pivotField showAll="0">
      <items count="4">
        <item x="1"/>
        <item x="0"/>
        <item x="2"/>
        <item t="default"/>
      </items>
    </pivotField>
    <pivotField numFmtId="2" showAll="0"/>
    <pivotField showAll="0"/>
    <pivotField dataField="1" numFmtId="2" showAll="0"/>
    <pivotField dragToRow="0" dragToCol="0" dragToPage="0" showAll="0" defaultSubtotal="0"/>
    <pivotField dragToRow="0" dragToCol="0" dragToPage="0" showAll="0" defaultSubtotal="0"/>
    <pivotField dragToRow="0" dragToCol="0" dragToPage="0" showAll="0" defaultSubtotal="0"/>
  </pivotFields>
  <rowFields count="1">
    <field x="2"/>
  </rowFields>
  <rowItems count="6">
    <i>
      <x v="2"/>
    </i>
    <i>
      <x v="4"/>
    </i>
    <i>
      <x v="3"/>
    </i>
    <i>
      <x/>
    </i>
    <i>
      <x v="1"/>
    </i>
    <i>
      <x v="5"/>
    </i>
  </rowItems>
  <colFields count="1">
    <field x="-2"/>
  </colFields>
  <colItems count="2">
    <i>
      <x/>
    </i>
    <i i="1">
      <x v="1"/>
    </i>
  </colItems>
  <dataFields count="2">
    <dataField name="Sum of Revenue_USD" fld="9" baseField="0" baseItem="0" numFmtId="167"/>
    <dataField name="Sum of Revenue_USD2" fld="9" showDataAs="percentOfTotal" baseField="0" baseItem="0" numFmtId="10"/>
  </dataFields>
  <formats count="5">
    <format dxfId="59">
      <pivotArea outline="0" collapsedLevelsAreSubtotals="1" fieldPosition="0"/>
    </format>
    <format dxfId="58">
      <pivotArea type="all" dataOnly="0" outline="0" fieldPosition="0"/>
    </format>
    <format dxfId="57">
      <pivotArea outline="0" fieldPosition="0">
        <references count="1">
          <reference field="4294967294" count="1">
            <x v="0"/>
          </reference>
        </references>
      </pivotArea>
    </format>
    <format dxfId="56">
      <pivotArea outline="0" collapsedLevelsAreSubtotals="1" fieldPosition="0">
        <references count="1">
          <reference field="4294967294" count="1" selected="0">
            <x v="0"/>
          </reference>
        </references>
      </pivotArea>
    </format>
    <format dxfId="55">
      <pivotArea outline="0" fieldPosition="0">
        <references count="1">
          <reference field="4294967294" count="1">
            <x v="1"/>
          </reference>
        </references>
      </pivotArea>
    </format>
  </formats>
  <chartFormats count="3">
    <chartFormat chart="28" format="2" series="1">
      <pivotArea type="data" outline="0" fieldPosition="0">
        <references count="1">
          <reference field="4294967294" count="1" selected="0">
            <x v="0"/>
          </reference>
        </references>
      </pivotArea>
    </chartFormat>
    <chartFormat chart="29" format="4" series="1">
      <pivotArea type="data" outline="0" fieldPosition="0">
        <references count="1">
          <reference field="4294967294" count="1" selected="0">
            <x v="0"/>
          </reference>
        </references>
      </pivotArea>
    </chartFormat>
    <chartFormat chart="29"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9.xml><?xml version="1.0" encoding="utf-8"?>
<pivotTableDefinition xmlns="http://schemas.openxmlformats.org/spreadsheetml/2006/main" name="Mtrik_Monthly Growth"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7">
  <location ref="G3:H15" firstHeaderRow="1" firstDataRow="1" firstDataCol="1"/>
  <pivotFields count="13">
    <pivotField showAll="0"/>
    <pivotField axis="axisRow" numFmtId="14" showAll="0">
      <items count="15">
        <item x="0"/>
        <item x="1"/>
        <item x="2"/>
        <item x="3"/>
        <item x="4"/>
        <item x="5"/>
        <item x="6"/>
        <item x="7"/>
        <item x="8"/>
        <item x="9"/>
        <item x="10"/>
        <item x="11"/>
        <item x="12"/>
        <item x="13"/>
        <item t="default"/>
      </items>
    </pivotField>
    <pivotField showAll="0">
      <items count="7">
        <item x="3"/>
        <item x="2"/>
        <item x="0"/>
        <item x="4"/>
        <item x="5"/>
        <item x="1"/>
        <item t="default"/>
      </items>
    </pivotField>
    <pivotField showAll="0"/>
    <pivotField showAll="0"/>
    <pivotField showAll="0">
      <items count="8">
        <item x="3"/>
        <item x="6"/>
        <item x="5"/>
        <item x="4"/>
        <item x="2"/>
        <item x="0"/>
        <item x="1"/>
        <item t="default"/>
      </items>
    </pivotField>
    <pivotField showAll="0">
      <items count="4">
        <item x="1"/>
        <item x="0"/>
        <item x="2"/>
        <item t="default"/>
      </items>
    </pivotField>
    <pivotField numFmtId="2" showAll="0"/>
    <pivotField showAll="0"/>
    <pivotField dataField="1" numFmtId="2" showAll="0"/>
    <pivotField dragToRow="0" dragToCol="0" dragToPage="0" showAll="0" defaultSubtotal="0"/>
    <pivotField dragToRow="0" dragToCol="0" dragToPage="0" showAll="0" defaultSubtotal="0"/>
    <pivotField dragToRow="0" dragToCol="0" dragToPage="0" showAll="0" defaultSubtotal="0"/>
  </pivotFields>
  <rowFields count="1">
    <field x="1"/>
  </rowFields>
  <rowItems count="12">
    <i>
      <x v="1"/>
    </i>
    <i>
      <x v="2"/>
    </i>
    <i>
      <x v="3"/>
    </i>
    <i>
      <x v="4"/>
    </i>
    <i>
      <x v="5"/>
    </i>
    <i>
      <x v="6"/>
    </i>
    <i>
      <x v="7"/>
    </i>
    <i>
      <x v="8"/>
    </i>
    <i>
      <x v="9"/>
    </i>
    <i>
      <x v="10"/>
    </i>
    <i>
      <x v="11"/>
    </i>
    <i>
      <x v="12"/>
    </i>
  </rowItems>
  <colItems count="1">
    <i/>
  </colItems>
  <dataFields count="1">
    <dataField name="Sum of Revenue_USD" fld="9" showDataAs="percentDiff" baseField="1" baseItem="1048828" numFmtId="10"/>
  </dataFields>
  <formats count="5">
    <format dxfId="64">
      <pivotArea outline="0" collapsedLevelsAreSubtotals="1" fieldPosition="0"/>
    </format>
    <format dxfId="63">
      <pivotArea outline="0" collapsedLevelsAreSubtotals="1" fieldPosition="0"/>
    </format>
    <format dxfId="62">
      <pivotArea outline="0" fieldPosition="0">
        <references count="1">
          <reference field="4294967294" count="1">
            <x v="0"/>
          </reference>
        </references>
      </pivotArea>
    </format>
    <format dxfId="61">
      <pivotArea collapsedLevelsAreSubtotals="1" fieldPosition="0">
        <references count="1">
          <reference field="1" count="11">
            <x v="2"/>
            <x v="3"/>
            <x v="4"/>
            <x v="5"/>
            <x v="6"/>
            <x v="7"/>
            <x v="8"/>
            <x v="9"/>
            <x v="10"/>
            <x v="11"/>
            <x v="12"/>
          </reference>
        </references>
      </pivotArea>
    </format>
    <format dxfId="60">
      <pivotArea type="all" dataOnly="0" outline="0"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x14:conditionalFormats count="1">
          <x14:conditionalFormat priority="7" id="{7E9E5BEF-C0EB-41E3-BD11-2895DC468239}">
            <x14:pivotAreas count="1">
              <pivotArea type="data" collapsedLevelsAreSubtotals="1" fieldPosition="0">
                <references count="2">
                  <reference field="4294967294" count="1" selected="0">
                    <x v="0"/>
                  </reference>
                  <reference field="1" count="1">
                    <x v="1"/>
                  </reference>
                </references>
              </pivotArea>
            </x14:pivotAreas>
          </x14:conditionalFormat>
        </x14:conditionalFormats>
      </x14:pivotTableDefinition>
    </ext>
  </extLst>
</pivotTableDefinition>
</file>

<file path=xl/pivotTables/pivotTable20.xml><?xml version="1.0" encoding="utf-8"?>
<pivotTableDefinition xmlns="http://schemas.openxmlformats.org/spreadsheetml/2006/main" name="Scatter Plot"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7">
  <location ref="B2:D14" firstHeaderRow="0" firstDataRow="1" firstDataCol="1"/>
  <pivotFields count="13">
    <pivotField dataField="1" showAll="0"/>
    <pivotField axis="axisRow" numFmtId="14" showAll="0">
      <items count="15">
        <item x="0"/>
        <item x="1"/>
        <item x="2"/>
        <item x="3"/>
        <item x="4"/>
        <item x="5"/>
        <item x="6"/>
        <item x="7"/>
        <item x="8"/>
        <item x="9"/>
        <item x="10"/>
        <item x="11"/>
        <item x="12"/>
        <item x="13"/>
        <item t="default"/>
      </items>
    </pivotField>
    <pivotField showAll="0">
      <items count="7">
        <item x="3"/>
        <item x="2"/>
        <item x="0"/>
        <item x="4"/>
        <item x="5"/>
        <item x="1"/>
        <item t="default"/>
      </items>
    </pivotField>
    <pivotField showAll="0"/>
    <pivotField showAll="0"/>
    <pivotField showAll="0">
      <items count="8">
        <item x="3"/>
        <item x="6"/>
        <item x="5"/>
        <item x="4"/>
        <item x="2"/>
        <item x="0"/>
        <item x="1"/>
        <item t="default"/>
      </items>
    </pivotField>
    <pivotField showAll="0">
      <items count="4">
        <item x="1"/>
        <item x="0"/>
        <item x="2"/>
        <item t="default"/>
      </items>
    </pivotField>
    <pivotField numFmtId="2" showAll="0"/>
    <pivotField showAll="0"/>
    <pivotField dataField="1" numFmtId="2" showAll="0"/>
    <pivotField dragToRow="0" dragToCol="0" dragToPage="0" showAll="0" defaultSubtotal="0"/>
    <pivotField dragToRow="0" dragToCol="0" dragToPage="0" showAll="0" defaultSubtotal="0"/>
    <pivotField dragToRow="0" dragToCol="0" dragToPage="0" showAll="0" defaultSubtotal="0"/>
  </pivotFields>
  <rowFields count="1">
    <field x="1"/>
  </rowFields>
  <rowItems count="12">
    <i>
      <x v="1"/>
    </i>
    <i>
      <x v="2"/>
    </i>
    <i>
      <x v="3"/>
    </i>
    <i>
      <x v="4"/>
    </i>
    <i>
      <x v="5"/>
    </i>
    <i>
      <x v="6"/>
    </i>
    <i>
      <x v="7"/>
    </i>
    <i>
      <x v="8"/>
    </i>
    <i>
      <x v="9"/>
    </i>
    <i>
      <x v="10"/>
    </i>
    <i>
      <x v="11"/>
    </i>
    <i>
      <x v="12"/>
    </i>
  </rowItems>
  <colFields count="1">
    <field x="-2"/>
  </colFields>
  <colItems count="2">
    <i>
      <x/>
    </i>
    <i i="1">
      <x v="1"/>
    </i>
  </colItems>
  <dataFields count="2">
    <dataField name="Count of Sale_ID" fld="0" subtotal="count" baseField="0" baseItem="0" numFmtId="170"/>
    <dataField name="Sum of Revenue_USD" fld="9" baseField="0" baseItem="0" numFmtId="172"/>
  </dataFields>
  <formats count="6">
    <format dxfId="40">
      <pivotArea outline="0" collapsedLevelsAreSubtotals="1" fieldPosition="0"/>
    </format>
    <format dxfId="39">
      <pivotArea outline="0" collapsedLevelsAreSubtotals="1" fieldPosition="0"/>
    </format>
    <format dxfId="38">
      <pivotArea collapsedLevelsAreSubtotals="1" fieldPosition="0">
        <references count="1">
          <reference field="1" count="11">
            <x v="2"/>
            <x v="3"/>
            <x v="4"/>
            <x v="5"/>
            <x v="6"/>
            <x v="7"/>
            <x v="8"/>
            <x v="9"/>
            <x v="10"/>
            <x v="11"/>
            <x v="12"/>
          </reference>
        </references>
      </pivotArea>
    </format>
    <format dxfId="37">
      <pivotArea type="all" dataOnly="0" outline="0" fieldPosition="0"/>
    </format>
    <format dxfId="36">
      <pivotArea outline="0" collapsedLevelsAreSubtotals="1" fieldPosition="0">
        <references count="1">
          <reference field="4294967294" count="1" selected="0">
            <x v="0"/>
          </reference>
        </references>
      </pivotArea>
    </format>
    <format dxfId="35">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rowGrandTotals="0" colGrandTotals="0" itemPrintTitles="1" createdVersion="4" indent="0" outline="1" outlineData="1" multipleFieldFilters="0" chartFormat="13" rowHeaderCaption="Brand" colHeaderCaption="Type of Shoes">
  <location ref="A40:G47" firstHeaderRow="1" firstDataRow="2" firstDataCol="1"/>
  <pivotFields count="13">
    <pivotField showAll="0"/>
    <pivotField numFmtId="165" showAll="0">
      <items count="15">
        <item x="0"/>
        <item x="1"/>
        <item x="2"/>
        <item x="3"/>
        <item x="4"/>
        <item x="5"/>
        <item x="6"/>
        <item x="7"/>
        <item x="8"/>
        <item x="9"/>
        <item x="10"/>
        <item x="11"/>
        <item x="12"/>
        <item x="13"/>
        <item t="default"/>
      </items>
    </pivotField>
    <pivotField axis="axisCol" showAll="0" sortType="ascending">
      <items count="7">
        <item x="3"/>
        <item x="2"/>
        <item x="0"/>
        <item x="4"/>
        <item x="5"/>
        <item x="1"/>
        <item t="default"/>
      </items>
    </pivotField>
    <pivotField axis="axisRow" showAll="0">
      <items count="7">
        <item x="0"/>
        <item x="2"/>
        <item x="3"/>
        <item x="1"/>
        <item x="5"/>
        <item x="4"/>
        <item t="default"/>
      </items>
    </pivotField>
    <pivotField showAll="0"/>
    <pivotField showAll="0">
      <items count="8">
        <item x="3"/>
        <item x="6"/>
        <item x="5"/>
        <item x="4"/>
        <item x="2"/>
        <item x="0"/>
        <item x="1"/>
        <item t="default"/>
      </items>
    </pivotField>
    <pivotField showAll="0">
      <items count="4">
        <item x="1"/>
        <item x="0"/>
        <item x="2"/>
        <item t="default"/>
      </items>
    </pivotField>
    <pivotField numFmtId="2" showAll="0"/>
    <pivotField showAll="0"/>
    <pivotField numFmtId="2" showAll="0"/>
    <pivotField dragToRow="0" dragToCol="0" dragToPage="0" showAll="0" defaultSubtotal="0"/>
    <pivotField dataField="1" dragToRow="0" dragToCol="0" dragToPage="0" showAll="0" defaultSubtotal="0"/>
    <pivotField dragToRow="0" dragToCol="0" dragToPage="0" showAll="0" defaultSubtotal="0"/>
  </pivotFields>
  <rowFields count="1">
    <field x="3"/>
  </rowFields>
  <rowItems count="6">
    <i>
      <x/>
    </i>
    <i>
      <x v="1"/>
    </i>
    <i>
      <x v="2"/>
    </i>
    <i>
      <x v="3"/>
    </i>
    <i>
      <x v="4"/>
    </i>
    <i>
      <x v="5"/>
    </i>
  </rowItems>
  <colFields count="1">
    <field x="2"/>
  </colFields>
  <colItems count="6">
    <i>
      <x/>
    </i>
    <i>
      <x v="1"/>
    </i>
    <i>
      <x v="2"/>
    </i>
    <i>
      <x v="3"/>
    </i>
    <i>
      <x v="4"/>
    </i>
    <i>
      <x v="5"/>
    </i>
  </colItems>
  <dataFields count="1">
    <dataField name="Sum of AVG per Product" fld="11" baseField="0" baseItem="0" numFmtId="1"/>
  </dataFields>
  <formats count="1">
    <format dxfId="31">
      <pivotArea outline="0" collapsedLevelsAreSubtotals="1" fieldPosition="0"/>
    </format>
  </formats>
  <pivotTableStyleInfo name="PivotStyleLight16" showRowHeaders="1" showColHeaders="1" showRowStripes="0" showColStripes="0" showLastColumn="1"/>
</pivotTableDefinition>
</file>

<file path=xl/pivotTables/pivotTable22.xml><?xml version="1.0" encoding="utf-8"?>
<pivotTableDefinition xmlns="http://schemas.openxmlformats.org/spreadsheetml/2006/main" name="HM_Sold_by_Brand" cacheId="0" applyNumberFormats="0" applyBorderFormats="0" applyFontFormats="0" applyPatternFormats="0" applyAlignmentFormats="0" applyWidthHeightFormats="1" dataCaption="Values" updatedVersion="4" minRefreshableVersion="3" rowGrandTotals="0" itemPrintTitles="1" createdVersion="4" indent="0" outline="1" outlineData="1" multipleFieldFilters="0" chartFormat="13" rowHeaderCaption="Brand" colHeaderCaption="Type of Shoes">
  <location ref="A1:H8" firstHeaderRow="1" firstDataRow="2" firstDataCol="1"/>
  <pivotFields count="13">
    <pivotField showAll="0"/>
    <pivotField numFmtId="165" showAll="0">
      <items count="15">
        <item x="0"/>
        <item x="1"/>
        <item x="2"/>
        <item x="3"/>
        <item x="4"/>
        <item x="5"/>
        <item x="6"/>
        <item x="7"/>
        <item x="8"/>
        <item x="9"/>
        <item x="10"/>
        <item x="11"/>
        <item x="12"/>
        <item x="13"/>
        <item t="default"/>
      </items>
    </pivotField>
    <pivotField axis="axisCol" showAll="0" sortType="ascending">
      <items count="7">
        <item x="3"/>
        <item x="2"/>
        <item x="0"/>
        <item x="4"/>
        <item x="5"/>
        <item x="1"/>
        <item t="default"/>
      </items>
    </pivotField>
    <pivotField axis="axisRow" showAll="0">
      <items count="7">
        <item x="0"/>
        <item x="2"/>
        <item x="3"/>
        <item x="1"/>
        <item x="5"/>
        <item x="4"/>
        <item t="default"/>
      </items>
    </pivotField>
    <pivotField showAll="0"/>
    <pivotField showAll="0">
      <items count="8">
        <item x="3"/>
        <item x="6"/>
        <item x="5"/>
        <item x="4"/>
        <item x="2"/>
        <item x="0"/>
        <item x="1"/>
        <item t="default"/>
      </items>
    </pivotField>
    <pivotField showAll="0">
      <items count="4">
        <item x="1"/>
        <item x="0"/>
        <item x="2"/>
        <item t="default"/>
      </items>
    </pivotField>
    <pivotField numFmtId="2" showAll="0"/>
    <pivotField dataField="1" showAll="0"/>
    <pivotField numFmtId="2" showAll="0"/>
    <pivotField dragToRow="0" dragToCol="0" dragToPage="0" showAll="0" defaultSubtotal="0"/>
    <pivotField dragToRow="0" dragToCol="0" dragToPage="0" showAll="0" defaultSubtotal="0"/>
    <pivotField dragToRow="0" dragToCol="0" dragToPage="0" showAll="0" defaultSubtotal="0"/>
  </pivotFields>
  <rowFields count="1">
    <field x="3"/>
  </rowFields>
  <rowItems count="6">
    <i>
      <x/>
    </i>
    <i>
      <x v="1"/>
    </i>
    <i>
      <x v="2"/>
    </i>
    <i>
      <x v="3"/>
    </i>
    <i>
      <x v="4"/>
    </i>
    <i>
      <x v="5"/>
    </i>
  </rowItems>
  <colFields count="1">
    <field x="2"/>
  </colFields>
  <colItems count="7">
    <i>
      <x/>
    </i>
    <i>
      <x v="1"/>
    </i>
    <i>
      <x v="2"/>
    </i>
    <i>
      <x v="3"/>
    </i>
    <i>
      <x v="4"/>
    </i>
    <i>
      <x v="5"/>
    </i>
    <i t="grand">
      <x/>
    </i>
  </colItems>
  <dataFields count="1">
    <dataField name="Sum of Units_Sold" fld="8" baseField="0" baseItem="0" numFmtId="1"/>
  </dataFields>
  <formats count="1">
    <format dxfId="32">
      <pivotArea outline="0" collapsedLevelsAreSubtotals="1" fieldPosition="0"/>
    </format>
  </formats>
  <pivotTableStyleInfo name="PivotStyleLight16" showRowHeaders="1" showColHeaders="1" showRowStripes="0" showColStripes="0" showLastColumn="1"/>
</pivotTableDefinition>
</file>

<file path=xl/pivotTables/pivotTable23.xml><?xml version="1.0" encoding="utf-8"?>
<pivotTableDefinition xmlns="http://schemas.openxmlformats.org/spreadsheetml/2006/main" name="HM_Revenue" cacheId="0" applyNumberFormats="0" applyBorderFormats="0" applyFontFormats="0" applyPatternFormats="0" applyAlignmentFormats="0" applyWidthHeightFormats="1" dataCaption="Values" updatedVersion="4" minRefreshableVersion="3" rowGrandTotals="0" itemPrintTitles="1" createdVersion="4" indent="0" outline="1" outlineData="1" multipleFieldFilters="0" chartFormat="13" rowHeaderCaption="Brand" colHeaderCaption="Type of Shoes">
  <location ref="A19:H26" firstHeaderRow="1" firstDataRow="2" firstDataCol="1"/>
  <pivotFields count="13">
    <pivotField showAll="0"/>
    <pivotField numFmtId="165" showAll="0">
      <items count="15">
        <item x="0"/>
        <item x="1"/>
        <item x="2"/>
        <item x="3"/>
        <item x="4"/>
        <item x="5"/>
        <item x="6"/>
        <item x="7"/>
        <item x="8"/>
        <item x="9"/>
        <item x="10"/>
        <item x="11"/>
        <item x="12"/>
        <item x="13"/>
        <item t="default"/>
      </items>
    </pivotField>
    <pivotField axis="axisCol" showAll="0" sortType="ascending">
      <items count="7">
        <item x="3"/>
        <item x="2"/>
        <item x="0"/>
        <item x="4"/>
        <item x="5"/>
        <item x="1"/>
        <item t="default"/>
      </items>
    </pivotField>
    <pivotField axis="axisRow" showAll="0">
      <items count="7">
        <item x="0"/>
        <item x="2"/>
        <item x="3"/>
        <item x="1"/>
        <item x="5"/>
        <item x="4"/>
        <item t="default"/>
      </items>
    </pivotField>
    <pivotField showAll="0"/>
    <pivotField showAll="0">
      <items count="8">
        <item x="3"/>
        <item x="6"/>
        <item x="5"/>
        <item x="4"/>
        <item x="2"/>
        <item x="0"/>
        <item x="1"/>
        <item t="default"/>
      </items>
    </pivotField>
    <pivotField showAll="0">
      <items count="4">
        <item x="1"/>
        <item x="0"/>
        <item x="2"/>
        <item t="default"/>
      </items>
    </pivotField>
    <pivotField numFmtId="2" showAll="0"/>
    <pivotField showAll="0"/>
    <pivotField dataField="1" numFmtId="2" showAll="0"/>
    <pivotField dragToRow="0" dragToCol="0" dragToPage="0" showAll="0" defaultSubtotal="0"/>
    <pivotField dragToRow="0" dragToCol="0" dragToPage="0" showAll="0" defaultSubtotal="0"/>
    <pivotField dragToRow="0" dragToCol="0" dragToPage="0" showAll="0" defaultSubtotal="0"/>
  </pivotFields>
  <rowFields count="1">
    <field x="3"/>
  </rowFields>
  <rowItems count="6">
    <i>
      <x/>
    </i>
    <i>
      <x v="1"/>
    </i>
    <i>
      <x v="2"/>
    </i>
    <i>
      <x v="3"/>
    </i>
    <i>
      <x v="4"/>
    </i>
    <i>
      <x v="5"/>
    </i>
  </rowItems>
  <colFields count="1">
    <field x="2"/>
  </colFields>
  <colItems count="7">
    <i>
      <x/>
    </i>
    <i>
      <x v="1"/>
    </i>
    <i>
      <x v="2"/>
    </i>
    <i>
      <x v="3"/>
    </i>
    <i>
      <x v="4"/>
    </i>
    <i>
      <x v="5"/>
    </i>
    <i t="grand">
      <x/>
    </i>
  </colItems>
  <dataFields count="1">
    <dataField name="Sum of Revenue_USD" fld="9" baseField="0" baseItem="0" numFmtId="167"/>
  </dataFields>
  <formats count="1">
    <format dxfId="33">
      <pivotArea outline="0" collapsedLevelsAreSubtotals="1" fieldPosition="0"/>
    </format>
  </formats>
  <pivotTableStyleInfo name="PivotStyleLight16" showRowHeaders="1" showColHeaders="1" showRowStripes="0" showColStripes="0" showLastColumn="1"/>
</pivotTableDefinition>
</file>

<file path=xl/pivotTables/pivotTable24.xml><?xml version="1.0" encoding="utf-8"?>
<pivotTableDefinition xmlns="http://schemas.openxmlformats.org/spreadsheetml/2006/main" name="HM_Sold_TypexColor" cacheId="0" applyNumberFormats="0" applyBorderFormats="0" applyFontFormats="0" applyPatternFormats="0" applyAlignmentFormats="0" applyWidthHeightFormats="1" dataCaption="Values" updatedVersion="4" minRefreshableVersion="3" rowGrandTotals="0" itemPrintTitles="1" createdVersion="4" indent="0" outline="1" outlineData="1" multipleFieldFilters="0" chartFormat="13" rowHeaderCaption="Brand" colHeaderCaption="Type of Shoes">
  <location ref="J1:Q8" firstHeaderRow="1" firstDataRow="2" firstDataCol="1"/>
  <pivotFields count="13">
    <pivotField showAll="0"/>
    <pivotField numFmtId="165" showAll="0">
      <items count="15">
        <item x="0"/>
        <item x="1"/>
        <item x="2"/>
        <item x="3"/>
        <item x="4"/>
        <item x="5"/>
        <item x="6"/>
        <item x="7"/>
        <item x="8"/>
        <item x="9"/>
        <item x="10"/>
        <item x="11"/>
        <item x="12"/>
        <item x="13"/>
        <item t="default"/>
      </items>
    </pivotField>
    <pivotField showAll="0" sortType="ascending">
      <items count="7">
        <item x="3"/>
        <item x="2"/>
        <item x="0"/>
        <item x="4"/>
        <item x="5"/>
        <item x="1"/>
        <item t="default"/>
      </items>
    </pivotField>
    <pivotField axis="axisCol" showAll="0">
      <items count="7">
        <item x="0"/>
        <item x="2"/>
        <item x="3"/>
        <item x="1"/>
        <item x="5"/>
        <item x="4"/>
        <item t="default"/>
      </items>
    </pivotField>
    <pivotField axis="axisRow" showAll="0" sortType="descending">
      <items count="7">
        <item x="2"/>
        <item x="4"/>
        <item x="1"/>
        <item x="3"/>
        <item x="0"/>
        <item x="5"/>
        <item t="default"/>
      </items>
    </pivotField>
    <pivotField showAll="0">
      <items count="8">
        <item x="3"/>
        <item x="6"/>
        <item x="5"/>
        <item x="4"/>
        <item x="2"/>
        <item x="0"/>
        <item x="1"/>
        <item t="default"/>
      </items>
    </pivotField>
    <pivotField showAll="0">
      <items count="4">
        <item x="1"/>
        <item x="0"/>
        <item x="2"/>
        <item t="default"/>
      </items>
    </pivotField>
    <pivotField numFmtId="2" showAll="0"/>
    <pivotField dataField="1" showAll="0"/>
    <pivotField numFmtId="2" showAll="0"/>
    <pivotField dragToRow="0" dragToCol="0" dragToPage="0" showAll="0" defaultSubtotal="0"/>
    <pivotField dragToRow="0" dragToCol="0" dragToPage="0" showAll="0" defaultSubtotal="0"/>
    <pivotField dragToRow="0" dragToCol="0" dragToPage="0" showAll="0" defaultSubtotal="0"/>
  </pivotFields>
  <rowFields count="1">
    <field x="4"/>
  </rowFields>
  <rowItems count="6">
    <i>
      <x/>
    </i>
    <i>
      <x v="1"/>
    </i>
    <i>
      <x v="2"/>
    </i>
    <i>
      <x v="3"/>
    </i>
    <i>
      <x v="4"/>
    </i>
    <i>
      <x v="5"/>
    </i>
  </rowItems>
  <colFields count="1">
    <field x="3"/>
  </colFields>
  <colItems count="7">
    <i>
      <x/>
    </i>
    <i>
      <x v="1"/>
    </i>
    <i>
      <x v="2"/>
    </i>
    <i>
      <x v="3"/>
    </i>
    <i>
      <x v="4"/>
    </i>
    <i>
      <x v="5"/>
    </i>
    <i t="grand">
      <x/>
    </i>
  </colItems>
  <dataFields count="1">
    <dataField name="Sum of Units_Sold" fld="8" baseField="0" baseItem="0"/>
  </dataFields>
  <formats count="1">
    <format dxfId="34">
      <pivotArea outline="0" collapsedLevelsAreSubtotals="1" fieldPosition="0"/>
    </format>
  </formats>
  <pivotTableStyleInfo name="PivotStyleLight16" showRowHeaders="1" showColHeaders="1" showRowStripes="0" showColStripes="0" showLastColumn="1"/>
</pivotTableDefinition>
</file>

<file path=xl/pivotTables/pivotTable25.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36" rowHeaderCaption="Months">
  <location ref="X2:Z14" firstHeaderRow="0" firstDataRow="1" firstDataCol="1"/>
  <pivotFields count="13">
    <pivotField dataField="1" showAll="0"/>
    <pivotField axis="axisRow" numFmtId="14" showAll="0">
      <items count="15">
        <item x="0"/>
        <item x="1"/>
        <item x="2"/>
        <item x="3"/>
        <item x="4"/>
        <item x="5"/>
        <item x="6"/>
        <item x="7"/>
        <item x="8"/>
        <item x="9"/>
        <item x="10"/>
        <item x="11"/>
        <item x="12"/>
        <item x="13"/>
        <item t="default"/>
      </items>
    </pivotField>
    <pivotField showAll="0">
      <items count="7">
        <item x="3"/>
        <item x="2"/>
        <item x="0"/>
        <item x="4"/>
        <item x="5"/>
        <item x="1"/>
        <item t="default"/>
      </items>
    </pivotField>
    <pivotField showAll="0"/>
    <pivotField showAll="0"/>
    <pivotField outline="0" showAll="0">
      <items count="8">
        <item x="1"/>
        <item x="0"/>
        <item x="2"/>
        <item x="4"/>
        <item x="5"/>
        <item x="6"/>
        <item x="3"/>
        <item t="default"/>
      </items>
    </pivotField>
    <pivotField showAll="0">
      <items count="4">
        <item x="1"/>
        <item x="0"/>
        <item x="2"/>
        <item t="default"/>
      </items>
    </pivotField>
    <pivotField numFmtId="2" showAll="0"/>
    <pivotField showAll="0"/>
    <pivotField dataField="1" numFmtId="2" showAll="0"/>
    <pivotField dragToRow="0" dragToCol="0" dragToPage="0" showAll="0" defaultSubtotal="0"/>
    <pivotField dragToRow="0" dragToCol="0" dragToPage="0" showAll="0" defaultSubtotal="0"/>
    <pivotField dragToRow="0" dragToCol="0" dragToPage="0" showAll="0" defaultSubtotal="0"/>
  </pivotFields>
  <rowFields count="1">
    <field x="1"/>
  </rowFields>
  <rowItems count="12">
    <i>
      <x v="1"/>
    </i>
    <i>
      <x v="2"/>
    </i>
    <i>
      <x v="3"/>
    </i>
    <i>
      <x v="4"/>
    </i>
    <i>
      <x v="5"/>
    </i>
    <i>
      <x v="6"/>
    </i>
    <i>
      <x v="7"/>
    </i>
    <i>
      <x v="8"/>
    </i>
    <i>
      <x v="9"/>
    </i>
    <i>
      <x v="10"/>
    </i>
    <i>
      <x v="11"/>
    </i>
    <i>
      <x v="12"/>
    </i>
  </rowItems>
  <colFields count="1">
    <field x="-2"/>
  </colFields>
  <colItems count="2">
    <i>
      <x/>
    </i>
    <i i="1">
      <x v="1"/>
    </i>
  </colItems>
  <dataFields count="2">
    <dataField name="Total Transaction" fld="0" subtotal="count" baseField="0" baseItem="0" numFmtId="1"/>
    <dataField name="Total Revenue" fld="9" baseField="0" baseItem="0" numFmtId="182"/>
  </dataFields>
  <formats count="4">
    <format dxfId="15">
      <pivotArea type="all" dataOnly="0" outline="0" fieldPosition="0"/>
    </format>
    <format dxfId="14">
      <pivotArea outline="0" collapsedLevelsAreSubtotals="1" fieldPosition="0"/>
    </format>
    <format dxfId="13">
      <pivotArea outline="0" collapsedLevelsAreSubtotals="1" fieldPosition="0">
        <references count="1">
          <reference field="4294967294" count="1" selected="0">
            <x v="1"/>
          </reference>
        </references>
      </pivotArea>
    </format>
    <format dxfId="12">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6.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36" rowHeaderCaption="Months">
  <location ref="U2:V14" firstHeaderRow="1" firstDataRow="1" firstDataCol="1"/>
  <pivotFields count="13">
    <pivotField showAll="0"/>
    <pivotField axis="axisRow" numFmtId="14" showAll="0">
      <items count="15">
        <item x="0"/>
        <item x="1"/>
        <item x="2"/>
        <item x="3"/>
        <item x="4"/>
        <item x="5"/>
        <item x="6"/>
        <item x="7"/>
        <item x="8"/>
        <item x="9"/>
        <item x="10"/>
        <item x="11"/>
        <item x="12"/>
        <item x="13"/>
        <item t="default"/>
      </items>
    </pivotField>
    <pivotField showAll="0">
      <items count="7">
        <item x="3"/>
        <item x="2"/>
        <item x="0"/>
        <item x="4"/>
        <item x="5"/>
        <item x="1"/>
        <item t="default"/>
      </items>
    </pivotField>
    <pivotField showAll="0"/>
    <pivotField showAll="0"/>
    <pivotField outline="0" showAll="0">
      <items count="8">
        <item x="1"/>
        <item x="0"/>
        <item x="2"/>
        <item x="4"/>
        <item x="5"/>
        <item x="6"/>
        <item x="3"/>
        <item t="default"/>
      </items>
    </pivotField>
    <pivotField showAll="0">
      <items count="4">
        <item x="1"/>
        <item x="0"/>
        <item x="2"/>
        <item t="default"/>
      </items>
    </pivotField>
    <pivotField numFmtId="2" showAll="0"/>
    <pivotField showAll="0"/>
    <pivotField dataField="1" numFmtId="2" showAll="0"/>
    <pivotField dragToRow="0" dragToCol="0" dragToPage="0" showAll="0" defaultSubtotal="0"/>
    <pivotField dragToRow="0" dragToCol="0" dragToPage="0" showAll="0" defaultSubtotal="0"/>
    <pivotField dragToRow="0" dragToCol="0" dragToPage="0" showAll="0" defaultSubtotal="0"/>
  </pivotFields>
  <rowFields count="1">
    <field x="1"/>
  </rowFields>
  <rowItems count="12">
    <i>
      <x v="1"/>
    </i>
    <i>
      <x v="2"/>
    </i>
    <i>
      <x v="3"/>
    </i>
    <i>
      <x v="4"/>
    </i>
    <i>
      <x v="5"/>
    </i>
    <i>
      <x v="6"/>
    </i>
    <i>
      <x v="7"/>
    </i>
    <i>
      <x v="8"/>
    </i>
    <i>
      <x v="9"/>
    </i>
    <i>
      <x v="10"/>
    </i>
    <i>
      <x v="11"/>
    </i>
    <i>
      <x v="12"/>
    </i>
  </rowItems>
  <colItems count="1">
    <i/>
  </colItems>
  <dataFields count="1">
    <dataField name="Total Revenue " fld="9" baseField="0" baseItem="0" numFmtId="181"/>
  </dataFields>
  <formats count="3">
    <format dxfId="18">
      <pivotArea type="all" dataOnly="0" outline="0" fieldPosition="0"/>
    </format>
    <format dxfId="17">
      <pivotArea type="all" dataOnly="0" outline="0" fieldPosition="0"/>
    </format>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7.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36" rowHeaderCaption="Months">
  <location ref="Q2:S14" firstHeaderRow="0" firstDataRow="1" firstDataCol="1"/>
  <pivotFields count="13">
    <pivotField showAll="0"/>
    <pivotField axis="axisRow" numFmtId="14" showAll="0">
      <items count="15">
        <item x="0"/>
        <item x="1"/>
        <item x="2"/>
        <item x="3"/>
        <item x="4"/>
        <item x="5"/>
        <item x="6"/>
        <item x="7"/>
        <item x="8"/>
        <item x="9"/>
        <item x="10"/>
        <item x="11"/>
        <item x="12"/>
        <item x="13"/>
        <item t="default"/>
      </items>
    </pivotField>
    <pivotField showAll="0">
      <items count="7">
        <item x="3"/>
        <item x="2"/>
        <item x="0"/>
        <item x="4"/>
        <item x="5"/>
        <item x="1"/>
        <item t="default"/>
      </items>
    </pivotField>
    <pivotField showAll="0"/>
    <pivotField showAll="0"/>
    <pivotField outline="0" showAll="0">
      <items count="8">
        <item x="1"/>
        <item x="0"/>
        <item x="2"/>
        <item x="4"/>
        <item x="5"/>
        <item x="6"/>
        <item x="3"/>
        <item t="default"/>
      </items>
    </pivotField>
    <pivotField showAll="0">
      <items count="4">
        <item x="1"/>
        <item x="0"/>
        <item x="2"/>
        <item t="default"/>
      </items>
    </pivotField>
    <pivotField numFmtId="2" showAll="0"/>
    <pivotField showAll="0"/>
    <pivotField dataField="1" numFmtId="2" showAll="0"/>
    <pivotField dragToRow="0" dragToCol="0" dragToPage="0" showAll="0" defaultSubtotal="0"/>
    <pivotField dataField="1" dragToRow="0" dragToCol="0" dragToPage="0" showAll="0" defaultSubtotal="0"/>
    <pivotField dragToRow="0" dragToCol="0" dragToPage="0" showAll="0" defaultSubtotal="0"/>
  </pivotFields>
  <rowFields count="1">
    <field x="1"/>
  </rowFields>
  <rowItems count="12">
    <i>
      <x v="1"/>
    </i>
    <i>
      <x v="2"/>
    </i>
    <i>
      <x v="3"/>
    </i>
    <i>
      <x v="4"/>
    </i>
    <i>
      <x v="5"/>
    </i>
    <i>
      <x v="6"/>
    </i>
    <i>
      <x v="7"/>
    </i>
    <i>
      <x v="8"/>
    </i>
    <i>
      <x v="9"/>
    </i>
    <i>
      <x v="10"/>
    </i>
    <i>
      <x v="11"/>
    </i>
    <i>
      <x v="12"/>
    </i>
  </rowItems>
  <colFields count="1">
    <field x="-2"/>
  </colFields>
  <colItems count="2">
    <i>
      <x/>
    </i>
    <i i="1">
      <x v="1"/>
    </i>
  </colItems>
  <dataFields count="2">
    <dataField name="AVG Rev per Transaction" fld="9" subtotal="average" baseField="0" baseItem="0"/>
    <dataField name="AVG Rev per Product" fld="11" baseField="0" baseItem="0" numFmtId="2"/>
  </dataFields>
  <formats count="3">
    <format dxfId="21">
      <pivotArea type="all" dataOnly="0" outline="0" fieldPosition="0"/>
    </format>
    <format dxfId="20">
      <pivotArea type="all" dataOnly="0" outline="0" fieldPosition="0"/>
    </format>
    <format dxfId="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8.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36" rowHeaderCaption="Months">
  <location ref="M2:O14" firstHeaderRow="0" firstDataRow="1" firstDataCol="1"/>
  <pivotFields count="13">
    <pivotField dataField="1" showAll="0"/>
    <pivotField axis="axisRow" numFmtId="14" showAll="0">
      <items count="15">
        <item x="0"/>
        <item x="1"/>
        <item x="2"/>
        <item x="3"/>
        <item x="4"/>
        <item x="5"/>
        <item x="6"/>
        <item x="7"/>
        <item x="8"/>
        <item x="9"/>
        <item x="10"/>
        <item x="11"/>
        <item x="12"/>
        <item x="13"/>
        <item t="default"/>
      </items>
    </pivotField>
    <pivotField showAll="0">
      <items count="7">
        <item x="3"/>
        <item x="2"/>
        <item x="0"/>
        <item x="4"/>
        <item x="5"/>
        <item x="1"/>
        <item t="default"/>
      </items>
    </pivotField>
    <pivotField showAll="0"/>
    <pivotField showAll="0"/>
    <pivotField outline="0" showAll="0">
      <items count="8">
        <item x="1"/>
        <item x="0"/>
        <item x="2"/>
        <item x="4"/>
        <item x="5"/>
        <item x="6"/>
        <item x="3"/>
        <item t="default"/>
      </items>
    </pivotField>
    <pivotField showAll="0">
      <items count="4">
        <item x="1"/>
        <item x="0"/>
        <item x="2"/>
        <item t="default"/>
      </items>
    </pivotField>
    <pivotField numFmtId="2" showAll="0"/>
    <pivotField dataField="1" showAll="0"/>
    <pivotField numFmtId="2" showAll="0"/>
    <pivotField dragToRow="0" dragToCol="0" dragToPage="0" showAll="0" defaultSubtotal="0"/>
    <pivotField dragToRow="0" dragToCol="0" dragToPage="0" showAll="0" defaultSubtotal="0"/>
    <pivotField dragToRow="0" dragToCol="0" dragToPage="0" showAll="0" defaultSubtotal="0"/>
  </pivotFields>
  <rowFields count="1">
    <field x="1"/>
  </rowFields>
  <rowItems count="12">
    <i>
      <x v="1"/>
    </i>
    <i>
      <x v="2"/>
    </i>
    <i>
      <x v="3"/>
    </i>
    <i>
      <x v="4"/>
    </i>
    <i>
      <x v="5"/>
    </i>
    <i>
      <x v="6"/>
    </i>
    <i>
      <x v="7"/>
    </i>
    <i>
      <x v="8"/>
    </i>
    <i>
      <x v="9"/>
    </i>
    <i>
      <x v="10"/>
    </i>
    <i>
      <x v="11"/>
    </i>
    <i>
      <x v="12"/>
    </i>
  </rowItems>
  <colFields count="1">
    <field x="-2"/>
  </colFields>
  <colItems count="2">
    <i>
      <x/>
    </i>
    <i i="1">
      <x v="1"/>
    </i>
  </colItems>
  <dataFields count="2">
    <dataField name="Total Transaction" fld="0" subtotal="count" baseField="0" baseItem="0"/>
    <dataField name="Total Units Sold" fld="8" baseField="0" baseItem="0"/>
  </dataFields>
  <formats count="3">
    <format dxfId="24">
      <pivotArea type="all" dataOnly="0" outline="0" fieldPosition="0"/>
    </format>
    <format dxfId="23">
      <pivotArea outline="0" collapsedLevelsAreSubtotals="1" fieldPosition="0"/>
    </format>
    <format dxfId="22">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Brand" sourceName="Brand">
  <pivotTables>
    <pivotTable tabId="16" name="KPI_Monthly Growth"/>
    <pivotTable tabId="16" name="KPI_Best Month"/>
    <pivotTable tabId="16" name="KPI1_Monthly Growth"/>
    <pivotTable tabId="16" name="KPI_Best Country"/>
    <pivotTable tabId="16" name="KPI_Total Revenue"/>
    <pivotTable tabId="16" name="KPI_Total Sold"/>
    <pivotTable tabId="16" name="KPI_Total Transaction"/>
    <pivotTable tabId="13" name="Mtrik_Monthly Growth"/>
    <pivotTable tabId="13" name="Mtrk_Monthly Revenue"/>
    <pivotTable tabId="13" name="Mtrks_Country Contribution"/>
    <pivotTable tabId="13" name="Mtrks_Channel_Rev"/>
    <pivotTable tabId="20" name="Scatter Plot"/>
    <pivotTable tabId="16" name="PivotTable2"/>
    <pivotTable tabId="15" name="HM_Sold_by_Brand"/>
    <pivotTable tabId="15" name="HM_Sold_TypexColor"/>
    <pivotTable tabId="13" name="mtrk_TypeofShoe"/>
    <pivotTable tabId="15" name="HM_Revenue"/>
    <pivotTable tabId="16" name="PivotTable3"/>
    <pivotTable tabId="16" name="PivotTable5"/>
    <pivotTable tabId="16" name="KPI_AVG Monthly rev"/>
    <pivotTable tabId="13" name="PivotTable1"/>
    <pivotTable tabId="30" name="PivotTable3"/>
    <pivotTable tabId="15" name="PivotTable1"/>
    <pivotTable tabId="30" name="PivotTable1"/>
    <pivotTable tabId="30" name="PivotTable2"/>
    <pivotTable tabId="30" name="PivotTable4"/>
  </pivotTables>
  <data>
    <tabular pivotCacheId="1" crossFilter="showItemsWithNoData">
      <items count="6">
        <i x="3" s="1"/>
        <i x="2" s="1"/>
        <i x="0" s="1"/>
        <i x="4" s="1"/>
        <i x="5"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ate" sourceName="Date">
  <pivotTables>
    <pivotTable tabId="13" name="Mtrks_Channel_Rev"/>
    <pivotTable tabId="16" name="KPI_Best Country"/>
    <pivotTable tabId="16" name="KPI_Monthly Growth"/>
    <pivotTable tabId="16" name="KPI_Total Revenue"/>
    <pivotTable tabId="16" name="KPI_Total Sold"/>
    <pivotTable tabId="16" name="KPI_Total Transaction"/>
    <pivotTable tabId="13" name="Mtks_Brand Rev Performance"/>
    <pivotTable tabId="13" name="Mtrks_Country Contribution"/>
    <pivotTable tabId="15" name="HM_Sold_by_Brand"/>
    <pivotTable tabId="15" name="HM_Sold_TypexColor"/>
    <pivotTable tabId="13" name="mtrk_TypeofShoe"/>
    <pivotTable tabId="15" name="HM_Revenue"/>
    <pivotTable tabId="16" name="PivotTable3"/>
    <pivotTable tabId="16" name="PivotTable5"/>
    <pivotTable tabId="16" name="KPI_AVG Monthly rev"/>
    <pivotTable tabId="30" name="PivotTable3"/>
    <pivotTable tabId="15" name="PivotTable1"/>
    <pivotTable tabId="30" name="PivotTable1"/>
    <pivotTable tabId="30" name="PivotTable2"/>
    <pivotTable tabId="30" name="PivotTable4"/>
  </pivotTables>
  <data>
    <tabular pivotCacheId="1" crossFilter="showItemsWithNoData">
      <items count="14">
        <i x="1" s="1"/>
        <i x="2" s="1"/>
        <i x="3" s="1"/>
        <i x="4" s="1"/>
        <i x="5" s="1"/>
        <i x="6" s="1"/>
        <i x="7" s="1"/>
        <i x="8" s="1"/>
        <i x="9" s="1"/>
        <i x="10" s="1"/>
        <i x="11" s="1"/>
        <i x="12" s="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ountry" sourceName="Country">
  <pivotTables>
    <pivotTable tabId="13" name="Mtrks_Channel_Rev"/>
    <pivotTable tabId="16" name="KPI_Best Country"/>
    <pivotTable tabId="16" name="KPI_Best Month"/>
    <pivotTable tabId="16" name="KPI_Monthly Growth"/>
    <pivotTable tabId="16" name="KPI1_Monthly Growth"/>
    <pivotTable tabId="16" name="KPI_Total Revenue"/>
    <pivotTable tabId="16" name="KPI_Total Sold"/>
    <pivotTable tabId="16" name="KPI_Total Transaction"/>
    <pivotTable tabId="13" name="Mtks_Brand Rev Performance"/>
    <pivotTable tabId="13" name="Mtrik_Monthly Growth"/>
    <pivotTable tabId="13" name="Mtrk_Monthly Revenue"/>
    <pivotTable tabId="15" name="HM_Sold_by_Brand"/>
    <pivotTable tabId="15" name="HM_Sold_TypexColor"/>
    <pivotTable tabId="20" name="Scatter Plot"/>
    <pivotTable tabId="16" name="PivotTable2"/>
    <pivotTable tabId="13" name="mtrk_TypeofShoe"/>
    <pivotTable tabId="15" name="HM_Revenue"/>
    <pivotTable tabId="16" name="PivotTable3"/>
    <pivotTable tabId="16" name="PivotTable5"/>
    <pivotTable tabId="16" name="KPI_AVG Monthly rev"/>
    <pivotTable tabId="13" name="PivotTable1"/>
    <pivotTable tabId="15" name="PivotTable1"/>
  </pivotTables>
  <data>
    <tabular pivotCacheId="1" crossFilter="showItemsWithNoData">
      <items count="7">
        <i x="3" s="1"/>
        <i x="6" s="1"/>
        <i x="5" s="1"/>
        <i x="4" s="1"/>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Sales_Channel" sourceName="Sales_Channel">
  <pivotTables>
    <pivotTable tabId="16" name="KPI_Best Country"/>
    <pivotTable tabId="16" name="KPI_Best Month"/>
    <pivotTable tabId="16" name="KPI_Monthly Growth"/>
    <pivotTable tabId="16" name="KPI_Total Revenue"/>
    <pivotTable tabId="16" name="KPI_Total Sold"/>
    <pivotTable tabId="16" name="KPI_Total Transaction"/>
    <pivotTable tabId="16" name="KPI1_Monthly Growth"/>
    <pivotTable tabId="13" name="Mtks_Brand Rev Performance"/>
    <pivotTable tabId="13" name="Mtrik_Monthly Growth"/>
    <pivotTable tabId="13" name="Mtrk_Monthly Revenue"/>
    <pivotTable tabId="13" name="Mtrks_Country Contribution"/>
    <pivotTable tabId="15" name="HM_Sold_by_Brand"/>
    <pivotTable tabId="15" name="HM_Sold_TypexColor"/>
    <pivotTable tabId="20" name="Scatter Plot"/>
    <pivotTable tabId="13" name="mtrk_TypeofShoe"/>
    <pivotTable tabId="15" name="HM_Revenue"/>
    <pivotTable tabId="16" name="PivotTable3"/>
    <pivotTable tabId="16" name="PivotTable2"/>
    <pivotTable tabId="16" name="PivotTable5"/>
    <pivotTable tabId="16" name="KPI_AVG Monthly rev"/>
    <pivotTable tabId="13" name="PivotTable1"/>
    <pivotTable tabId="30" name="PivotTable3"/>
    <pivotTable tabId="15" name="PivotTable1"/>
    <pivotTable tabId="30" name="PivotTable1"/>
    <pivotTable tabId="30" name="PivotTable2"/>
    <pivotTable tabId="30" name="PivotTable4"/>
  </pivotTables>
  <data>
    <tabular pivotCacheId="1" crossFilter="showItemsWithNoData">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Brand 1" cache="Slicer_Brand" caption="Brand" style="SlicerStyleLight1 2" rowHeight="1260000"/>
  <slicer name="Date" cache="Slicer_Date" caption="Month" columnCount="2" style="SlicerStyleLight1 2" rowHeight="1260000"/>
  <slicer name="Country" cache="Slicer_Country" caption="Country" style="SlicerStyleLight1 2" rowHeight="1260000"/>
  <slicer name="Sales_Channel" cache="Slicer_Sales_Channel" caption="Channel" style="SlicerStyleLight1 2" rowHeight="1260000"/>
</slicers>
</file>

<file path=xl/tables/table1.xml><?xml version="1.0" encoding="utf-8"?>
<table xmlns="http://schemas.openxmlformats.org/spreadsheetml/2006/main" id="2" name="Table1.Sales_Data" displayName="Table1.Sales_Data" ref="A1:J1007" totalsRowShown="0">
  <autoFilter ref="A1:J1007"/>
  <tableColumns count="10">
    <tableColumn id="1" name="Sale_ID">
      <calculatedColumnFormula>'Data Cleaning'!A2</calculatedColumnFormula>
    </tableColumn>
    <tableColumn id="2" name="Date" dataDxfId="138">
      <calculatedColumnFormula>'Data Cleaning'!B2</calculatedColumnFormula>
    </tableColumn>
    <tableColumn id="3" name="Brand">
      <calculatedColumnFormula>'Data Cleaning'!C2</calculatedColumnFormula>
    </tableColumn>
    <tableColumn id="4" name="Shoe_Type">
      <calculatedColumnFormula>'Data Cleaning'!D2</calculatedColumnFormula>
    </tableColumn>
    <tableColumn id="5" name="Color">
      <calculatedColumnFormula>'Data Cleaning'!E2</calculatedColumnFormula>
    </tableColumn>
    <tableColumn id="6" name="Country">
      <calculatedColumnFormula>'Data Cleaning'!F2</calculatedColumnFormula>
    </tableColumn>
    <tableColumn id="7" name="Sales_Channel">
      <calculatedColumnFormula>'Data Cleaning'!G2</calculatedColumnFormula>
    </tableColumn>
    <tableColumn id="8" name="Price_USD" dataDxfId="137">
      <calculatedColumnFormula>'Data Cleaning'!H2</calculatedColumnFormula>
    </tableColumn>
    <tableColumn id="9" name="Units_Sold">
      <calculatedColumnFormula>'Data Cleaning'!I2</calculatedColumnFormula>
    </tableColumn>
    <tableColumn id="10" name="Revenue_USD" dataDxfId="136">
      <calculatedColumnFormula>'Data Cleaning'!J2</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1" name="Table1" displayName="Table1" ref="R18:T30" totalsRowShown="0" headerRowBorderDxfId="70" tableBorderDxfId="69" totalsRowBorderDxfId="68">
  <autoFilter ref="R18:T30"/>
  <tableColumns count="3">
    <tableColumn id="1" name="Month" dataDxfId="67"/>
    <tableColumn id="2" name="Revenue Growth" dataDxfId="66" dataCellStyle="Percent">
      <calculatedColumnFormula>IFERROR(VLOOKUP(R19,$R$3:$T$14,3,0),NA())</calculatedColumnFormula>
    </tableColumn>
    <tableColumn id="3" name="Peak Month" dataDxfId="65">
      <calculatedColumnFormula>IF(S19=MAX($S$19:$S$30),R19,0)</calculatedColumnFormula>
    </tableColumn>
  </tableColumns>
  <tableStyleInfo name="TableStyleMedium2" showFirstColumn="0" showLastColumn="0" showRowStripes="1" showColumnStripes="0"/>
</table>
</file>

<file path=xl/tables/table3.xml><?xml version="1.0" encoding="utf-8"?>
<table xmlns="http://schemas.openxmlformats.org/spreadsheetml/2006/main" id="3" name="Table3" displayName="Table3" ref="A1:K1007" totalsRowShown="0" tableBorderDxfId="11">
  <autoFilter ref="A1:K1007"/>
  <tableColumns count="11">
    <tableColumn id="1" name="Sale_ID" dataDxfId="10"/>
    <tableColumn id="2" name="Date" dataDxfId="9"/>
    <tableColumn id="3" name="Brand" dataDxfId="8"/>
    <tableColumn id="4" name="Shoe_Type" dataDxfId="7"/>
    <tableColumn id="5" name="Color" dataDxfId="6"/>
    <tableColumn id="6" name="Country" dataDxfId="5"/>
    <tableColumn id="7" name="Sales_Channel" dataDxfId="4"/>
    <tableColumn id="8" name="Price_USD" dataDxfId="3"/>
    <tableColumn id="9" name="Units_Sold" dataDxfId="2"/>
    <tableColumn id="10" name="Revenue_USD" dataDxfId="1"/>
    <tableColumn id="11" name="Day">
      <calculatedColumnFormula>TEXT(B2,"dddd")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printerSettings" Target="../printerSettings/printerSettings3.bin"/><Relationship Id="rId3" Type="http://schemas.openxmlformats.org/officeDocument/2006/relationships/pivotTable" Target="../pivotTables/pivotTable15.xml"/><Relationship Id="rId7" Type="http://schemas.openxmlformats.org/officeDocument/2006/relationships/pivotTable" Target="../pivotTables/pivotTable19.xml"/><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openxmlformats.org/officeDocument/2006/relationships/pivotTable" Target="../pivotTables/pivotTable18.xml"/><Relationship Id="rId5" Type="http://schemas.openxmlformats.org/officeDocument/2006/relationships/pivotTable" Target="../pivotTables/pivotTable17.xml"/><Relationship Id="rId4" Type="http://schemas.openxmlformats.org/officeDocument/2006/relationships/pivotTable" Target="../pivotTables/pivotTable16.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0.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23.xml"/><Relationship Id="rId2" Type="http://schemas.openxmlformats.org/officeDocument/2006/relationships/pivotTable" Target="../pivotTables/pivotTable22.xml"/><Relationship Id="rId1" Type="http://schemas.openxmlformats.org/officeDocument/2006/relationships/pivotTable" Target="../pivotTables/pivotTable21.xml"/><Relationship Id="rId5" Type="http://schemas.openxmlformats.org/officeDocument/2006/relationships/drawing" Target="../drawings/drawing3.xml"/><Relationship Id="rId4" Type="http://schemas.openxmlformats.org/officeDocument/2006/relationships/pivotTable" Target="../pivotTables/pivotTable24.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27.xml"/><Relationship Id="rId2" Type="http://schemas.openxmlformats.org/officeDocument/2006/relationships/pivotTable" Target="../pivotTables/pivotTable26.xml"/><Relationship Id="rId1" Type="http://schemas.openxmlformats.org/officeDocument/2006/relationships/pivotTable" Target="../pivotTables/pivotTable25.xml"/><Relationship Id="rId6" Type="http://schemas.openxmlformats.org/officeDocument/2006/relationships/table" Target="../tables/table3.xml"/><Relationship Id="rId5" Type="http://schemas.openxmlformats.org/officeDocument/2006/relationships/printerSettings" Target="../printerSettings/printerSettings4.bin"/><Relationship Id="rId4" Type="http://schemas.openxmlformats.org/officeDocument/2006/relationships/pivotTable" Target="../pivotTables/pivotTable28.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79998168889431442"/>
  </sheetPr>
  <dimension ref="A1:U1007"/>
  <sheetViews>
    <sheetView zoomScale="90" zoomScaleNormal="90" workbookViewId="0">
      <selection activeCell="D25" sqref="D25"/>
    </sheetView>
  </sheetViews>
  <sheetFormatPr defaultRowHeight="15" x14ac:dyDescent="0.25"/>
  <cols>
    <col min="1" max="1" width="9.85546875" bestFit="1" customWidth="1"/>
    <col min="2" max="2" width="18" customWidth="1"/>
    <col min="3" max="3" width="12.42578125" bestFit="1" customWidth="1"/>
    <col min="4" max="4" width="13" bestFit="1" customWidth="1"/>
    <col min="5" max="5" width="8" bestFit="1" customWidth="1"/>
    <col min="6" max="6" width="12" bestFit="1" customWidth="1"/>
    <col min="7" max="7" width="16.28515625" bestFit="1" customWidth="1"/>
    <col min="8" max="8" width="12.42578125" style="2" bestFit="1" customWidth="1"/>
    <col min="9" max="9" width="12.85546875" bestFit="1" customWidth="1"/>
    <col min="10" max="10" width="16" style="2" bestFit="1" customWidth="1"/>
    <col min="12" max="12" width="8.28515625" customWidth="1"/>
    <col min="13" max="13" width="19.85546875" customWidth="1"/>
    <col min="14" max="15" width="15.28515625" customWidth="1"/>
    <col min="16" max="16" width="2.28515625" customWidth="1"/>
    <col min="17" max="17" width="15.28515625" customWidth="1"/>
    <col min="18" max="21" width="21.140625" customWidth="1"/>
  </cols>
  <sheetData>
    <row r="1" spans="1:21" x14ac:dyDescent="0.25">
      <c r="A1" s="107" t="s">
        <v>0</v>
      </c>
      <c r="B1" s="107" t="s">
        <v>1</v>
      </c>
      <c r="C1" s="107" t="s">
        <v>2</v>
      </c>
      <c r="D1" s="107" t="s">
        <v>3</v>
      </c>
      <c r="E1" s="107" t="s">
        <v>4</v>
      </c>
      <c r="F1" s="107" t="s">
        <v>5</v>
      </c>
      <c r="G1" s="107" t="s">
        <v>6</v>
      </c>
      <c r="H1" s="108" t="s">
        <v>7</v>
      </c>
      <c r="I1" s="107" t="s">
        <v>8</v>
      </c>
      <c r="J1" s="108" t="s">
        <v>9</v>
      </c>
      <c r="L1" s="230" t="s">
        <v>1106</v>
      </c>
      <c r="M1" s="230"/>
      <c r="Q1" s="3" t="s">
        <v>537</v>
      </c>
      <c r="R1" s="3" t="s">
        <v>538</v>
      </c>
      <c r="S1" s="3" t="s">
        <v>539</v>
      </c>
      <c r="T1" s="3" t="s">
        <v>542</v>
      </c>
      <c r="U1" s="3" t="s">
        <v>540</v>
      </c>
    </row>
    <row r="2" spans="1:21" x14ac:dyDescent="0.25">
      <c r="A2" s="109" t="s">
        <v>10</v>
      </c>
      <c r="B2" s="112">
        <v>45985</v>
      </c>
      <c r="C2" s="109" t="s">
        <v>11</v>
      </c>
      <c r="D2" s="109" t="s">
        <v>12</v>
      </c>
      <c r="E2" s="109" t="s">
        <v>13</v>
      </c>
      <c r="F2" s="109" t="s">
        <v>14</v>
      </c>
      <c r="G2" s="109" t="s">
        <v>15</v>
      </c>
      <c r="H2" s="110">
        <v>112.4</v>
      </c>
      <c r="I2" s="109">
        <v>4</v>
      </c>
      <c r="J2" s="110">
        <v>449.6</v>
      </c>
      <c r="L2" s="24" t="s">
        <v>1101</v>
      </c>
      <c r="M2" s="24">
        <f>_xlfn.QUARTILE.INC('Data Cleaning'!$H$2:$H$1007,1)</f>
        <v>81.365000000000009</v>
      </c>
      <c r="Q2" s="107" t="s">
        <v>0</v>
      </c>
      <c r="R2" s="24">
        <f>COUNTA(INDEX($A$2:$J$1007,0,MATCH(Q2,$A$1:$J$1,0)))</f>
        <v>1006</v>
      </c>
      <c r="S2" s="24">
        <f>COUNTBLANK(INDEX($A$2:$J$1007,0,MATCH(Q2,$A$1:$J$1,0)))</f>
        <v>0</v>
      </c>
      <c r="T2" s="24" t="str">
        <f>IF(TYPE(INDEX($A$2:$J$1007,0,MATCH(Q2,$A$1:$J$1,0)))=1,"NUMBER",
IF(TYPE(INDEX($A$2:$J$1007,0,MATCH(Q2,$A$1:$J$1,0)))=2,"TEXT",
IF(TYPE(INDEX($A$2:$J$1007,0,MATCH(Q2,$A$1:$J$1,0)))=4,"LOGICAL",
IF(TYPE(INDEX($A$2:$J$1007,0,MATCH(Q2,$A$1:$J$1,0)))=16,"ERROR",
"LAINNYA"))))</f>
        <v>TEXT</v>
      </c>
      <c r="U2" s="231" t="s">
        <v>541</v>
      </c>
    </row>
    <row r="3" spans="1:21" ht="15" customHeight="1" x14ac:dyDescent="0.25">
      <c r="A3" s="109" t="s">
        <v>16</v>
      </c>
      <c r="B3" s="112">
        <v>45729</v>
      </c>
      <c r="C3" s="109" t="s">
        <v>17</v>
      </c>
      <c r="D3" s="109" t="s">
        <v>12</v>
      </c>
      <c r="E3" s="109" t="s">
        <v>18</v>
      </c>
      <c r="F3" s="109" t="s">
        <v>19</v>
      </c>
      <c r="G3" s="109" t="s">
        <v>20</v>
      </c>
      <c r="H3" s="110">
        <v>239.16</v>
      </c>
      <c r="I3" s="109">
        <v>4</v>
      </c>
      <c r="J3" s="110">
        <v>956.64</v>
      </c>
      <c r="L3" s="24" t="s">
        <v>1102</v>
      </c>
      <c r="M3" s="24">
        <f>_xlfn.QUARTILE.INC('Data Cleaning'!$H$2:$H$1007,3)</f>
        <v>193.51499999999999</v>
      </c>
      <c r="Q3" s="107" t="s">
        <v>1</v>
      </c>
      <c r="R3" s="24">
        <f t="shared" ref="R3:R11" si="0">COUNTA(INDEX($A$2:$J$1007,0,MATCH(Q3,$A$1:$J$1,0)))</f>
        <v>1006</v>
      </c>
      <c r="S3" s="24">
        <f>COUNTBLANK(INDEX($A$2:$J$1007,0,MATCH(Q3,$A$1:$J$1,0)))</f>
        <v>0</v>
      </c>
      <c r="T3" s="24" t="str">
        <f>IF(TYPE(INDEX($A$2:$J$1007,0,MATCH(Q3,$A$1:$J$1,0)))=1,"DATE",
IF(TYPE(INDEX($A$2:$J$1007,0,MATCH(Q3,$A$1:$J$1,0)))=2,"TEXT",
IF(TYPE(INDEX($A$2:$J$1007,0,MATCH(Q3,$A$1:$J$1,0)))=4,"LOGICAL",
IF(TYPE(INDEX($A$2:$J$1007,0,MATCH(Q3,$A$1:$J$1,0)))=16,"ERROR",
"LAINNYA"))))</f>
        <v>DATE</v>
      </c>
      <c r="U3" s="231"/>
    </row>
    <row r="4" spans="1:21" x14ac:dyDescent="0.25">
      <c r="A4" s="109" t="s">
        <v>21</v>
      </c>
      <c r="B4" s="112">
        <v>45874</v>
      </c>
      <c r="C4" s="109" t="s">
        <v>11</v>
      </c>
      <c r="D4" s="109" t="s">
        <v>22</v>
      </c>
      <c r="E4" s="109" t="s">
        <v>23</v>
      </c>
      <c r="F4" s="109" t="s">
        <v>14</v>
      </c>
      <c r="G4" s="109" t="s">
        <v>20</v>
      </c>
      <c r="H4" s="110">
        <v>191.04</v>
      </c>
      <c r="I4" s="109">
        <v>2</v>
      </c>
      <c r="J4" s="110">
        <v>382.08</v>
      </c>
      <c r="L4" s="24" t="s">
        <v>1103</v>
      </c>
      <c r="M4" s="24">
        <f>M3-M2</f>
        <v>112.14999999999998</v>
      </c>
      <c r="Q4" s="107" t="s">
        <v>2</v>
      </c>
      <c r="R4" s="24">
        <f t="shared" si="0"/>
        <v>1006</v>
      </c>
      <c r="S4" s="24">
        <f t="shared" ref="S4:S11" si="1">COUNTBLANK(INDEX($A$2:$J$1007,0,MATCH(Q4,$A$1:$J$1,0)))</f>
        <v>0</v>
      </c>
      <c r="T4" s="24" t="str">
        <f t="shared" ref="T4:T11" si="2">IF(TYPE(INDEX($A$2:$J$1007,0,MATCH(Q4,$A$1:$J$1,0)))=1,"NUMBER",
IF(TYPE(INDEX($A$2:$J$1007,0,MATCH(Q4,$A$1:$J$1,0)))=2,"TEXT",
IF(TYPE(INDEX($A$2:$J$1007,0,MATCH(Q4,$A$1:$J$1,0)))=4,"LOGICAL",
IF(TYPE(INDEX($A$2:$J$1007,0,MATCH(Q4,$A$1:$J$1,0)))=16,"ERROR",
"LAINNYA"))))</f>
        <v>TEXT</v>
      </c>
      <c r="U4" s="231"/>
    </row>
    <row r="5" spans="1:21" x14ac:dyDescent="0.25">
      <c r="A5" s="109" t="s">
        <v>24</v>
      </c>
      <c r="B5" s="112">
        <v>45966</v>
      </c>
      <c r="C5" s="109" t="s">
        <v>25</v>
      </c>
      <c r="D5" s="109" t="s">
        <v>26</v>
      </c>
      <c r="E5" s="109" t="s">
        <v>27</v>
      </c>
      <c r="F5" s="109" t="s">
        <v>28</v>
      </c>
      <c r="G5" s="109" t="s">
        <v>20</v>
      </c>
      <c r="H5" s="110">
        <v>161.69999999999999</v>
      </c>
      <c r="I5" s="109">
        <v>1</v>
      </c>
      <c r="J5" s="110">
        <v>161.69999999999999</v>
      </c>
      <c r="L5" s="24" t="s">
        <v>1104</v>
      </c>
      <c r="M5" s="24">
        <f>M2-1.5*M4</f>
        <v>-86.859999999999957</v>
      </c>
      <c r="Q5" s="107" t="s">
        <v>3</v>
      </c>
      <c r="R5" s="24">
        <f t="shared" si="0"/>
        <v>1006</v>
      </c>
      <c r="S5" s="24">
        <f t="shared" si="1"/>
        <v>0</v>
      </c>
      <c r="T5" s="24" t="str">
        <f t="shared" si="2"/>
        <v>TEXT</v>
      </c>
      <c r="U5" s="231"/>
    </row>
    <row r="6" spans="1:21" x14ac:dyDescent="0.25">
      <c r="A6" s="109" t="s">
        <v>29</v>
      </c>
      <c r="B6" s="112">
        <v>45937</v>
      </c>
      <c r="C6" s="109" t="s">
        <v>30</v>
      </c>
      <c r="D6" s="109" t="s">
        <v>31</v>
      </c>
      <c r="E6" s="109" t="s">
        <v>18</v>
      </c>
      <c r="F6" s="109" t="s">
        <v>32</v>
      </c>
      <c r="G6" s="109" t="s">
        <v>15</v>
      </c>
      <c r="H6" s="110">
        <v>64.319999999999993</v>
      </c>
      <c r="I6" s="109">
        <v>14</v>
      </c>
      <c r="J6" s="110">
        <v>900.48</v>
      </c>
      <c r="L6" s="24" t="s">
        <v>1105</v>
      </c>
      <c r="M6" s="24">
        <f>M3+1.5*M4</f>
        <v>361.73999999999995</v>
      </c>
      <c r="Q6" s="107" t="s">
        <v>4</v>
      </c>
      <c r="R6" s="24">
        <f t="shared" si="0"/>
        <v>1006</v>
      </c>
      <c r="S6" s="24">
        <f t="shared" si="1"/>
        <v>0</v>
      </c>
      <c r="T6" s="24" t="str">
        <f t="shared" si="2"/>
        <v>TEXT</v>
      </c>
      <c r="U6" s="231"/>
    </row>
    <row r="7" spans="1:21" x14ac:dyDescent="0.25">
      <c r="A7" s="109" t="s">
        <v>33</v>
      </c>
      <c r="B7" s="112">
        <v>45739</v>
      </c>
      <c r="C7" s="109" t="s">
        <v>34</v>
      </c>
      <c r="D7" s="109" t="s">
        <v>35</v>
      </c>
      <c r="E7" s="109" t="s">
        <v>23</v>
      </c>
      <c r="F7" s="109" t="s">
        <v>14</v>
      </c>
      <c r="G7" s="109" t="s">
        <v>36</v>
      </c>
      <c r="H7" s="110">
        <v>64.319999999999993</v>
      </c>
      <c r="I7" s="109">
        <v>14</v>
      </c>
      <c r="J7" s="110">
        <v>900.48</v>
      </c>
      <c r="Q7" s="107" t="s">
        <v>5</v>
      </c>
      <c r="R7" s="24">
        <f t="shared" si="0"/>
        <v>1006</v>
      </c>
      <c r="S7" s="24">
        <f t="shared" si="1"/>
        <v>0</v>
      </c>
      <c r="T7" s="24" t="str">
        <f t="shared" si="2"/>
        <v>TEXT</v>
      </c>
      <c r="U7" s="231"/>
    </row>
    <row r="8" spans="1:21" x14ac:dyDescent="0.25">
      <c r="A8" s="109" t="s">
        <v>37</v>
      </c>
      <c r="B8" s="112">
        <v>45710</v>
      </c>
      <c r="C8" s="109" t="s">
        <v>38</v>
      </c>
      <c r="D8" s="109" t="s">
        <v>22</v>
      </c>
      <c r="E8" s="109" t="s">
        <v>13</v>
      </c>
      <c r="F8" s="109" t="s">
        <v>39</v>
      </c>
      <c r="G8" s="109" t="s">
        <v>36</v>
      </c>
      <c r="H8" s="110">
        <v>42.78</v>
      </c>
      <c r="I8" s="109">
        <v>3</v>
      </c>
      <c r="J8" s="110">
        <v>128.34</v>
      </c>
      <c r="L8" s="230" t="s">
        <v>1107</v>
      </c>
      <c r="M8" s="230"/>
      <c r="Q8" s="107" t="s">
        <v>6</v>
      </c>
      <c r="R8" s="24">
        <f t="shared" si="0"/>
        <v>1006</v>
      </c>
      <c r="S8" s="24">
        <f t="shared" si="1"/>
        <v>0</v>
      </c>
      <c r="T8" s="24" t="str">
        <f t="shared" si="2"/>
        <v>TEXT</v>
      </c>
      <c r="U8" s="231"/>
    </row>
    <row r="9" spans="1:21" x14ac:dyDescent="0.25">
      <c r="A9" s="109" t="s">
        <v>40</v>
      </c>
      <c r="B9" s="112">
        <v>45967</v>
      </c>
      <c r="C9" s="109" t="s">
        <v>11</v>
      </c>
      <c r="D9" s="109" t="s">
        <v>12</v>
      </c>
      <c r="E9" s="109" t="s">
        <v>41</v>
      </c>
      <c r="F9" s="109" t="s">
        <v>42</v>
      </c>
      <c r="G9" s="109" t="s">
        <v>15</v>
      </c>
      <c r="H9" s="110">
        <v>220.56</v>
      </c>
      <c r="I9" s="109">
        <v>9</v>
      </c>
      <c r="J9" s="110">
        <v>1985.04</v>
      </c>
      <c r="L9" s="24" t="s">
        <v>1101</v>
      </c>
      <c r="M9" s="24">
        <f>_xlfn.QUARTILE.INC('Data Cleaning'!$I$2:$I$1007,1)</f>
        <v>6</v>
      </c>
      <c r="Q9" s="108" t="s">
        <v>7</v>
      </c>
      <c r="R9" s="24">
        <f t="shared" si="0"/>
        <v>1006</v>
      </c>
      <c r="S9" s="24">
        <f t="shared" si="1"/>
        <v>0</v>
      </c>
      <c r="T9" s="24" t="str">
        <f t="shared" si="2"/>
        <v>NUMBER</v>
      </c>
      <c r="U9" s="231"/>
    </row>
    <row r="10" spans="1:21" x14ac:dyDescent="0.25">
      <c r="A10" s="109" t="s">
        <v>43</v>
      </c>
      <c r="B10" s="112">
        <v>45851</v>
      </c>
      <c r="C10" s="109" t="s">
        <v>25</v>
      </c>
      <c r="D10" s="109" t="s">
        <v>35</v>
      </c>
      <c r="E10" s="109" t="s">
        <v>27</v>
      </c>
      <c r="F10" s="109" t="s">
        <v>42</v>
      </c>
      <c r="G10" s="109" t="s">
        <v>36</v>
      </c>
      <c r="H10" s="110">
        <v>162.25</v>
      </c>
      <c r="I10" s="109">
        <v>3</v>
      </c>
      <c r="J10" s="110">
        <v>486.75</v>
      </c>
      <c r="L10" s="24" t="s">
        <v>1102</v>
      </c>
      <c r="M10" s="24">
        <f>_xlfn.QUARTILE.INC('Data Cleaning'!$I$2:$I$1007,3)</f>
        <v>16</v>
      </c>
      <c r="Q10" s="107" t="s">
        <v>8</v>
      </c>
      <c r="R10" s="24">
        <f t="shared" si="0"/>
        <v>1006</v>
      </c>
      <c r="S10" s="24">
        <f t="shared" si="1"/>
        <v>0</v>
      </c>
      <c r="T10" s="24" t="str">
        <f t="shared" si="2"/>
        <v>NUMBER</v>
      </c>
      <c r="U10" s="231"/>
    </row>
    <row r="11" spans="1:21" x14ac:dyDescent="0.25">
      <c r="A11" s="109" t="s">
        <v>44</v>
      </c>
      <c r="B11" s="112">
        <v>45953</v>
      </c>
      <c r="C11" s="109" t="s">
        <v>17</v>
      </c>
      <c r="D11" s="109" t="s">
        <v>22</v>
      </c>
      <c r="E11" s="109" t="s">
        <v>45</v>
      </c>
      <c r="F11" s="109" t="s">
        <v>28</v>
      </c>
      <c r="G11" s="109" t="s">
        <v>15</v>
      </c>
      <c r="H11" s="110">
        <v>185.78</v>
      </c>
      <c r="I11" s="109">
        <v>7</v>
      </c>
      <c r="J11" s="110">
        <v>1300.46</v>
      </c>
      <c r="L11" s="24" t="s">
        <v>1103</v>
      </c>
      <c r="M11" s="24">
        <f>M10-M9</f>
        <v>10</v>
      </c>
      <c r="Q11" s="108" t="s">
        <v>9</v>
      </c>
      <c r="R11" s="24">
        <f t="shared" si="0"/>
        <v>1006</v>
      </c>
      <c r="S11" s="24">
        <f t="shared" si="1"/>
        <v>0</v>
      </c>
      <c r="T11" s="24" t="str">
        <f t="shared" si="2"/>
        <v>NUMBER</v>
      </c>
      <c r="U11" s="231"/>
    </row>
    <row r="12" spans="1:21" x14ac:dyDescent="0.25">
      <c r="A12" s="109" t="s">
        <v>46</v>
      </c>
      <c r="B12" s="112">
        <v>45806</v>
      </c>
      <c r="C12" s="109" t="s">
        <v>30</v>
      </c>
      <c r="D12" s="109" t="s">
        <v>22</v>
      </c>
      <c r="E12" s="109" t="s">
        <v>41</v>
      </c>
      <c r="F12" s="109" t="s">
        <v>32</v>
      </c>
      <c r="G12" s="109" t="s">
        <v>36</v>
      </c>
      <c r="H12" s="110">
        <v>34.53</v>
      </c>
      <c r="I12" s="109">
        <v>3</v>
      </c>
      <c r="J12" s="110">
        <v>103.59</v>
      </c>
      <c r="L12" s="24" t="s">
        <v>1104</v>
      </c>
      <c r="M12" s="24">
        <f>M9-1.5*M11</f>
        <v>-9</v>
      </c>
      <c r="Q12" s="34"/>
    </row>
    <row r="13" spans="1:21" x14ac:dyDescent="0.25">
      <c r="A13" s="109" t="s">
        <v>47</v>
      </c>
      <c r="B13" s="112">
        <v>45983</v>
      </c>
      <c r="C13" s="109" t="s">
        <v>30</v>
      </c>
      <c r="D13" s="109" t="s">
        <v>35</v>
      </c>
      <c r="E13" s="109" t="s">
        <v>13</v>
      </c>
      <c r="F13" s="109" t="s">
        <v>14</v>
      </c>
      <c r="G13" s="109" t="s">
        <v>20</v>
      </c>
      <c r="H13" s="110">
        <v>243.38</v>
      </c>
      <c r="I13" s="109">
        <v>12</v>
      </c>
      <c r="J13" s="110">
        <v>2920.56</v>
      </c>
      <c r="L13" s="24" t="s">
        <v>1105</v>
      </c>
      <c r="M13" s="24">
        <f>M10+1.5*M11</f>
        <v>31</v>
      </c>
      <c r="Q13" s="34"/>
    </row>
    <row r="14" spans="1:21" x14ac:dyDescent="0.25">
      <c r="A14" s="109" t="s">
        <v>48</v>
      </c>
      <c r="B14" s="112">
        <v>45794</v>
      </c>
      <c r="C14" s="109" t="s">
        <v>25</v>
      </c>
      <c r="D14" s="109" t="s">
        <v>12</v>
      </c>
      <c r="E14" s="109" t="s">
        <v>23</v>
      </c>
      <c r="F14" s="109" t="s">
        <v>42</v>
      </c>
      <c r="G14" s="109" t="s">
        <v>20</v>
      </c>
      <c r="H14" s="110">
        <v>213.14</v>
      </c>
      <c r="I14" s="109">
        <v>3</v>
      </c>
      <c r="J14" s="110">
        <v>639.41999999999996</v>
      </c>
      <c r="Q14" s="34"/>
    </row>
    <row r="15" spans="1:21" x14ac:dyDescent="0.25">
      <c r="A15" s="109" t="s">
        <v>49</v>
      </c>
      <c r="B15" s="112">
        <v>45783</v>
      </c>
      <c r="C15" s="109" t="s">
        <v>38</v>
      </c>
      <c r="D15" s="109" t="s">
        <v>31</v>
      </c>
      <c r="E15" s="109" t="s">
        <v>13</v>
      </c>
      <c r="F15" s="109" t="s">
        <v>28</v>
      </c>
      <c r="G15" s="109" t="s">
        <v>20</v>
      </c>
      <c r="H15" s="110">
        <v>76.709999999999994</v>
      </c>
      <c r="I15" s="109">
        <v>6</v>
      </c>
      <c r="J15" s="110">
        <v>460.26</v>
      </c>
      <c r="L15" s="230" t="s">
        <v>1108</v>
      </c>
      <c r="M15" s="230"/>
    </row>
    <row r="16" spans="1:21" x14ac:dyDescent="0.25">
      <c r="A16" s="109" t="s">
        <v>50</v>
      </c>
      <c r="B16" s="112">
        <v>45943</v>
      </c>
      <c r="C16" s="109" t="s">
        <v>17</v>
      </c>
      <c r="D16" s="109" t="s">
        <v>35</v>
      </c>
      <c r="E16" s="109" t="s">
        <v>45</v>
      </c>
      <c r="F16" s="109" t="s">
        <v>14</v>
      </c>
      <c r="G16" s="109" t="s">
        <v>15</v>
      </c>
      <c r="H16" s="110">
        <v>70</v>
      </c>
      <c r="I16" s="109">
        <v>8</v>
      </c>
      <c r="J16" s="110">
        <v>560</v>
      </c>
      <c r="L16" s="24" t="s">
        <v>1101</v>
      </c>
      <c r="M16" s="24">
        <f>_xlfn.QUARTILE.INC('Data Cleaning'!$J$2:$J$1007,1)</f>
        <v>560.35</v>
      </c>
    </row>
    <row r="17" spans="1:20" x14ac:dyDescent="0.25">
      <c r="A17" s="109" t="s">
        <v>51</v>
      </c>
      <c r="B17" s="112">
        <v>45819</v>
      </c>
      <c r="C17" s="109" t="s">
        <v>34</v>
      </c>
      <c r="D17" s="109" t="s">
        <v>22</v>
      </c>
      <c r="E17" s="109" t="s">
        <v>23</v>
      </c>
      <c r="F17" s="109" t="s">
        <v>42</v>
      </c>
      <c r="G17" s="109" t="s">
        <v>20</v>
      </c>
      <c r="H17" s="110">
        <v>70.349999999999994</v>
      </c>
      <c r="I17" s="109">
        <v>13</v>
      </c>
      <c r="J17" s="110">
        <v>914.55</v>
      </c>
      <c r="L17" s="24" t="s">
        <v>1102</v>
      </c>
      <c r="M17" s="24">
        <f>_xlfn.QUARTILE.INC('Data Cleaning'!$J$2:$J$1007,3)</f>
        <v>2161.29</v>
      </c>
    </row>
    <row r="18" spans="1:20" x14ac:dyDescent="0.25">
      <c r="A18" s="109" t="s">
        <v>52</v>
      </c>
      <c r="B18" s="112">
        <v>45819</v>
      </c>
      <c r="C18" s="109" t="s">
        <v>17</v>
      </c>
      <c r="D18" s="109" t="s">
        <v>31</v>
      </c>
      <c r="E18" s="109" t="s">
        <v>41</v>
      </c>
      <c r="F18" s="109" t="s">
        <v>28</v>
      </c>
      <c r="G18" s="109" t="s">
        <v>36</v>
      </c>
      <c r="H18" s="110">
        <v>96.93</v>
      </c>
      <c r="I18" s="109">
        <v>7</v>
      </c>
      <c r="J18" s="110">
        <v>678.51</v>
      </c>
      <c r="L18" s="24" t="s">
        <v>1103</v>
      </c>
      <c r="M18" s="24">
        <f>M17-M16</f>
        <v>1600.94</v>
      </c>
    </row>
    <row r="19" spans="1:20" x14ac:dyDescent="0.25">
      <c r="A19" s="109" t="s">
        <v>53</v>
      </c>
      <c r="B19" s="112">
        <v>45731</v>
      </c>
      <c r="C19" s="109" t="s">
        <v>30</v>
      </c>
      <c r="D19" s="109" t="s">
        <v>26</v>
      </c>
      <c r="E19" s="109" t="s">
        <v>27</v>
      </c>
      <c r="F19" s="109" t="s">
        <v>42</v>
      </c>
      <c r="G19" s="109" t="s">
        <v>20</v>
      </c>
      <c r="H19" s="110">
        <v>145.44999999999999</v>
      </c>
      <c r="I19" s="109">
        <v>9</v>
      </c>
      <c r="J19" s="110">
        <v>1309.05</v>
      </c>
      <c r="L19" s="24" t="s">
        <v>1104</v>
      </c>
      <c r="M19" s="24">
        <f>M16-1.5*M18</f>
        <v>-1841.06</v>
      </c>
      <c r="O19" s="34"/>
      <c r="P19" s="34"/>
      <c r="Q19" s="34"/>
      <c r="R19" s="34"/>
    </row>
    <row r="20" spans="1:20" x14ac:dyDescent="0.25">
      <c r="A20" s="109" t="s">
        <v>54</v>
      </c>
      <c r="B20" s="112">
        <v>45792</v>
      </c>
      <c r="C20" s="109" t="s">
        <v>38</v>
      </c>
      <c r="D20" s="109" t="s">
        <v>55</v>
      </c>
      <c r="E20" s="109" t="s">
        <v>41</v>
      </c>
      <c r="F20" s="109" t="s">
        <v>32</v>
      </c>
      <c r="G20" s="109" t="s">
        <v>15</v>
      </c>
      <c r="H20" s="110">
        <v>125.03</v>
      </c>
      <c r="I20" s="109">
        <v>19</v>
      </c>
      <c r="J20" s="110">
        <v>2375.5700000000002</v>
      </c>
      <c r="L20" s="24" t="s">
        <v>1105</v>
      </c>
      <c r="M20" s="24">
        <f>M17+1.5*M18</f>
        <v>4562.7</v>
      </c>
      <c r="O20" s="34"/>
      <c r="P20" s="34"/>
      <c r="Q20" s="34"/>
      <c r="R20" s="34"/>
    </row>
    <row r="21" spans="1:20" x14ac:dyDescent="0.25">
      <c r="A21" s="109" t="s">
        <v>56</v>
      </c>
      <c r="B21" s="112">
        <v>45728</v>
      </c>
      <c r="C21" s="109" t="s">
        <v>38</v>
      </c>
      <c r="D21" s="109" t="s">
        <v>22</v>
      </c>
      <c r="E21" s="109" t="s">
        <v>45</v>
      </c>
      <c r="F21" s="109" t="s">
        <v>39</v>
      </c>
      <c r="G21" s="109" t="s">
        <v>15</v>
      </c>
      <c r="H21" s="110">
        <v>94.07</v>
      </c>
      <c r="I21" s="109">
        <v>17</v>
      </c>
      <c r="J21" s="110">
        <v>1599.19</v>
      </c>
      <c r="O21" s="34"/>
      <c r="P21" s="34"/>
      <c r="Q21" s="191"/>
      <c r="R21" s="34"/>
      <c r="S21" s="190"/>
      <c r="T21" s="189"/>
    </row>
    <row r="22" spans="1:20" x14ac:dyDescent="0.25">
      <c r="A22" s="109" t="s">
        <v>57</v>
      </c>
      <c r="B22" s="112">
        <v>45736</v>
      </c>
      <c r="C22" s="109" t="s">
        <v>17</v>
      </c>
      <c r="D22" s="109" t="s">
        <v>31</v>
      </c>
      <c r="E22" s="109" t="s">
        <v>18</v>
      </c>
      <c r="F22" s="109" t="s">
        <v>19</v>
      </c>
      <c r="G22" s="109" t="s">
        <v>36</v>
      </c>
      <c r="H22" s="110">
        <v>164.61</v>
      </c>
      <c r="I22" s="109">
        <v>6</v>
      </c>
      <c r="J22" s="110">
        <v>987.66</v>
      </c>
      <c r="O22" s="34"/>
      <c r="P22" s="34"/>
      <c r="Q22" s="192"/>
      <c r="R22" s="34"/>
      <c r="T22" s="189"/>
    </row>
    <row r="23" spans="1:20" x14ac:dyDescent="0.25">
      <c r="A23" s="109" t="s">
        <v>58</v>
      </c>
      <c r="B23" s="112">
        <v>45853</v>
      </c>
      <c r="C23" s="109" t="s">
        <v>38</v>
      </c>
      <c r="D23" s="109" t="s">
        <v>55</v>
      </c>
      <c r="E23" s="109" t="s">
        <v>13</v>
      </c>
      <c r="F23" s="109" t="s">
        <v>42</v>
      </c>
      <c r="G23" s="109" t="s">
        <v>15</v>
      </c>
      <c r="H23" s="110">
        <v>60.69</v>
      </c>
      <c r="I23" s="109">
        <v>20</v>
      </c>
      <c r="J23" s="110">
        <v>1213.8</v>
      </c>
      <c r="O23" s="34"/>
      <c r="P23" s="34"/>
      <c r="Q23" s="191"/>
      <c r="R23" s="34"/>
    </row>
    <row r="24" spans="1:20" x14ac:dyDescent="0.25">
      <c r="A24" s="109" t="s">
        <v>59</v>
      </c>
      <c r="B24" s="112">
        <v>46006</v>
      </c>
      <c r="C24" s="109" t="s">
        <v>17</v>
      </c>
      <c r="D24" s="109" t="s">
        <v>55</v>
      </c>
      <c r="E24" s="109" t="s">
        <v>13</v>
      </c>
      <c r="F24" s="109" t="s">
        <v>39</v>
      </c>
      <c r="G24" s="109" t="s">
        <v>20</v>
      </c>
      <c r="H24" s="110">
        <v>94.27</v>
      </c>
      <c r="I24" s="109">
        <v>4</v>
      </c>
      <c r="J24" s="110">
        <v>377.08</v>
      </c>
      <c r="L24" s="1"/>
      <c r="O24" s="34"/>
      <c r="P24" s="34"/>
      <c r="Q24" s="34"/>
      <c r="R24" s="34"/>
    </row>
    <row r="25" spans="1:20" x14ac:dyDescent="0.25">
      <c r="A25" s="109" t="s">
        <v>60</v>
      </c>
      <c r="B25" s="112">
        <v>45832</v>
      </c>
      <c r="C25" s="109" t="s">
        <v>34</v>
      </c>
      <c r="D25" s="109" t="s">
        <v>31</v>
      </c>
      <c r="E25" s="109" t="s">
        <v>23</v>
      </c>
      <c r="F25" s="109" t="s">
        <v>61</v>
      </c>
      <c r="G25" s="109" t="s">
        <v>15</v>
      </c>
      <c r="H25" s="110">
        <v>110.6</v>
      </c>
      <c r="I25" s="109">
        <v>4</v>
      </c>
      <c r="J25" s="110">
        <v>442.4</v>
      </c>
      <c r="L25" s="1"/>
      <c r="M25" s="2"/>
      <c r="O25" s="2"/>
    </row>
    <row r="26" spans="1:20" x14ac:dyDescent="0.25">
      <c r="A26" s="109" t="s">
        <v>62</v>
      </c>
      <c r="B26" s="112">
        <v>45792</v>
      </c>
      <c r="C26" s="109" t="s">
        <v>30</v>
      </c>
      <c r="D26" s="109" t="s">
        <v>55</v>
      </c>
      <c r="E26" s="109" t="s">
        <v>45</v>
      </c>
      <c r="F26" s="109" t="s">
        <v>39</v>
      </c>
      <c r="G26" s="109" t="s">
        <v>20</v>
      </c>
      <c r="H26" s="110">
        <v>130.34</v>
      </c>
      <c r="I26" s="109">
        <v>17</v>
      </c>
      <c r="J26" s="110">
        <v>2215.7800000000002</v>
      </c>
    </row>
    <row r="27" spans="1:20" x14ac:dyDescent="0.25">
      <c r="A27" s="109" t="s">
        <v>63</v>
      </c>
      <c r="B27" s="112">
        <v>45810</v>
      </c>
      <c r="C27" s="109" t="s">
        <v>25</v>
      </c>
      <c r="D27" s="109" t="s">
        <v>26</v>
      </c>
      <c r="E27" s="109" t="s">
        <v>23</v>
      </c>
      <c r="F27" s="109" t="s">
        <v>32</v>
      </c>
      <c r="G27" s="109" t="s">
        <v>15</v>
      </c>
      <c r="H27" s="110">
        <v>202.74</v>
      </c>
      <c r="I27" s="109">
        <v>17</v>
      </c>
      <c r="J27" s="110">
        <v>3446.58</v>
      </c>
    </row>
    <row r="28" spans="1:20" x14ac:dyDescent="0.25">
      <c r="A28" s="109" t="s">
        <v>64</v>
      </c>
      <c r="B28" s="112">
        <v>45934</v>
      </c>
      <c r="C28" s="109" t="s">
        <v>11</v>
      </c>
      <c r="D28" s="109" t="s">
        <v>55</v>
      </c>
      <c r="E28" s="109" t="s">
        <v>13</v>
      </c>
      <c r="F28" s="109" t="s">
        <v>61</v>
      </c>
      <c r="G28" s="109" t="s">
        <v>15</v>
      </c>
      <c r="H28" s="110">
        <v>73.930000000000007</v>
      </c>
      <c r="I28" s="109">
        <v>17</v>
      </c>
      <c r="J28" s="110">
        <v>1256.81</v>
      </c>
      <c r="M28">
        <f>SUM(J2:J1007)/COUNTA(A2:A1007)</f>
        <v>1451.1417793240562</v>
      </c>
    </row>
    <row r="29" spans="1:20" x14ac:dyDescent="0.25">
      <c r="A29" s="109" t="s">
        <v>65</v>
      </c>
      <c r="B29" s="112">
        <v>45715</v>
      </c>
      <c r="C29" s="109" t="s">
        <v>34</v>
      </c>
      <c r="D29" s="109" t="s">
        <v>26</v>
      </c>
      <c r="E29" s="109" t="s">
        <v>45</v>
      </c>
      <c r="F29" s="109" t="s">
        <v>14</v>
      </c>
      <c r="G29" s="109" t="s">
        <v>20</v>
      </c>
      <c r="H29" s="110">
        <v>143.13</v>
      </c>
      <c r="I29" s="109">
        <v>12</v>
      </c>
      <c r="J29" s="110">
        <v>1717.56</v>
      </c>
    </row>
    <row r="30" spans="1:20" x14ac:dyDescent="0.25">
      <c r="A30" s="109" t="s">
        <v>66</v>
      </c>
      <c r="B30" s="112">
        <v>45698</v>
      </c>
      <c r="C30" s="109" t="s">
        <v>17</v>
      </c>
      <c r="D30" s="109" t="s">
        <v>31</v>
      </c>
      <c r="E30" s="109" t="s">
        <v>45</v>
      </c>
      <c r="F30" s="109" t="s">
        <v>39</v>
      </c>
      <c r="G30" s="109" t="s">
        <v>20</v>
      </c>
      <c r="H30" s="110">
        <v>160.33000000000001</v>
      </c>
      <c r="I30" s="109">
        <v>3</v>
      </c>
      <c r="J30" s="110">
        <v>480.99</v>
      </c>
    </row>
    <row r="31" spans="1:20" x14ac:dyDescent="0.25">
      <c r="A31" s="109" t="s">
        <v>67</v>
      </c>
      <c r="B31" s="112">
        <v>45722</v>
      </c>
      <c r="C31" s="109" t="s">
        <v>17</v>
      </c>
      <c r="D31" s="109" t="s">
        <v>31</v>
      </c>
      <c r="E31" s="109" t="s">
        <v>18</v>
      </c>
      <c r="F31" s="109" t="s">
        <v>14</v>
      </c>
      <c r="G31" s="109" t="s">
        <v>36</v>
      </c>
      <c r="H31" s="110">
        <v>40.22</v>
      </c>
      <c r="I31" s="109">
        <v>5</v>
      </c>
      <c r="J31" s="110">
        <v>201.1</v>
      </c>
    </row>
    <row r="32" spans="1:20" x14ac:dyDescent="0.25">
      <c r="A32" s="109" t="s">
        <v>68</v>
      </c>
      <c r="B32" s="112">
        <v>45928</v>
      </c>
      <c r="C32" s="109" t="s">
        <v>38</v>
      </c>
      <c r="D32" s="109" t="s">
        <v>26</v>
      </c>
      <c r="E32" s="109" t="s">
        <v>18</v>
      </c>
      <c r="F32" s="109" t="s">
        <v>39</v>
      </c>
      <c r="G32" s="109" t="s">
        <v>20</v>
      </c>
      <c r="H32" s="110">
        <v>163.66</v>
      </c>
      <c r="I32" s="109">
        <v>20</v>
      </c>
      <c r="J32" s="110">
        <v>3273.2</v>
      </c>
    </row>
    <row r="33" spans="1:10" x14ac:dyDescent="0.25">
      <c r="A33" s="109" t="s">
        <v>69</v>
      </c>
      <c r="B33" s="112">
        <v>46011</v>
      </c>
      <c r="C33" s="109" t="s">
        <v>17</v>
      </c>
      <c r="D33" s="109" t="s">
        <v>35</v>
      </c>
      <c r="E33" s="109" t="s">
        <v>41</v>
      </c>
      <c r="F33" s="109" t="s">
        <v>28</v>
      </c>
      <c r="G33" s="109" t="s">
        <v>20</v>
      </c>
      <c r="H33" s="110">
        <v>67.52</v>
      </c>
      <c r="I33" s="109">
        <v>7</v>
      </c>
      <c r="J33" s="110">
        <v>472.64</v>
      </c>
    </row>
    <row r="34" spans="1:10" x14ac:dyDescent="0.25">
      <c r="A34" s="109" t="s">
        <v>70</v>
      </c>
      <c r="B34" s="112">
        <v>45849</v>
      </c>
      <c r="C34" s="109" t="s">
        <v>25</v>
      </c>
      <c r="D34" s="109" t="s">
        <v>31</v>
      </c>
      <c r="E34" s="109" t="s">
        <v>45</v>
      </c>
      <c r="F34" s="109" t="s">
        <v>14</v>
      </c>
      <c r="G34" s="109" t="s">
        <v>15</v>
      </c>
      <c r="H34" s="110">
        <v>44.31</v>
      </c>
      <c r="I34" s="109">
        <v>15</v>
      </c>
      <c r="J34" s="110">
        <v>664.65</v>
      </c>
    </row>
    <row r="35" spans="1:10" x14ac:dyDescent="0.25">
      <c r="A35" s="109" t="s">
        <v>71</v>
      </c>
      <c r="B35" s="112">
        <v>45690</v>
      </c>
      <c r="C35" s="109" t="s">
        <v>11</v>
      </c>
      <c r="D35" s="109" t="s">
        <v>55</v>
      </c>
      <c r="E35" s="109" t="s">
        <v>18</v>
      </c>
      <c r="F35" s="109" t="s">
        <v>14</v>
      </c>
      <c r="G35" s="109" t="s">
        <v>20</v>
      </c>
      <c r="H35" s="110">
        <v>238.75</v>
      </c>
      <c r="I35" s="109">
        <v>11</v>
      </c>
      <c r="J35" s="110">
        <v>2626.25</v>
      </c>
    </row>
    <row r="36" spans="1:10" x14ac:dyDescent="0.25">
      <c r="A36" s="109" t="s">
        <v>72</v>
      </c>
      <c r="B36" s="112">
        <v>45770</v>
      </c>
      <c r="C36" s="109" t="s">
        <v>11</v>
      </c>
      <c r="D36" s="109" t="s">
        <v>12</v>
      </c>
      <c r="E36" s="109" t="s">
        <v>27</v>
      </c>
      <c r="F36" s="109" t="s">
        <v>19</v>
      </c>
      <c r="G36" s="109" t="s">
        <v>15</v>
      </c>
      <c r="H36" s="110">
        <v>242.44</v>
      </c>
      <c r="I36" s="109">
        <v>1</v>
      </c>
      <c r="J36" s="110">
        <v>242.44</v>
      </c>
    </row>
    <row r="37" spans="1:10" x14ac:dyDescent="0.25">
      <c r="A37" s="109" t="s">
        <v>73</v>
      </c>
      <c r="B37" s="112">
        <v>45692</v>
      </c>
      <c r="C37" s="109" t="s">
        <v>34</v>
      </c>
      <c r="D37" s="109" t="s">
        <v>22</v>
      </c>
      <c r="E37" s="109" t="s">
        <v>18</v>
      </c>
      <c r="F37" s="109" t="s">
        <v>14</v>
      </c>
      <c r="G37" s="109" t="s">
        <v>36</v>
      </c>
      <c r="H37" s="110">
        <v>207.85</v>
      </c>
      <c r="I37" s="109">
        <v>2</v>
      </c>
      <c r="J37" s="110">
        <v>415.7</v>
      </c>
    </row>
    <row r="38" spans="1:10" x14ac:dyDescent="0.25">
      <c r="A38" s="109" t="s">
        <v>74</v>
      </c>
      <c r="B38" s="112">
        <v>46000</v>
      </c>
      <c r="C38" s="109" t="s">
        <v>30</v>
      </c>
      <c r="D38" s="109" t="s">
        <v>55</v>
      </c>
      <c r="E38" s="109" t="s">
        <v>23</v>
      </c>
      <c r="F38" s="109" t="s">
        <v>28</v>
      </c>
      <c r="G38" s="109" t="s">
        <v>20</v>
      </c>
      <c r="H38" s="110">
        <v>97.02</v>
      </c>
      <c r="I38" s="109">
        <v>16</v>
      </c>
      <c r="J38" s="110">
        <v>1552.32</v>
      </c>
    </row>
    <row r="39" spans="1:10" x14ac:dyDescent="0.25">
      <c r="A39" s="109" t="s">
        <v>75</v>
      </c>
      <c r="B39" s="112">
        <v>45953</v>
      </c>
      <c r="C39" s="109" t="s">
        <v>30</v>
      </c>
      <c r="D39" s="109" t="s">
        <v>31</v>
      </c>
      <c r="E39" s="109" t="s">
        <v>41</v>
      </c>
      <c r="F39" s="109" t="s">
        <v>14</v>
      </c>
      <c r="G39" s="109" t="s">
        <v>15</v>
      </c>
      <c r="H39" s="110">
        <v>51.49</v>
      </c>
      <c r="I39" s="109">
        <v>16</v>
      </c>
      <c r="J39" s="110">
        <v>823.84</v>
      </c>
    </row>
    <row r="40" spans="1:10" x14ac:dyDescent="0.25">
      <c r="A40" s="109" t="s">
        <v>76</v>
      </c>
      <c r="B40" s="112">
        <v>45707</v>
      </c>
      <c r="C40" s="109" t="s">
        <v>34</v>
      </c>
      <c r="D40" s="109" t="s">
        <v>31</v>
      </c>
      <c r="E40" s="109" t="s">
        <v>41</v>
      </c>
      <c r="F40" s="109" t="s">
        <v>61</v>
      </c>
      <c r="G40" s="109" t="s">
        <v>20</v>
      </c>
      <c r="H40" s="110">
        <v>180.53</v>
      </c>
      <c r="I40" s="109">
        <v>14</v>
      </c>
      <c r="J40" s="110">
        <v>2527.42</v>
      </c>
    </row>
    <row r="41" spans="1:10" x14ac:dyDescent="0.25">
      <c r="A41" s="109" t="s">
        <v>77</v>
      </c>
      <c r="B41" s="112">
        <v>45685</v>
      </c>
      <c r="C41" s="109" t="s">
        <v>11</v>
      </c>
      <c r="D41" s="109" t="s">
        <v>31</v>
      </c>
      <c r="E41" s="109" t="s">
        <v>27</v>
      </c>
      <c r="F41" s="109" t="s">
        <v>32</v>
      </c>
      <c r="G41" s="109" t="s">
        <v>15</v>
      </c>
      <c r="H41" s="110">
        <v>126.83</v>
      </c>
      <c r="I41" s="109">
        <v>4</v>
      </c>
      <c r="J41" s="110">
        <v>507.32</v>
      </c>
    </row>
    <row r="42" spans="1:10" x14ac:dyDescent="0.25">
      <c r="A42" s="109" t="s">
        <v>78</v>
      </c>
      <c r="B42" s="112">
        <v>45785</v>
      </c>
      <c r="C42" s="109" t="s">
        <v>30</v>
      </c>
      <c r="D42" s="109" t="s">
        <v>55</v>
      </c>
      <c r="E42" s="109" t="s">
        <v>41</v>
      </c>
      <c r="F42" s="109" t="s">
        <v>14</v>
      </c>
      <c r="G42" s="109" t="s">
        <v>36</v>
      </c>
      <c r="H42" s="110">
        <v>56.85</v>
      </c>
      <c r="I42" s="109">
        <v>7</v>
      </c>
      <c r="J42" s="110">
        <v>397.95</v>
      </c>
    </row>
    <row r="43" spans="1:10" x14ac:dyDescent="0.25">
      <c r="A43" s="109" t="s">
        <v>79</v>
      </c>
      <c r="B43" s="112">
        <v>45751</v>
      </c>
      <c r="C43" s="109" t="s">
        <v>38</v>
      </c>
      <c r="D43" s="109" t="s">
        <v>26</v>
      </c>
      <c r="E43" s="109" t="s">
        <v>45</v>
      </c>
      <c r="F43" s="109" t="s">
        <v>61</v>
      </c>
      <c r="G43" s="109" t="s">
        <v>20</v>
      </c>
      <c r="H43" s="110">
        <v>138.94</v>
      </c>
      <c r="I43" s="109">
        <v>9</v>
      </c>
      <c r="J43" s="110">
        <v>1250.46</v>
      </c>
    </row>
    <row r="44" spans="1:10" x14ac:dyDescent="0.25">
      <c r="A44" s="109" t="s">
        <v>80</v>
      </c>
      <c r="B44" s="112">
        <v>45708</v>
      </c>
      <c r="C44" s="109" t="s">
        <v>17</v>
      </c>
      <c r="D44" s="109" t="s">
        <v>55</v>
      </c>
      <c r="E44" s="109" t="s">
        <v>45</v>
      </c>
      <c r="F44" s="109" t="s">
        <v>19</v>
      </c>
      <c r="G44" s="109" t="s">
        <v>15</v>
      </c>
      <c r="H44" s="110">
        <v>37.57</v>
      </c>
      <c r="I44" s="109">
        <v>2</v>
      </c>
      <c r="J44" s="110">
        <v>75.14</v>
      </c>
    </row>
    <row r="45" spans="1:10" x14ac:dyDescent="0.25">
      <c r="A45" s="109" t="s">
        <v>81</v>
      </c>
      <c r="B45" s="112">
        <v>45743</v>
      </c>
      <c r="C45" s="109" t="s">
        <v>38</v>
      </c>
      <c r="D45" s="109" t="s">
        <v>31</v>
      </c>
      <c r="E45" s="109" t="s">
        <v>23</v>
      </c>
      <c r="F45" s="109" t="s">
        <v>39</v>
      </c>
      <c r="G45" s="109" t="s">
        <v>36</v>
      </c>
      <c r="H45" s="110">
        <v>230.05</v>
      </c>
      <c r="I45" s="109">
        <v>14</v>
      </c>
      <c r="J45" s="110">
        <v>3220.7</v>
      </c>
    </row>
    <row r="46" spans="1:10" x14ac:dyDescent="0.25">
      <c r="A46" s="109" t="s">
        <v>82</v>
      </c>
      <c r="B46" s="112">
        <v>45688</v>
      </c>
      <c r="C46" s="109" t="s">
        <v>38</v>
      </c>
      <c r="D46" s="109" t="s">
        <v>22</v>
      </c>
      <c r="E46" s="109" t="s">
        <v>41</v>
      </c>
      <c r="F46" s="109" t="s">
        <v>32</v>
      </c>
      <c r="G46" s="109" t="s">
        <v>36</v>
      </c>
      <c r="H46" s="110">
        <v>86.93</v>
      </c>
      <c r="I46" s="109">
        <v>6</v>
      </c>
      <c r="J46" s="110">
        <v>521.58000000000004</v>
      </c>
    </row>
    <row r="47" spans="1:10" x14ac:dyDescent="0.25">
      <c r="A47" s="109" t="s">
        <v>83</v>
      </c>
      <c r="B47" s="112">
        <v>45804</v>
      </c>
      <c r="C47" s="109" t="s">
        <v>17</v>
      </c>
      <c r="D47" s="109" t="s">
        <v>12</v>
      </c>
      <c r="E47" s="109" t="s">
        <v>18</v>
      </c>
      <c r="F47" s="109" t="s">
        <v>28</v>
      </c>
      <c r="G47" s="109" t="s">
        <v>20</v>
      </c>
      <c r="H47" s="110">
        <v>175.75</v>
      </c>
      <c r="I47" s="109">
        <v>14</v>
      </c>
      <c r="J47" s="110">
        <v>2460.5</v>
      </c>
    </row>
    <row r="48" spans="1:10" x14ac:dyDescent="0.25">
      <c r="A48" s="109" t="s">
        <v>84</v>
      </c>
      <c r="B48" s="112">
        <v>45907</v>
      </c>
      <c r="C48" s="109" t="s">
        <v>30</v>
      </c>
      <c r="D48" s="109" t="s">
        <v>35</v>
      </c>
      <c r="E48" s="109" t="s">
        <v>23</v>
      </c>
      <c r="F48" s="109" t="s">
        <v>19</v>
      </c>
      <c r="G48" s="109" t="s">
        <v>20</v>
      </c>
      <c r="H48" s="110">
        <v>98.58</v>
      </c>
      <c r="I48" s="109">
        <v>5</v>
      </c>
      <c r="J48" s="110">
        <v>492.9</v>
      </c>
    </row>
    <row r="49" spans="1:10" x14ac:dyDescent="0.25">
      <c r="A49" s="109" t="s">
        <v>85</v>
      </c>
      <c r="B49" s="112">
        <v>45935</v>
      </c>
      <c r="C49" s="109" t="s">
        <v>17</v>
      </c>
      <c r="D49" s="109" t="s">
        <v>35</v>
      </c>
      <c r="E49" s="109" t="s">
        <v>45</v>
      </c>
      <c r="F49" s="109" t="s">
        <v>19</v>
      </c>
      <c r="G49" s="109" t="s">
        <v>20</v>
      </c>
      <c r="H49" s="110">
        <v>144.41</v>
      </c>
      <c r="I49" s="109">
        <v>2</v>
      </c>
      <c r="J49" s="110">
        <v>288.82</v>
      </c>
    </row>
    <row r="50" spans="1:10" x14ac:dyDescent="0.25">
      <c r="A50" s="109" t="s">
        <v>86</v>
      </c>
      <c r="B50" s="112">
        <v>45902</v>
      </c>
      <c r="C50" s="109" t="s">
        <v>25</v>
      </c>
      <c r="D50" s="109" t="s">
        <v>26</v>
      </c>
      <c r="E50" s="109" t="s">
        <v>45</v>
      </c>
      <c r="F50" s="109" t="s">
        <v>42</v>
      </c>
      <c r="G50" s="109" t="s">
        <v>15</v>
      </c>
      <c r="H50" s="110">
        <v>150.28</v>
      </c>
      <c r="I50" s="109">
        <v>17</v>
      </c>
      <c r="J50" s="110">
        <v>2554.7600000000002</v>
      </c>
    </row>
    <row r="51" spans="1:10" x14ac:dyDescent="0.25">
      <c r="A51" s="109" t="s">
        <v>87</v>
      </c>
      <c r="B51" s="112">
        <v>45753</v>
      </c>
      <c r="C51" s="109" t="s">
        <v>25</v>
      </c>
      <c r="D51" s="109" t="s">
        <v>22</v>
      </c>
      <c r="E51" s="109" t="s">
        <v>27</v>
      </c>
      <c r="F51" s="109" t="s">
        <v>39</v>
      </c>
      <c r="G51" s="109" t="s">
        <v>15</v>
      </c>
      <c r="H51" s="110">
        <v>70.67</v>
      </c>
      <c r="I51" s="109">
        <v>3</v>
      </c>
      <c r="J51" s="110">
        <v>212.01</v>
      </c>
    </row>
    <row r="52" spans="1:10" x14ac:dyDescent="0.25">
      <c r="A52" s="109" t="s">
        <v>88</v>
      </c>
      <c r="B52" s="112">
        <v>45864</v>
      </c>
      <c r="C52" s="109" t="s">
        <v>25</v>
      </c>
      <c r="D52" s="109" t="s">
        <v>26</v>
      </c>
      <c r="E52" s="109" t="s">
        <v>18</v>
      </c>
      <c r="F52" s="109" t="s">
        <v>42</v>
      </c>
      <c r="G52" s="109" t="s">
        <v>15</v>
      </c>
      <c r="H52" s="110">
        <v>243.31</v>
      </c>
      <c r="I52" s="109">
        <v>4</v>
      </c>
      <c r="J52" s="110">
        <v>973.24</v>
      </c>
    </row>
    <row r="53" spans="1:10" x14ac:dyDescent="0.25">
      <c r="A53" s="109" t="s">
        <v>89</v>
      </c>
      <c r="B53" s="112">
        <v>45975</v>
      </c>
      <c r="C53" s="109" t="s">
        <v>38</v>
      </c>
      <c r="D53" s="109" t="s">
        <v>12</v>
      </c>
      <c r="E53" s="109" t="s">
        <v>18</v>
      </c>
      <c r="F53" s="109" t="s">
        <v>42</v>
      </c>
      <c r="G53" s="109" t="s">
        <v>20</v>
      </c>
      <c r="H53" s="110">
        <v>200.53</v>
      </c>
      <c r="I53" s="109">
        <v>3</v>
      </c>
      <c r="J53" s="110">
        <v>601.59</v>
      </c>
    </row>
    <row r="54" spans="1:10" x14ac:dyDescent="0.25">
      <c r="A54" s="109" t="s">
        <v>90</v>
      </c>
      <c r="B54" s="112">
        <v>45819</v>
      </c>
      <c r="C54" s="109" t="s">
        <v>30</v>
      </c>
      <c r="D54" s="109" t="s">
        <v>12</v>
      </c>
      <c r="E54" s="109" t="s">
        <v>27</v>
      </c>
      <c r="F54" s="109" t="s">
        <v>32</v>
      </c>
      <c r="G54" s="109" t="s">
        <v>15</v>
      </c>
      <c r="H54" s="110">
        <v>236.69</v>
      </c>
      <c r="I54" s="109">
        <v>9</v>
      </c>
      <c r="J54" s="110">
        <v>2130.21</v>
      </c>
    </row>
    <row r="55" spans="1:10" x14ac:dyDescent="0.25">
      <c r="A55" s="109" t="s">
        <v>91</v>
      </c>
      <c r="B55" s="112">
        <v>45793</v>
      </c>
      <c r="C55" s="109" t="s">
        <v>30</v>
      </c>
      <c r="D55" s="109" t="s">
        <v>12</v>
      </c>
      <c r="E55" s="109" t="s">
        <v>27</v>
      </c>
      <c r="F55" s="109" t="s">
        <v>32</v>
      </c>
      <c r="G55" s="109" t="s">
        <v>36</v>
      </c>
      <c r="H55" s="110">
        <v>226.86</v>
      </c>
      <c r="I55" s="109">
        <v>13</v>
      </c>
      <c r="J55" s="110">
        <v>2949.18</v>
      </c>
    </row>
    <row r="56" spans="1:10" x14ac:dyDescent="0.25">
      <c r="A56" s="109" t="s">
        <v>92</v>
      </c>
      <c r="B56" s="112">
        <v>45819</v>
      </c>
      <c r="C56" s="109" t="s">
        <v>11</v>
      </c>
      <c r="D56" s="109" t="s">
        <v>31</v>
      </c>
      <c r="E56" s="109" t="s">
        <v>18</v>
      </c>
      <c r="F56" s="109" t="s">
        <v>42</v>
      </c>
      <c r="G56" s="109" t="s">
        <v>15</v>
      </c>
      <c r="H56" s="110">
        <v>161.54</v>
      </c>
      <c r="I56" s="109">
        <v>3</v>
      </c>
      <c r="J56" s="110">
        <v>484.62</v>
      </c>
    </row>
    <row r="57" spans="1:10" x14ac:dyDescent="0.25">
      <c r="A57" s="109" t="s">
        <v>93</v>
      </c>
      <c r="B57" s="112">
        <v>45695</v>
      </c>
      <c r="C57" s="109" t="s">
        <v>30</v>
      </c>
      <c r="D57" s="109" t="s">
        <v>55</v>
      </c>
      <c r="E57" s="109" t="s">
        <v>13</v>
      </c>
      <c r="F57" s="109" t="s">
        <v>14</v>
      </c>
      <c r="G57" s="109" t="s">
        <v>36</v>
      </c>
      <c r="H57" s="110">
        <v>232.81</v>
      </c>
      <c r="I57" s="109">
        <v>18</v>
      </c>
      <c r="J57" s="110">
        <v>4190.58</v>
      </c>
    </row>
    <row r="58" spans="1:10" x14ac:dyDescent="0.25">
      <c r="A58" s="109" t="s">
        <v>94</v>
      </c>
      <c r="B58" s="112">
        <v>45693</v>
      </c>
      <c r="C58" s="109" t="s">
        <v>34</v>
      </c>
      <c r="D58" s="109" t="s">
        <v>35</v>
      </c>
      <c r="E58" s="109" t="s">
        <v>23</v>
      </c>
      <c r="F58" s="109" t="s">
        <v>61</v>
      </c>
      <c r="G58" s="109" t="s">
        <v>20</v>
      </c>
      <c r="H58" s="110">
        <v>49.47</v>
      </c>
      <c r="I58" s="109">
        <v>8</v>
      </c>
      <c r="J58" s="110">
        <v>395.76</v>
      </c>
    </row>
    <row r="59" spans="1:10" x14ac:dyDescent="0.25">
      <c r="A59" s="109" t="s">
        <v>95</v>
      </c>
      <c r="B59" s="112">
        <v>46018</v>
      </c>
      <c r="C59" s="109" t="s">
        <v>25</v>
      </c>
      <c r="D59" s="109" t="s">
        <v>12</v>
      </c>
      <c r="E59" s="109" t="s">
        <v>18</v>
      </c>
      <c r="F59" s="109" t="s">
        <v>19</v>
      </c>
      <c r="G59" s="109" t="s">
        <v>20</v>
      </c>
      <c r="H59" s="110">
        <v>73.12</v>
      </c>
      <c r="I59" s="109">
        <v>10</v>
      </c>
      <c r="J59" s="110">
        <v>731.2</v>
      </c>
    </row>
    <row r="60" spans="1:10" x14ac:dyDescent="0.25">
      <c r="A60" s="109" t="s">
        <v>96</v>
      </c>
      <c r="B60" s="112">
        <v>45941</v>
      </c>
      <c r="C60" s="109" t="s">
        <v>17</v>
      </c>
      <c r="D60" s="109" t="s">
        <v>22</v>
      </c>
      <c r="E60" s="109" t="s">
        <v>23</v>
      </c>
      <c r="F60" s="109" t="s">
        <v>32</v>
      </c>
      <c r="G60" s="109" t="s">
        <v>15</v>
      </c>
      <c r="H60" s="110">
        <v>39.950000000000003</v>
      </c>
      <c r="I60" s="109">
        <v>10</v>
      </c>
      <c r="J60" s="110">
        <v>399.5</v>
      </c>
    </row>
    <row r="61" spans="1:10" x14ac:dyDescent="0.25">
      <c r="A61" s="109" t="s">
        <v>97</v>
      </c>
      <c r="B61" s="112">
        <v>45712</v>
      </c>
      <c r="C61" s="109" t="s">
        <v>30</v>
      </c>
      <c r="D61" s="109" t="s">
        <v>35</v>
      </c>
      <c r="E61" s="109" t="s">
        <v>13</v>
      </c>
      <c r="F61" s="109" t="s">
        <v>42</v>
      </c>
      <c r="G61" s="109" t="s">
        <v>15</v>
      </c>
      <c r="H61" s="110">
        <v>101.57</v>
      </c>
      <c r="I61" s="109">
        <v>18</v>
      </c>
      <c r="J61" s="110">
        <v>1828.26</v>
      </c>
    </row>
    <row r="62" spans="1:10" x14ac:dyDescent="0.25">
      <c r="A62" s="109" t="s">
        <v>98</v>
      </c>
      <c r="B62" s="112">
        <v>45833</v>
      </c>
      <c r="C62" s="109" t="s">
        <v>17</v>
      </c>
      <c r="D62" s="109" t="s">
        <v>12</v>
      </c>
      <c r="E62" s="109" t="s">
        <v>13</v>
      </c>
      <c r="F62" s="109" t="s">
        <v>42</v>
      </c>
      <c r="G62" s="109" t="s">
        <v>36</v>
      </c>
      <c r="H62" s="110">
        <v>115.51</v>
      </c>
      <c r="I62" s="109">
        <v>7</v>
      </c>
      <c r="J62" s="110">
        <v>808.57</v>
      </c>
    </row>
    <row r="63" spans="1:10" x14ac:dyDescent="0.25">
      <c r="A63" s="109" t="s">
        <v>99</v>
      </c>
      <c r="B63" s="112">
        <v>45786</v>
      </c>
      <c r="C63" s="109" t="s">
        <v>11</v>
      </c>
      <c r="D63" s="109" t="s">
        <v>12</v>
      </c>
      <c r="E63" s="109" t="s">
        <v>41</v>
      </c>
      <c r="F63" s="109" t="s">
        <v>39</v>
      </c>
      <c r="G63" s="109" t="s">
        <v>36</v>
      </c>
      <c r="H63" s="110">
        <v>89.7</v>
      </c>
      <c r="I63" s="109">
        <v>2</v>
      </c>
      <c r="J63" s="110">
        <v>179.4</v>
      </c>
    </row>
    <row r="64" spans="1:10" x14ac:dyDescent="0.25">
      <c r="A64" s="109" t="s">
        <v>100</v>
      </c>
      <c r="B64" s="112">
        <v>45680</v>
      </c>
      <c r="C64" s="109" t="s">
        <v>34</v>
      </c>
      <c r="D64" s="109" t="s">
        <v>26</v>
      </c>
      <c r="E64" s="109" t="s">
        <v>27</v>
      </c>
      <c r="F64" s="109" t="s">
        <v>32</v>
      </c>
      <c r="G64" s="109" t="s">
        <v>15</v>
      </c>
      <c r="H64" s="110">
        <v>212.32</v>
      </c>
      <c r="I64" s="109">
        <v>1</v>
      </c>
      <c r="J64" s="110">
        <v>212.32</v>
      </c>
    </row>
    <row r="65" spans="1:10" x14ac:dyDescent="0.25">
      <c r="A65" s="109" t="s">
        <v>101</v>
      </c>
      <c r="B65" s="112">
        <v>45884</v>
      </c>
      <c r="C65" s="109" t="s">
        <v>17</v>
      </c>
      <c r="D65" s="109" t="s">
        <v>31</v>
      </c>
      <c r="E65" s="109" t="s">
        <v>18</v>
      </c>
      <c r="F65" s="109" t="s">
        <v>19</v>
      </c>
      <c r="G65" s="109" t="s">
        <v>15</v>
      </c>
      <c r="H65" s="110">
        <v>108.49</v>
      </c>
      <c r="I65" s="109">
        <v>18</v>
      </c>
      <c r="J65" s="110">
        <v>1952.82</v>
      </c>
    </row>
    <row r="66" spans="1:10" x14ac:dyDescent="0.25">
      <c r="A66" s="109" t="s">
        <v>102</v>
      </c>
      <c r="B66" s="112">
        <v>45696</v>
      </c>
      <c r="C66" s="109" t="s">
        <v>25</v>
      </c>
      <c r="D66" s="109" t="s">
        <v>22</v>
      </c>
      <c r="E66" s="109" t="s">
        <v>13</v>
      </c>
      <c r="F66" s="109" t="s">
        <v>42</v>
      </c>
      <c r="G66" s="109" t="s">
        <v>20</v>
      </c>
      <c r="H66" s="110">
        <v>91.81</v>
      </c>
      <c r="I66" s="109">
        <v>5</v>
      </c>
      <c r="J66" s="110">
        <v>459.05</v>
      </c>
    </row>
    <row r="67" spans="1:10" x14ac:dyDescent="0.25">
      <c r="A67" s="109" t="s">
        <v>103</v>
      </c>
      <c r="B67" s="112">
        <v>45733</v>
      </c>
      <c r="C67" s="109" t="s">
        <v>30</v>
      </c>
      <c r="D67" s="109" t="s">
        <v>22</v>
      </c>
      <c r="E67" s="109" t="s">
        <v>13</v>
      </c>
      <c r="F67" s="109" t="s">
        <v>32</v>
      </c>
      <c r="G67" s="109" t="s">
        <v>15</v>
      </c>
      <c r="H67" s="110">
        <v>149.38999999999999</v>
      </c>
      <c r="I67" s="109">
        <v>14</v>
      </c>
      <c r="J67" s="110">
        <v>2091.46</v>
      </c>
    </row>
    <row r="68" spans="1:10" x14ac:dyDescent="0.25">
      <c r="A68" s="109" t="s">
        <v>104</v>
      </c>
      <c r="B68" s="112">
        <v>45841</v>
      </c>
      <c r="C68" s="109" t="s">
        <v>17</v>
      </c>
      <c r="D68" s="109" t="s">
        <v>26</v>
      </c>
      <c r="E68" s="109" t="s">
        <v>27</v>
      </c>
      <c r="F68" s="109" t="s">
        <v>19</v>
      </c>
      <c r="G68" s="109" t="s">
        <v>36</v>
      </c>
      <c r="H68" s="110">
        <v>61</v>
      </c>
      <c r="I68" s="109">
        <v>7</v>
      </c>
      <c r="J68" s="110">
        <v>427</v>
      </c>
    </row>
    <row r="69" spans="1:10" x14ac:dyDescent="0.25">
      <c r="A69" s="109" t="s">
        <v>105</v>
      </c>
      <c r="B69" s="112">
        <v>45944</v>
      </c>
      <c r="C69" s="109" t="s">
        <v>25</v>
      </c>
      <c r="D69" s="109" t="s">
        <v>12</v>
      </c>
      <c r="E69" s="109" t="s">
        <v>23</v>
      </c>
      <c r="F69" s="109" t="s">
        <v>14</v>
      </c>
      <c r="G69" s="109" t="s">
        <v>15</v>
      </c>
      <c r="H69" s="110">
        <v>206.48</v>
      </c>
      <c r="I69" s="109">
        <v>14</v>
      </c>
      <c r="J69" s="110">
        <v>2890.72</v>
      </c>
    </row>
    <row r="70" spans="1:10" x14ac:dyDescent="0.25">
      <c r="A70" s="109" t="s">
        <v>106</v>
      </c>
      <c r="B70" s="112">
        <v>45748</v>
      </c>
      <c r="C70" s="109" t="s">
        <v>11</v>
      </c>
      <c r="D70" s="109" t="s">
        <v>26</v>
      </c>
      <c r="E70" s="109" t="s">
        <v>27</v>
      </c>
      <c r="F70" s="109" t="s">
        <v>32</v>
      </c>
      <c r="G70" s="109" t="s">
        <v>36</v>
      </c>
      <c r="H70" s="110">
        <v>46.4</v>
      </c>
      <c r="I70" s="109">
        <v>14</v>
      </c>
      <c r="J70" s="110">
        <v>649.6</v>
      </c>
    </row>
    <row r="71" spans="1:10" x14ac:dyDescent="0.25">
      <c r="A71" s="109" t="s">
        <v>107</v>
      </c>
      <c r="B71" s="112">
        <v>46000</v>
      </c>
      <c r="C71" s="109" t="s">
        <v>34</v>
      </c>
      <c r="D71" s="109" t="s">
        <v>26</v>
      </c>
      <c r="E71" s="109" t="s">
        <v>27</v>
      </c>
      <c r="F71" s="109" t="s">
        <v>19</v>
      </c>
      <c r="G71" s="109" t="s">
        <v>36</v>
      </c>
      <c r="H71" s="110">
        <v>247.12</v>
      </c>
      <c r="I71" s="109">
        <v>8</v>
      </c>
      <c r="J71" s="110">
        <v>1976.96</v>
      </c>
    </row>
    <row r="72" spans="1:10" x14ac:dyDescent="0.25">
      <c r="A72" s="109" t="s">
        <v>108</v>
      </c>
      <c r="B72" s="112">
        <v>45677</v>
      </c>
      <c r="C72" s="109" t="s">
        <v>30</v>
      </c>
      <c r="D72" s="109" t="s">
        <v>26</v>
      </c>
      <c r="E72" s="109" t="s">
        <v>41</v>
      </c>
      <c r="F72" s="109" t="s">
        <v>32</v>
      </c>
      <c r="G72" s="109" t="s">
        <v>36</v>
      </c>
      <c r="H72" s="110">
        <v>199.89</v>
      </c>
      <c r="I72" s="109">
        <v>16</v>
      </c>
      <c r="J72" s="110">
        <v>3198.24</v>
      </c>
    </row>
    <row r="73" spans="1:10" x14ac:dyDescent="0.25">
      <c r="A73" s="109" t="s">
        <v>109</v>
      </c>
      <c r="B73" s="112">
        <v>45774</v>
      </c>
      <c r="C73" s="109" t="s">
        <v>11</v>
      </c>
      <c r="D73" s="109" t="s">
        <v>12</v>
      </c>
      <c r="E73" s="109" t="s">
        <v>23</v>
      </c>
      <c r="F73" s="109" t="s">
        <v>61</v>
      </c>
      <c r="G73" s="109" t="s">
        <v>36</v>
      </c>
      <c r="H73" s="110">
        <v>73.72</v>
      </c>
      <c r="I73" s="109">
        <v>8</v>
      </c>
      <c r="J73" s="110">
        <v>589.76</v>
      </c>
    </row>
    <row r="74" spans="1:10" x14ac:dyDescent="0.25">
      <c r="A74" s="109" t="s">
        <v>110</v>
      </c>
      <c r="B74" s="112">
        <v>45800</v>
      </c>
      <c r="C74" s="109" t="s">
        <v>34</v>
      </c>
      <c r="D74" s="109" t="s">
        <v>35</v>
      </c>
      <c r="E74" s="109" t="s">
        <v>27</v>
      </c>
      <c r="F74" s="109" t="s">
        <v>42</v>
      </c>
      <c r="G74" s="109" t="s">
        <v>36</v>
      </c>
      <c r="H74" s="110">
        <v>31.21</v>
      </c>
      <c r="I74" s="109">
        <v>3</v>
      </c>
      <c r="J74" s="110">
        <v>93.63</v>
      </c>
    </row>
    <row r="75" spans="1:10" x14ac:dyDescent="0.25">
      <c r="A75" s="109" t="s">
        <v>111</v>
      </c>
      <c r="B75" s="112">
        <v>46005</v>
      </c>
      <c r="C75" s="109" t="s">
        <v>34</v>
      </c>
      <c r="D75" s="109" t="s">
        <v>22</v>
      </c>
      <c r="E75" s="109" t="s">
        <v>45</v>
      </c>
      <c r="F75" s="109" t="s">
        <v>32</v>
      </c>
      <c r="G75" s="109" t="s">
        <v>15</v>
      </c>
      <c r="H75" s="110">
        <v>209.4</v>
      </c>
      <c r="I75" s="109">
        <v>18</v>
      </c>
      <c r="J75" s="110">
        <v>3769.2</v>
      </c>
    </row>
    <row r="76" spans="1:10" x14ac:dyDescent="0.25">
      <c r="A76" s="109" t="s">
        <v>112</v>
      </c>
      <c r="B76" s="112">
        <v>45955</v>
      </c>
      <c r="C76" s="109" t="s">
        <v>11</v>
      </c>
      <c r="D76" s="109" t="s">
        <v>22</v>
      </c>
      <c r="E76" s="109" t="s">
        <v>18</v>
      </c>
      <c r="F76" s="109" t="s">
        <v>61</v>
      </c>
      <c r="G76" s="109" t="s">
        <v>36</v>
      </c>
      <c r="H76" s="110">
        <v>185.51</v>
      </c>
      <c r="I76" s="109">
        <v>9</v>
      </c>
      <c r="J76" s="110">
        <v>1669.59</v>
      </c>
    </row>
    <row r="77" spans="1:10" x14ac:dyDescent="0.25">
      <c r="A77" s="109" t="s">
        <v>113</v>
      </c>
      <c r="B77" s="112">
        <v>45818</v>
      </c>
      <c r="C77" s="109" t="s">
        <v>25</v>
      </c>
      <c r="D77" s="109" t="s">
        <v>55</v>
      </c>
      <c r="E77" s="109" t="s">
        <v>45</v>
      </c>
      <c r="F77" s="109" t="s">
        <v>61</v>
      </c>
      <c r="G77" s="109" t="s">
        <v>20</v>
      </c>
      <c r="H77" s="110">
        <v>190.38</v>
      </c>
      <c r="I77" s="109">
        <v>14</v>
      </c>
      <c r="J77" s="110">
        <v>2665.32</v>
      </c>
    </row>
    <row r="78" spans="1:10" x14ac:dyDescent="0.25">
      <c r="A78" s="109" t="s">
        <v>114</v>
      </c>
      <c r="B78" s="112">
        <v>45755</v>
      </c>
      <c r="C78" s="109" t="s">
        <v>11</v>
      </c>
      <c r="D78" s="109" t="s">
        <v>12</v>
      </c>
      <c r="E78" s="109" t="s">
        <v>41</v>
      </c>
      <c r="F78" s="109" t="s">
        <v>19</v>
      </c>
      <c r="G78" s="109" t="s">
        <v>20</v>
      </c>
      <c r="H78" s="110">
        <v>199.68</v>
      </c>
      <c r="I78" s="109">
        <v>9</v>
      </c>
      <c r="J78" s="110">
        <v>1797.12</v>
      </c>
    </row>
    <row r="79" spans="1:10" x14ac:dyDescent="0.25">
      <c r="A79" s="109" t="s">
        <v>115</v>
      </c>
      <c r="B79" s="112">
        <v>45933</v>
      </c>
      <c r="C79" s="109" t="s">
        <v>34</v>
      </c>
      <c r="D79" s="109" t="s">
        <v>31</v>
      </c>
      <c r="E79" s="109" t="s">
        <v>45</v>
      </c>
      <c r="F79" s="109" t="s">
        <v>28</v>
      </c>
      <c r="G79" s="109" t="s">
        <v>36</v>
      </c>
      <c r="H79" s="110">
        <v>46.29</v>
      </c>
      <c r="I79" s="109">
        <v>7</v>
      </c>
      <c r="J79" s="110">
        <v>324.02999999999997</v>
      </c>
    </row>
    <row r="80" spans="1:10" x14ac:dyDescent="0.25">
      <c r="A80" s="109" t="s">
        <v>116</v>
      </c>
      <c r="B80" s="112">
        <v>45977</v>
      </c>
      <c r="C80" s="109" t="s">
        <v>17</v>
      </c>
      <c r="D80" s="109" t="s">
        <v>22</v>
      </c>
      <c r="E80" s="109" t="s">
        <v>27</v>
      </c>
      <c r="F80" s="109" t="s">
        <v>32</v>
      </c>
      <c r="G80" s="109" t="s">
        <v>20</v>
      </c>
      <c r="H80" s="110">
        <v>108.86</v>
      </c>
      <c r="I80" s="109">
        <v>11</v>
      </c>
      <c r="J80" s="110">
        <v>1197.46</v>
      </c>
    </row>
    <row r="81" spans="1:10" x14ac:dyDescent="0.25">
      <c r="A81" s="109" t="s">
        <v>117</v>
      </c>
      <c r="B81" s="112">
        <v>45816</v>
      </c>
      <c r="C81" s="109" t="s">
        <v>34</v>
      </c>
      <c r="D81" s="109" t="s">
        <v>31</v>
      </c>
      <c r="E81" s="109" t="s">
        <v>27</v>
      </c>
      <c r="F81" s="109" t="s">
        <v>32</v>
      </c>
      <c r="G81" s="109" t="s">
        <v>20</v>
      </c>
      <c r="H81" s="110">
        <v>55.49</v>
      </c>
      <c r="I81" s="109">
        <v>14</v>
      </c>
      <c r="J81" s="110">
        <v>776.86</v>
      </c>
    </row>
    <row r="82" spans="1:10" x14ac:dyDescent="0.25">
      <c r="A82" s="109" t="s">
        <v>118</v>
      </c>
      <c r="B82" s="112">
        <v>45723</v>
      </c>
      <c r="C82" s="109" t="s">
        <v>38</v>
      </c>
      <c r="D82" s="109" t="s">
        <v>12</v>
      </c>
      <c r="E82" s="109" t="s">
        <v>41</v>
      </c>
      <c r="F82" s="109" t="s">
        <v>28</v>
      </c>
      <c r="G82" s="109" t="s">
        <v>20</v>
      </c>
      <c r="H82" s="110">
        <v>219.88</v>
      </c>
      <c r="I82" s="109">
        <v>7</v>
      </c>
      <c r="J82" s="110">
        <v>1539.16</v>
      </c>
    </row>
    <row r="83" spans="1:10" x14ac:dyDescent="0.25">
      <c r="A83" s="109" t="s">
        <v>119</v>
      </c>
      <c r="B83" s="112">
        <v>45747</v>
      </c>
      <c r="C83" s="109" t="s">
        <v>25</v>
      </c>
      <c r="D83" s="109" t="s">
        <v>35</v>
      </c>
      <c r="E83" s="109" t="s">
        <v>41</v>
      </c>
      <c r="F83" s="109" t="s">
        <v>42</v>
      </c>
      <c r="G83" s="109" t="s">
        <v>15</v>
      </c>
      <c r="H83" s="110">
        <v>167.13</v>
      </c>
      <c r="I83" s="109">
        <v>20</v>
      </c>
      <c r="J83" s="110">
        <v>3342.6</v>
      </c>
    </row>
    <row r="84" spans="1:10" x14ac:dyDescent="0.25">
      <c r="A84" s="109" t="s">
        <v>120</v>
      </c>
      <c r="B84" s="112">
        <v>45813</v>
      </c>
      <c r="C84" s="109" t="s">
        <v>30</v>
      </c>
      <c r="D84" s="109" t="s">
        <v>31</v>
      </c>
      <c r="E84" s="109" t="s">
        <v>18</v>
      </c>
      <c r="F84" s="109" t="s">
        <v>42</v>
      </c>
      <c r="G84" s="109" t="s">
        <v>20</v>
      </c>
      <c r="H84" s="110">
        <v>102.8</v>
      </c>
      <c r="I84" s="109">
        <v>10</v>
      </c>
      <c r="J84" s="110">
        <v>1028</v>
      </c>
    </row>
    <row r="85" spans="1:10" x14ac:dyDescent="0.25">
      <c r="A85" s="109" t="s">
        <v>121</v>
      </c>
      <c r="B85" s="112">
        <v>45822</v>
      </c>
      <c r="C85" s="109" t="s">
        <v>38</v>
      </c>
      <c r="D85" s="109" t="s">
        <v>31</v>
      </c>
      <c r="E85" s="109" t="s">
        <v>27</v>
      </c>
      <c r="F85" s="109" t="s">
        <v>14</v>
      </c>
      <c r="G85" s="109" t="s">
        <v>20</v>
      </c>
      <c r="H85" s="110">
        <v>43.98</v>
      </c>
      <c r="I85" s="109">
        <v>15</v>
      </c>
      <c r="J85" s="110">
        <v>659.7</v>
      </c>
    </row>
    <row r="86" spans="1:10" x14ac:dyDescent="0.25">
      <c r="A86" s="109" t="s">
        <v>122</v>
      </c>
      <c r="B86" s="112">
        <v>45900</v>
      </c>
      <c r="C86" s="109" t="s">
        <v>17</v>
      </c>
      <c r="D86" s="109" t="s">
        <v>22</v>
      </c>
      <c r="E86" s="109" t="s">
        <v>13</v>
      </c>
      <c r="F86" s="109" t="s">
        <v>42</v>
      </c>
      <c r="G86" s="109" t="s">
        <v>20</v>
      </c>
      <c r="H86" s="110">
        <v>98.42</v>
      </c>
      <c r="I86" s="109">
        <v>6</v>
      </c>
      <c r="J86" s="110">
        <v>590.52</v>
      </c>
    </row>
    <row r="87" spans="1:10" x14ac:dyDescent="0.25">
      <c r="A87" s="109" t="s">
        <v>123</v>
      </c>
      <c r="B87" s="112">
        <v>45982</v>
      </c>
      <c r="C87" s="109" t="s">
        <v>34</v>
      </c>
      <c r="D87" s="109" t="s">
        <v>22</v>
      </c>
      <c r="E87" s="109" t="s">
        <v>23</v>
      </c>
      <c r="F87" s="109" t="s">
        <v>28</v>
      </c>
      <c r="G87" s="109" t="s">
        <v>36</v>
      </c>
      <c r="H87" s="110">
        <v>101.54</v>
      </c>
      <c r="I87" s="109">
        <v>20</v>
      </c>
      <c r="J87" s="110">
        <v>2030.8</v>
      </c>
    </row>
    <row r="88" spans="1:10" x14ac:dyDescent="0.25">
      <c r="A88" s="109" t="s">
        <v>124</v>
      </c>
      <c r="B88" s="112">
        <v>45773</v>
      </c>
      <c r="C88" s="109" t="s">
        <v>30</v>
      </c>
      <c r="D88" s="109" t="s">
        <v>22</v>
      </c>
      <c r="E88" s="109" t="s">
        <v>45</v>
      </c>
      <c r="F88" s="109" t="s">
        <v>14</v>
      </c>
      <c r="G88" s="109" t="s">
        <v>36</v>
      </c>
      <c r="H88" s="110">
        <v>190.51</v>
      </c>
      <c r="I88" s="109">
        <v>7</v>
      </c>
      <c r="J88" s="110">
        <v>1333.57</v>
      </c>
    </row>
    <row r="89" spans="1:10" x14ac:dyDescent="0.25">
      <c r="A89" s="109" t="s">
        <v>125</v>
      </c>
      <c r="B89" s="112">
        <v>45970</v>
      </c>
      <c r="C89" s="109" t="s">
        <v>38</v>
      </c>
      <c r="D89" s="109" t="s">
        <v>31</v>
      </c>
      <c r="E89" s="109" t="s">
        <v>27</v>
      </c>
      <c r="F89" s="109" t="s">
        <v>42</v>
      </c>
      <c r="G89" s="109" t="s">
        <v>15</v>
      </c>
      <c r="H89" s="110">
        <v>170.26</v>
      </c>
      <c r="I89" s="109">
        <v>3</v>
      </c>
      <c r="J89" s="110">
        <v>510.78</v>
      </c>
    </row>
    <row r="90" spans="1:10" x14ac:dyDescent="0.25">
      <c r="A90" s="109" t="s">
        <v>126</v>
      </c>
      <c r="B90" s="112">
        <v>46014</v>
      </c>
      <c r="C90" s="109" t="s">
        <v>38</v>
      </c>
      <c r="D90" s="109" t="s">
        <v>31</v>
      </c>
      <c r="E90" s="109" t="s">
        <v>23</v>
      </c>
      <c r="F90" s="109" t="s">
        <v>14</v>
      </c>
      <c r="G90" s="109" t="s">
        <v>20</v>
      </c>
      <c r="H90" s="110">
        <v>225.19</v>
      </c>
      <c r="I90" s="109">
        <v>13</v>
      </c>
      <c r="J90" s="110">
        <v>2927.47</v>
      </c>
    </row>
    <row r="91" spans="1:10" x14ac:dyDescent="0.25">
      <c r="A91" s="109" t="s">
        <v>127</v>
      </c>
      <c r="B91" s="112">
        <v>46010</v>
      </c>
      <c r="C91" s="109" t="s">
        <v>11</v>
      </c>
      <c r="D91" s="109" t="s">
        <v>31</v>
      </c>
      <c r="E91" s="109" t="s">
        <v>23</v>
      </c>
      <c r="F91" s="109" t="s">
        <v>14</v>
      </c>
      <c r="G91" s="109" t="s">
        <v>20</v>
      </c>
      <c r="H91" s="110">
        <v>133.88999999999999</v>
      </c>
      <c r="I91" s="109">
        <v>1</v>
      </c>
      <c r="J91" s="110">
        <v>133.88999999999999</v>
      </c>
    </row>
    <row r="92" spans="1:10" x14ac:dyDescent="0.25">
      <c r="A92" s="109" t="s">
        <v>128</v>
      </c>
      <c r="B92" s="112">
        <v>45923</v>
      </c>
      <c r="C92" s="109" t="s">
        <v>11</v>
      </c>
      <c r="D92" s="109" t="s">
        <v>55</v>
      </c>
      <c r="E92" s="109" t="s">
        <v>23</v>
      </c>
      <c r="F92" s="109" t="s">
        <v>39</v>
      </c>
      <c r="G92" s="109" t="s">
        <v>15</v>
      </c>
      <c r="H92" s="110">
        <v>56.31</v>
      </c>
      <c r="I92" s="109">
        <v>15</v>
      </c>
      <c r="J92" s="110">
        <v>844.65</v>
      </c>
    </row>
    <row r="93" spans="1:10" x14ac:dyDescent="0.25">
      <c r="A93" s="109" t="s">
        <v>129</v>
      </c>
      <c r="B93" s="112">
        <v>45891</v>
      </c>
      <c r="C93" s="109" t="s">
        <v>38</v>
      </c>
      <c r="D93" s="109" t="s">
        <v>12</v>
      </c>
      <c r="E93" s="109" t="s">
        <v>18</v>
      </c>
      <c r="F93" s="109" t="s">
        <v>42</v>
      </c>
      <c r="G93" s="109" t="s">
        <v>20</v>
      </c>
      <c r="H93" s="110">
        <v>186.91</v>
      </c>
      <c r="I93" s="109">
        <v>5</v>
      </c>
      <c r="J93" s="110">
        <v>934.55</v>
      </c>
    </row>
    <row r="94" spans="1:10" x14ac:dyDescent="0.25">
      <c r="A94" s="109" t="s">
        <v>130</v>
      </c>
      <c r="B94" s="112">
        <v>45820</v>
      </c>
      <c r="C94" s="109" t="s">
        <v>25</v>
      </c>
      <c r="D94" s="109" t="s">
        <v>12</v>
      </c>
      <c r="E94" s="109" t="s">
        <v>18</v>
      </c>
      <c r="F94" s="109" t="s">
        <v>61</v>
      </c>
      <c r="G94" s="109" t="s">
        <v>20</v>
      </c>
      <c r="H94" s="110">
        <v>197.37</v>
      </c>
      <c r="I94" s="109">
        <v>15</v>
      </c>
      <c r="J94" s="110">
        <v>2960.55</v>
      </c>
    </row>
    <row r="95" spans="1:10" x14ac:dyDescent="0.25">
      <c r="A95" s="109" t="s">
        <v>131</v>
      </c>
      <c r="B95" s="112">
        <v>45886</v>
      </c>
      <c r="C95" s="109" t="s">
        <v>17</v>
      </c>
      <c r="D95" s="109" t="s">
        <v>31</v>
      </c>
      <c r="E95" s="109" t="s">
        <v>41</v>
      </c>
      <c r="F95" s="109" t="s">
        <v>32</v>
      </c>
      <c r="G95" s="109" t="s">
        <v>15</v>
      </c>
      <c r="H95" s="110">
        <v>153.47999999999999</v>
      </c>
      <c r="I95" s="109">
        <v>6</v>
      </c>
      <c r="J95" s="110">
        <v>920.88</v>
      </c>
    </row>
    <row r="96" spans="1:10" x14ac:dyDescent="0.25">
      <c r="A96" s="109" t="s">
        <v>132</v>
      </c>
      <c r="B96" s="112">
        <v>45984</v>
      </c>
      <c r="C96" s="109" t="s">
        <v>25</v>
      </c>
      <c r="D96" s="109" t="s">
        <v>31</v>
      </c>
      <c r="E96" s="109" t="s">
        <v>27</v>
      </c>
      <c r="F96" s="109" t="s">
        <v>14</v>
      </c>
      <c r="G96" s="109" t="s">
        <v>36</v>
      </c>
      <c r="H96" s="110">
        <v>199.61</v>
      </c>
      <c r="I96" s="109">
        <v>9</v>
      </c>
      <c r="J96" s="110">
        <v>1796.49</v>
      </c>
    </row>
    <row r="97" spans="1:10" x14ac:dyDescent="0.25">
      <c r="A97" s="109" t="s">
        <v>133</v>
      </c>
      <c r="B97" s="112">
        <v>45883</v>
      </c>
      <c r="C97" s="109" t="s">
        <v>17</v>
      </c>
      <c r="D97" s="109" t="s">
        <v>35</v>
      </c>
      <c r="E97" s="109" t="s">
        <v>23</v>
      </c>
      <c r="F97" s="109" t="s">
        <v>32</v>
      </c>
      <c r="G97" s="109" t="s">
        <v>36</v>
      </c>
      <c r="H97" s="110">
        <v>138.63999999999999</v>
      </c>
      <c r="I97" s="109">
        <v>3</v>
      </c>
      <c r="J97" s="110">
        <v>415.92</v>
      </c>
    </row>
    <row r="98" spans="1:10" x14ac:dyDescent="0.25">
      <c r="A98" s="109" t="s">
        <v>134</v>
      </c>
      <c r="B98" s="112">
        <v>45821</v>
      </c>
      <c r="C98" s="109" t="s">
        <v>11</v>
      </c>
      <c r="D98" s="109" t="s">
        <v>26</v>
      </c>
      <c r="E98" s="109" t="s">
        <v>23</v>
      </c>
      <c r="F98" s="109" t="s">
        <v>14</v>
      </c>
      <c r="G98" s="109" t="s">
        <v>36</v>
      </c>
      <c r="H98" s="110">
        <v>145</v>
      </c>
      <c r="I98" s="109">
        <v>18</v>
      </c>
      <c r="J98" s="110">
        <v>2610</v>
      </c>
    </row>
    <row r="99" spans="1:10" x14ac:dyDescent="0.25">
      <c r="A99" s="109" t="s">
        <v>135</v>
      </c>
      <c r="B99" s="112">
        <v>46013</v>
      </c>
      <c r="C99" s="109" t="s">
        <v>17</v>
      </c>
      <c r="D99" s="109" t="s">
        <v>26</v>
      </c>
      <c r="E99" s="109" t="s">
        <v>45</v>
      </c>
      <c r="F99" s="109" t="s">
        <v>61</v>
      </c>
      <c r="G99" s="109" t="s">
        <v>36</v>
      </c>
      <c r="H99" s="110">
        <v>124.06</v>
      </c>
      <c r="I99" s="109">
        <v>5</v>
      </c>
      <c r="J99" s="110">
        <v>620.29999999999995</v>
      </c>
    </row>
    <row r="100" spans="1:10" x14ac:dyDescent="0.25">
      <c r="A100" s="109" t="s">
        <v>136</v>
      </c>
      <c r="B100" s="112">
        <v>45827</v>
      </c>
      <c r="C100" s="109" t="s">
        <v>38</v>
      </c>
      <c r="D100" s="109" t="s">
        <v>31</v>
      </c>
      <c r="E100" s="109" t="s">
        <v>45</v>
      </c>
      <c r="F100" s="109" t="s">
        <v>14</v>
      </c>
      <c r="G100" s="109" t="s">
        <v>36</v>
      </c>
      <c r="H100" s="110">
        <v>35.590000000000003</v>
      </c>
      <c r="I100" s="109">
        <v>18</v>
      </c>
      <c r="J100" s="110">
        <v>640.62</v>
      </c>
    </row>
    <row r="101" spans="1:10" x14ac:dyDescent="0.25">
      <c r="A101" s="109" t="s">
        <v>137</v>
      </c>
      <c r="B101" s="112">
        <v>45857</v>
      </c>
      <c r="C101" s="109" t="s">
        <v>17</v>
      </c>
      <c r="D101" s="109" t="s">
        <v>22</v>
      </c>
      <c r="E101" s="109" t="s">
        <v>18</v>
      </c>
      <c r="F101" s="109" t="s">
        <v>61</v>
      </c>
      <c r="G101" s="109" t="s">
        <v>36</v>
      </c>
      <c r="H101" s="110">
        <v>53.74</v>
      </c>
      <c r="I101" s="109">
        <v>19</v>
      </c>
      <c r="J101" s="110">
        <v>1021.06</v>
      </c>
    </row>
    <row r="102" spans="1:10" x14ac:dyDescent="0.25">
      <c r="A102" s="109" t="s">
        <v>138</v>
      </c>
      <c r="B102" s="112">
        <v>45661</v>
      </c>
      <c r="C102" s="109" t="s">
        <v>34</v>
      </c>
      <c r="D102" s="109" t="s">
        <v>31</v>
      </c>
      <c r="E102" s="109" t="s">
        <v>41</v>
      </c>
      <c r="F102" s="109" t="s">
        <v>42</v>
      </c>
      <c r="G102" s="109" t="s">
        <v>20</v>
      </c>
      <c r="H102" s="110">
        <v>36.909999999999997</v>
      </c>
      <c r="I102" s="109">
        <v>12</v>
      </c>
      <c r="J102" s="110">
        <v>442.92</v>
      </c>
    </row>
    <row r="103" spans="1:10" x14ac:dyDescent="0.25">
      <c r="A103" s="109" t="s">
        <v>139</v>
      </c>
      <c r="B103" s="112">
        <v>45937</v>
      </c>
      <c r="C103" s="109" t="s">
        <v>30</v>
      </c>
      <c r="D103" s="109" t="s">
        <v>31</v>
      </c>
      <c r="E103" s="109" t="s">
        <v>23</v>
      </c>
      <c r="F103" s="109" t="s">
        <v>32</v>
      </c>
      <c r="G103" s="109" t="s">
        <v>36</v>
      </c>
      <c r="H103" s="110">
        <v>170.01</v>
      </c>
      <c r="I103" s="109">
        <v>20</v>
      </c>
      <c r="J103" s="110">
        <v>3400.2</v>
      </c>
    </row>
    <row r="104" spans="1:10" x14ac:dyDescent="0.25">
      <c r="A104" s="109" t="s">
        <v>140</v>
      </c>
      <c r="B104" s="112">
        <v>45906</v>
      </c>
      <c r="C104" s="109" t="s">
        <v>38</v>
      </c>
      <c r="D104" s="109" t="s">
        <v>35</v>
      </c>
      <c r="E104" s="109" t="s">
        <v>27</v>
      </c>
      <c r="F104" s="109" t="s">
        <v>28</v>
      </c>
      <c r="G104" s="109" t="s">
        <v>36</v>
      </c>
      <c r="H104" s="110">
        <v>99.16</v>
      </c>
      <c r="I104" s="109">
        <v>1</v>
      </c>
      <c r="J104" s="110">
        <v>99.16</v>
      </c>
    </row>
    <row r="105" spans="1:10" x14ac:dyDescent="0.25">
      <c r="A105" s="109" t="s">
        <v>141</v>
      </c>
      <c r="B105" s="112">
        <v>45742</v>
      </c>
      <c r="C105" s="109" t="s">
        <v>30</v>
      </c>
      <c r="D105" s="109" t="s">
        <v>55</v>
      </c>
      <c r="E105" s="109" t="s">
        <v>18</v>
      </c>
      <c r="F105" s="109" t="s">
        <v>19</v>
      </c>
      <c r="G105" s="109" t="s">
        <v>36</v>
      </c>
      <c r="H105" s="110">
        <v>141.88999999999999</v>
      </c>
      <c r="I105" s="109">
        <v>15</v>
      </c>
      <c r="J105" s="110">
        <v>2128.35</v>
      </c>
    </row>
    <row r="106" spans="1:10" x14ac:dyDescent="0.25">
      <c r="A106" s="109" t="s">
        <v>142</v>
      </c>
      <c r="B106" s="112">
        <v>45961</v>
      </c>
      <c r="C106" s="109" t="s">
        <v>17</v>
      </c>
      <c r="D106" s="109" t="s">
        <v>22</v>
      </c>
      <c r="E106" s="109" t="s">
        <v>45</v>
      </c>
      <c r="F106" s="109" t="s">
        <v>28</v>
      </c>
      <c r="G106" s="109" t="s">
        <v>36</v>
      </c>
      <c r="H106" s="110">
        <v>229.66</v>
      </c>
      <c r="I106" s="109">
        <v>19</v>
      </c>
      <c r="J106" s="110">
        <v>4363.54</v>
      </c>
    </row>
    <row r="107" spans="1:10" x14ac:dyDescent="0.25">
      <c r="A107" s="109" t="s">
        <v>143</v>
      </c>
      <c r="B107" s="112">
        <v>45727</v>
      </c>
      <c r="C107" s="109" t="s">
        <v>30</v>
      </c>
      <c r="D107" s="109" t="s">
        <v>22</v>
      </c>
      <c r="E107" s="109" t="s">
        <v>13</v>
      </c>
      <c r="F107" s="109" t="s">
        <v>61</v>
      </c>
      <c r="G107" s="109" t="s">
        <v>36</v>
      </c>
      <c r="H107" s="110">
        <v>84.84</v>
      </c>
      <c r="I107" s="109">
        <v>15</v>
      </c>
      <c r="J107" s="110">
        <v>1272.5999999999999</v>
      </c>
    </row>
    <row r="108" spans="1:10" x14ac:dyDescent="0.25">
      <c r="A108" s="109" t="s">
        <v>144</v>
      </c>
      <c r="B108" s="112">
        <v>45766</v>
      </c>
      <c r="C108" s="109" t="s">
        <v>34</v>
      </c>
      <c r="D108" s="109" t="s">
        <v>35</v>
      </c>
      <c r="E108" s="109" t="s">
        <v>41</v>
      </c>
      <c r="F108" s="109" t="s">
        <v>32</v>
      </c>
      <c r="G108" s="109" t="s">
        <v>36</v>
      </c>
      <c r="H108" s="110">
        <v>120.28</v>
      </c>
      <c r="I108" s="109">
        <v>15</v>
      </c>
      <c r="J108" s="110">
        <v>1804.2</v>
      </c>
    </row>
    <row r="109" spans="1:10" x14ac:dyDescent="0.25">
      <c r="A109" s="109" t="s">
        <v>145</v>
      </c>
      <c r="B109" s="112">
        <v>45787</v>
      </c>
      <c r="C109" s="109" t="s">
        <v>38</v>
      </c>
      <c r="D109" s="109" t="s">
        <v>22</v>
      </c>
      <c r="E109" s="109" t="s">
        <v>27</v>
      </c>
      <c r="F109" s="109" t="s">
        <v>42</v>
      </c>
      <c r="G109" s="109" t="s">
        <v>15</v>
      </c>
      <c r="H109" s="110">
        <v>196.22</v>
      </c>
      <c r="I109" s="109">
        <v>3</v>
      </c>
      <c r="J109" s="110">
        <v>588.66</v>
      </c>
    </row>
    <row r="110" spans="1:10" x14ac:dyDescent="0.25">
      <c r="A110" s="109" t="s">
        <v>146</v>
      </c>
      <c r="B110" s="112">
        <v>45837</v>
      </c>
      <c r="C110" s="109" t="s">
        <v>17</v>
      </c>
      <c r="D110" s="109" t="s">
        <v>22</v>
      </c>
      <c r="E110" s="109" t="s">
        <v>27</v>
      </c>
      <c r="F110" s="109" t="s">
        <v>19</v>
      </c>
      <c r="G110" s="109" t="s">
        <v>15</v>
      </c>
      <c r="H110" s="110">
        <v>80.34</v>
      </c>
      <c r="I110" s="109">
        <v>8</v>
      </c>
      <c r="J110" s="110">
        <v>642.72</v>
      </c>
    </row>
    <row r="111" spans="1:10" x14ac:dyDescent="0.25">
      <c r="A111" s="109" t="s">
        <v>147</v>
      </c>
      <c r="B111" s="112">
        <v>45784</v>
      </c>
      <c r="C111" s="109" t="s">
        <v>11</v>
      </c>
      <c r="D111" s="109" t="s">
        <v>55</v>
      </c>
      <c r="E111" s="109" t="s">
        <v>23</v>
      </c>
      <c r="F111" s="109" t="s">
        <v>14</v>
      </c>
      <c r="G111" s="109" t="s">
        <v>15</v>
      </c>
      <c r="H111" s="110">
        <v>46.94</v>
      </c>
      <c r="I111" s="109">
        <v>7</v>
      </c>
      <c r="J111" s="110">
        <v>328.58</v>
      </c>
    </row>
    <row r="112" spans="1:10" x14ac:dyDescent="0.25">
      <c r="A112" s="109" t="s">
        <v>148</v>
      </c>
      <c r="B112" s="112">
        <v>45900</v>
      </c>
      <c r="C112" s="109" t="s">
        <v>25</v>
      </c>
      <c r="D112" s="109" t="s">
        <v>26</v>
      </c>
      <c r="E112" s="109" t="s">
        <v>41</v>
      </c>
      <c r="F112" s="109" t="s">
        <v>28</v>
      </c>
      <c r="G112" s="109" t="s">
        <v>36</v>
      </c>
      <c r="H112" s="110">
        <v>93.75</v>
      </c>
      <c r="I112" s="109">
        <v>4</v>
      </c>
      <c r="J112" s="110">
        <v>375</v>
      </c>
    </row>
    <row r="113" spans="1:10" x14ac:dyDescent="0.25">
      <c r="A113" s="109" t="s">
        <v>149</v>
      </c>
      <c r="B113" s="112">
        <v>45846</v>
      </c>
      <c r="C113" s="109" t="s">
        <v>25</v>
      </c>
      <c r="D113" s="109" t="s">
        <v>55</v>
      </c>
      <c r="E113" s="109" t="s">
        <v>27</v>
      </c>
      <c r="F113" s="109" t="s">
        <v>28</v>
      </c>
      <c r="G113" s="109" t="s">
        <v>15</v>
      </c>
      <c r="H113" s="110">
        <v>65.47</v>
      </c>
      <c r="I113" s="109">
        <v>6</v>
      </c>
      <c r="J113" s="110">
        <v>392.82</v>
      </c>
    </row>
    <row r="114" spans="1:10" x14ac:dyDescent="0.25">
      <c r="A114" s="109" t="s">
        <v>150</v>
      </c>
      <c r="B114" s="112">
        <v>45741</v>
      </c>
      <c r="C114" s="109" t="s">
        <v>11</v>
      </c>
      <c r="D114" s="109" t="s">
        <v>55</v>
      </c>
      <c r="E114" s="109" t="s">
        <v>45</v>
      </c>
      <c r="F114" s="109" t="s">
        <v>32</v>
      </c>
      <c r="G114" s="109" t="s">
        <v>20</v>
      </c>
      <c r="H114" s="110">
        <v>234.53</v>
      </c>
      <c r="I114" s="109">
        <v>10</v>
      </c>
      <c r="J114" s="110">
        <v>2345.3000000000002</v>
      </c>
    </row>
    <row r="115" spans="1:10" x14ac:dyDescent="0.25">
      <c r="A115" s="109" t="s">
        <v>151</v>
      </c>
      <c r="B115" s="112">
        <v>46004</v>
      </c>
      <c r="C115" s="109" t="s">
        <v>38</v>
      </c>
      <c r="D115" s="109" t="s">
        <v>12</v>
      </c>
      <c r="E115" s="109" t="s">
        <v>23</v>
      </c>
      <c r="F115" s="109" t="s">
        <v>19</v>
      </c>
      <c r="G115" s="109" t="s">
        <v>20</v>
      </c>
      <c r="H115" s="110">
        <v>207.79</v>
      </c>
      <c r="I115" s="109">
        <v>13</v>
      </c>
      <c r="J115" s="110">
        <v>2701.27</v>
      </c>
    </row>
    <row r="116" spans="1:10" x14ac:dyDescent="0.25">
      <c r="A116" s="109" t="s">
        <v>152</v>
      </c>
      <c r="B116" s="112">
        <v>46011</v>
      </c>
      <c r="C116" s="109" t="s">
        <v>11</v>
      </c>
      <c r="D116" s="109" t="s">
        <v>12</v>
      </c>
      <c r="E116" s="109" t="s">
        <v>13</v>
      </c>
      <c r="F116" s="109" t="s">
        <v>39</v>
      </c>
      <c r="G116" s="109" t="s">
        <v>20</v>
      </c>
      <c r="H116" s="110">
        <v>169.35</v>
      </c>
      <c r="I116" s="109">
        <v>8</v>
      </c>
      <c r="J116" s="110">
        <v>1354.8</v>
      </c>
    </row>
    <row r="117" spans="1:10" x14ac:dyDescent="0.25">
      <c r="A117" s="109" t="s">
        <v>153</v>
      </c>
      <c r="B117" s="112">
        <v>45965</v>
      </c>
      <c r="C117" s="109" t="s">
        <v>25</v>
      </c>
      <c r="D117" s="109" t="s">
        <v>22</v>
      </c>
      <c r="E117" s="109" t="s">
        <v>13</v>
      </c>
      <c r="F117" s="109" t="s">
        <v>42</v>
      </c>
      <c r="G117" s="109" t="s">
        <v>36</v>
      </c>
      <c r="H117" s="110">
        <v>221.72</v>
      </c>
      <c r="I117" s="109">
        <v>4</v>
      </c>
      <c r="J117" s="110">
        <v>886.88</v>
      </c>
    </row>
    <row r="118" spans="1:10" x14ac:dyDescent="0.25">
      <c r="A118" s="109" t="s">
        <v>154</v>
      </c>
      <c r="B118" s="112">
        <v>45996</v>
      </c>
      <c r="C118" s="109" t="s">
        <v>11</v>
      </c>
      <c r="D118" s="109" t="s">
        <v>55</v>
      </c>
      <c r="E118" s="109" t="s">
        <v>27</v>
      </c>
      <c r="F118" s="109" t="s">
        <v>32</v>
      </c>
      <c r="G118" s="109" t="s">
        <v>15</v>
      </c>
      <c r="H118" s="110">
        <v>206.81</v>
      </c>
      <c r="I118" s="109">
        <v>12</v>
      </c>
      <c r="J118" s="110">
        <v>2481.7199999999998</v>
      </c>
    </row>
    <row r="119" spans="1:10" x14ac:dyDescent="0.25">
      <c r="A119" s="109" t="s">
        <v>155</v>
      </c>
      <c r="B119" s="112">
        <v>45873</v>
      </c>
      <c r="C119" s="109" t="s">
        <v>11</v>
      </c>
      <c r="D119" s="109" t="s">
        <v>31</v>
      </c>
      <c r="E119" s="109" t="s">
        <v>13</v>
      </c>
      <c r="F119" s="109" t="s">
        <v>28</v>
      </c>
      <c r="G119" s="109" t="s">
        <v>36</v>
      </c>
      <c r="H119" s="110">
        <v>71.05</v>
      </c>
      <c r="I119" s="109">
        <v>16</v>
      </c>
      <c r="J119" s="110">
        <v>1136.8</v>
      </c>
    </row>
    <row r="120" spans="1:10" x14ac:dyDescent="0.25">
      <c r="A120" s="109" t="s">
        <v>156</v>
      </c>
      <c r="B120" s="112">
        <v>46020</v>
      </c>
      <c r="C120" s="109" t="s">
        <v>38</v>
      </c>
      <c r="D120" s="109" t="s">
        <v>26</v>
      </c>
      <c r="E120" s="109" t="s">
        <v>27</v>
      </c>
      <c r="F120" s="109" t="s">
        <v>42</v>
      </c>
      <c r="G120" s="109" t="s">
        <v>20</v>
      </c>
      <c r="H120" s="110">
        <v>226.36</v>
      </c>
      <c r="I120" s="109">
        <v>5</v>
      </c>
      <c r="J120" s="110">
        <v>1131.8</v>
      </c>
    </row>
    <row r="121" spans="1:10" x14ac:dyDescent="0.25">
      <c r="A121" s="109" t="s">
        <v>157</v>
      </c>
      <c r="B121" s="112">
        <v>45796</v>
      </c>
      <c r="C121" s="109" t="s">
        <v>25</v>
      </c>
      <c r="D121" s="109" t="s">
        <v>31</v>
      </c>
      <c r="E121" s="109" t="s">
        <v>41</v>
      </c>
      <c r="F121" s="109" t="s">
        <v>61</v>
      </c>
      <c r="G121" s="109" t="s">
        <v>20</v>
      </c>
      <c r="H121" s="110">
        <v>148.66</v>
      </c>
      <c r="I121" s="109">
        <v>20</v>
      </c>
      <c r="J121" s="110">
        <v>2973.2</v>
      </c>
    </row>
    <row r="122" spans="1:10" x14ac:dyDescent="0.25">
      <c r="A122" s="109" t="s">
        <v>158</v>
      </c>
      <c r="B122" s="112">
        <v>45961</v>
      </c>
      <c r="C122" s="109" t="s">
        <v>34</v>
      </c>
      <c r="D122" s="109" t="s">
        <v>26</v>
      </c>
      <c r="E122" s="109" t="s">
        <v>45</v>
      </c>
      <c r="F122" s="109" t="s">
        <v>32</v>
      </c>
      <c r="G122" s="109" t="s">
        <v>36</v>
      </c>
      <c r="H122" s="110">
        <v>207.64</v>
      </c>
      <c r="I122" s="109">
        <v>9</v>
      </c>
      <c r="J122" s="110">
        <v>1868.76</v>
      </c>
    </row>
    <row r="123" spans="1:10" x14ac:dyDescent="0.25">
      <c r="A123" s="109" t="s">
        <v>159</v>
      </c>
      <c r="B123" s="112">
        <v>45782</v>
      </c>
      <c r="C123" s="109" t="s">
        <v>25</v>
      </c>
      <c r="D123" s="109" t="s">
        <v>55</v>
      </c>
      <c r="E123" s="109" t="s">
        <v>27</v>
      </c>
      <c r="F123" s="109" t="s">
        <v>61</v>
      </c>
      <c r="G123" s="109" t="s">
        <v>36</v>
      </c>
      <c r="H123" s="110">
        <v>227.14</v>
      </c>
      <c r="I123" s="109">
        <v>15</v>
      </c>
      <c r="J123" s="110">
        <v>3407.1</v>
      </c>
    </row>
    <row r="124" spans="1:10" x14ac:dyDescent="0.25">
      <c r="A124" s="109" t="s">
        <v>160</v>
      </c>
      <c r="B124" s="112">
        <v>45672</v>
      </c>
      <c r="C124" s="109" t="s">
        <v>34</v>
      </c>
      <c r="D124" s="109" t="s">
        <v>26</v>
      </c>
      <c r="E124" s="109" t="s">
        <v>41</v>
      </c>
      <c r="F124" s="109" t="s">
        <v>14</v>
      </c>
      <c r="G124" s="109" t="s">
        <v>36</v>
      </c>
      <c r="H124" s="110">
        <v>99.96</v>
      </c>
      <c r="I124" s="109">
        <v>16</v>
      </c>
      <c r="J124" s="110">
        <v>1599.36</v>
      </c>
    </row>
    <row r="125" spans="1:10" x14ac:dyDescent="0.25">
      <c r="A125" s="109" t="s">
        <v>161</v>
      </c>
      <c r="B125" s="112">
        <v>45790</v>
      </c>
      <c r="C125" s="109" t="s">
        <v>34</v>
      </c>
      <c r="D125" s="109" t="s">
        <v>55</v>
      </c>
      <c r="E125" s="109" t="s">
        <v>27</v>
      </c>
      <c r="F125" s="109" t="s">
        <v>32</v>
      </c>
      <c r="G125" s="109" t="s">
        <v>20</v>
      </c>
      <c r="H125" s="110">
        <v>54.21</v>
      </c>
      <c r="I125" s="109">
        <v>11</v>
      </c>
      <c r="J125" s="110">
        <v>596.30999999999995</v>
      </c>
    </row>
    <row r="126" spans="1:10" x14ac:dyDescent="0.25">
      <c r="A126" s="109" t="s">
        <v>162</v>
      </c>
      <c r="B126" s="112">
        <v>45663</v>
      </c>
      <c r="C126" s="109" t="s">
        <v>30</v>
      </c>
      <c r="D126" s="109" t="s">
        <v>22</v>
      </c>
      <c r="E126" s="109" t="s">
        <v>23</v>
      </c>
      <c r="F126" s="109" t="s">
        <v>28</v>
      </c>
      <c r="G126" s="109" t="s">
        <v>36</v>
      </c>
      <c r="H126" s="110">
        <v>80.150000000000006</v>
      </c>
      <c r="I126" s="109">
        <v>17</v>
      </c>
      <c r="J126" s="110">
        <v>1362.55</v>
      </c>
    </row>
    <row r="127" spans="1:10" x14ac:dyDescent="0.25">
      <c r="A127" s="109" t="s">
        <v>163</v>
      </c>
      <c r="B127" s="112">
        <v>45908</v>
      </c>
      <c r="C127" s="109" t="s">
        <v>30</v>
      </c>
      <c r="D127" s="109" t="s">
        <v>12</v>
      </c>
      <c r="E127" s="109" t="s">
        <v>41</v>
      </c>
      <c r="F127" s="109" t="s">
        <v>28</v>
      </c>
      <c r="G127" s="109" t="s">
        <v>20</v>
      </c>
      <c r="H127" s="110">
        <v>123.96</v>
      </c>
      <c r="I127" s="109">
        <v>18</v>
      </c>
      <c r="J127" s="110">
        <v>2231.2800000000002</v>
      </c>
    </row>
    <row r="128" spans="1:10" x14ac:dyDescent="0.25">
      <c r="A128" s="109" t="s">
        <v>164</v>
      </c>
      <c r="B128" s="112">
        <v>45909</v>
      </c>
      <c r="C128" s="109" t="s">
        <v>11</v>
      </c>
      <c r="D128" s="109" t="s">
        <v>22</v>
      </c>
      <c r="E128" s="109" t="s">
        <v>13</v>
      </c>
      <c r="F128" s="109" t="s">
        <v>14</v>
      </c>
      <c r="G128" s="109" t="s">
        <v>36</v>
      </c>
      <c r="H128" s="110">
        <v>209.96</v>
      </c>
      <c r="I128" s="109">
        <v>15</v>
      </c>
      <c r="J128" s="110">
        <v>3149.4</v>
      </c>
    </row>
    <row r="129" spans="1:10" x14ac:dyDescent="0.25">
      <c r="A129" s="109" t="s">
        <v>165</v>
      </c>
      <c r="B129" s="112">
        <v>46012</v>
      </c>
      <c r="C129" s="109" t="s">
        <v>34</v>
      </c>
      <c r="D129" s="109" t="s">
        <v>12</v>
      </c>
      <c r="E129" s="109" t="s">
        <v>18</v>
      </c>
      <c r="F129" s="109" t="s">
        <v>32</v>
      </c>
      <c r="G129" s="109" t="s">
        <v>36</v>
      </c>
      <c r="H129" s="110">
        <v>219.36</v>
      </c>
      <c r="I129" s="109">
        <v>8</v>
      </c>
      <c r="J129" s="110">
        <v>1754.88</v>
      </c>
    </row>
    <row r="130" spans="1:10" x14ac:dyDescent="0.25">
      <c r="A130" s="109" t="s">
        <v>166</v>
      </c>
      <c r="B130" s="112">
        <v>45941</v>
      </c>
      <c r="C130" s="109" t="s">
        <v>34</v>
      </c>
      <c r="D130" s="109" t="s">
        <v>31</v>
      </c>
      <c r="E130" s="109" t="s">
        <v>27</v>
      </c>
      <c r="F130" s="109" t="s">
        <v>42</v>
      </c>
      <c r="G130" s="109" t="s">
        <v>36</v>
      </c>
      <c r="H130" s="110">
        <v>31.53</v>
      </c>
      <c r="I130" s="109">
        <v>17</v>
      </c>
      <c r="J130" s="110">
        <v>536.01</v>
      </c>
    </row>
    <row r="131" spans="1:10" x14ac:dyDescent="0.25">
      <c r="A131" s="109" t="s">
        <v>167</v>
      </c>
      <c r="B131" s="112">
        <v>45838</v>
      </c>
      <c r="C131" s="109" t="s">
        <v>34</v>
      </c>
      <c r="D131" s="109" t="s">
        <v>35</v>
      </c>
      <c r="E131" s="109" t="s">
        <v>13</v>
      </c>
      <c r="F131" s="109" t="s">
        <v>14</v>
      </c>
      <c r="G131" s="109" t="s">
        <v>15</v>
      </c>
      <c r="H131" s="110">
        <v>142.36000000000001</v>
      </c>
      <c r="I131" s="109">
        <v>15</v>
      </c>
      <c r="J131" s="110">
        <v>2135.4</v>
      </c>
    </row>
    <row r="132" spans="1:10" x14ac:dyDescent="0.25">
      <c r="A132" s="109" t="s">
        <v>168</v>
      </c>
      <c r="B132" s="112">
        <v>45756</v>
      </c>
      <c r="C132" s="109" t="s">
        <v>11</v>
      </c>
      <c r="D132" s="109" t="s">
        <v>12</v>
      </c>
      <c r="E132" s="109" t="s">
        <v>18</v>
      </c>
      <c r="F132" s="109" t="s">
        <v>39</v>
      </c>
      <c r="G132" s="109" t="s">
        <v>20</v>
      </c>
      <c r="H132" s="110">
        <v>121.83</v>
      </c>
      <c r="I132" s="109">
        <v>11</v>
      </c>
      <c r="J132" s="110">
        <v>1340.13</v>
      </c>
    </row>
    <row r="133" spans="1:10" x14ac:dyDescent="0.25">
      <c r="A133" s="109" t="s">
        <v>169</v>
      </c>
      <c r="B133" s="112">
        <v>45752</v>
      </c>
      <c r="C133" s="109" t="s">
        <v>30</v>
      </c>
      <c r="D133" s="109" t="s">
        <v>12</v>
      </c>
      <c r="E133" s="109" t="s">
        <v>41</v>
      </c>
      <c r="F133" s="109" t="s">
        <v>32</v>
      </c>
      <c r="G133" s="109" t="s">
        <v>20</v>
      </c>
      <c r="H133" s="110">
        <v>78.86</v>
      </c>
      <c r="I133" s="109">
        <v>7</v>
      </c>
      <c r="J133" s="110">
        <v>552.02</v>
      </c>
    </row>
    <row r="134" spans="1:10" x14ac:dyDescent="0.25">
      <c r="A134" s="109" t="s">
        <v>170</v>
      </c>
      <c r="B134" s="112">
        <v>45959</v>
      </c>
      <c r="C134" s="109" t="s">
        <v>25</v>
      </c>
      <c r="D134" s="109" t="s">
        <v>35</v>
      </c>
      <c r="E134" s="109" t="s">
        <v>45</v>
      </c>
      <c r="F134" s="109" t="s">
        <v>39</v>
      </c>
      <c r="G134" s="109" t="s">
        <v>15</v>
      </c>
      <c r="H134" s="110">
        <v>56.37</v>
      </c>
      <c r="I134" s="109">
        <v>17</v>
      </c>
      <c r="J134" s="110">
        <v>958.29</v>
      </c>
    </row>
    <row r="135" spans="1:10" x14ac:dyDescent="0.25">
      <c r="A135" s="109" t="s">
        <v>171</v>
      </c>
      <c r="B135" s="112">
        <v>45809</v>
      </c>
      <c r="C135" s="109" t="s">
        <v>34</v>
      </c>
      <c r="D135" s="109" t="s">
        <v>26</v>
      </c>
      <c r="E135" s="109" t="s">
        <v>13</v>
      </c>
      <c r="F135" s="109" t="s">
        <v>19</v>
      </c>
      <c r="G135" s="109" t="s">
        <v>20</v>
      </c>
      <c r="H135" s="110">
        <v>104.28</v>
      </c>
      <c r="I135" s="109">
        <v>8</v>
      </c>
      <c r="J135" s="110">
        <v>834.24</v>
      </c>
    </row>
    <row r="136" spans="1:10" x14ac:dyDescent="0.25">
      <c r="A136" s="109" t="s">
        <v>172</v>
      </c>
      <c r="B136" s="112">
        <v>45931</v>
      </c>
      <c r="C136" s="109" t="s">
        <v>34</v>
      </c>
      <c r="D136" s="109" t="s">
        <v>22</v>
      </c>
      <c r="E136" s="109" t="s">
        <v>45</v>
      </c>
      <c r="F136" s="109" t="s">
        <v>42</v>
      </c>
      <c r="G136" s="109" t="s">
        <v>36</v>
      </c>
      <c r="H136" s="110">
        <v>237.44</v>
      </c>
      <c r="I136" s="109">
        <v>5</v>
      </c>
      <c r="J136" s="110">
        <v>1187.2</v>
      </c>
    </row>
    <row r="137" spans="1:10" x14ac:dyDescent="0.25">
      <c r="A137" s="109" t="s">
        <v>173</v>
      </c>
      <c r="B137" s="112">
        <v>46015</v>
      </c>
      <c r="C137" s="109" t="s">
        <v>17</v>
      </c>
      <c r="D137" s="109" t="s">
        <v>31</v>
      </c>
      <c r="E137" s="109" t="s">
        <v>45</v>
      </c>
      <c r="F137" s="109" t="s">
        <v>39</v>
      </c>
      <c r="G137" s="109" t="s">
        <v>15</v>
      </c>
      <c r="H137" s="110">
        <v>101.1</v>
      </c>
      <c r="I137" s="109">
        <v>5</v>
      </c>
      <c r="J137" s="110">
        <v>505.5</v>
      </c>
    </row>
    <row r="138" spans="1:10" x14ac:dyDescent="0.25">
      <c r="A138" s="109" t="s">
        <v>174</v>
      </c>
      <c r="B138" s="112">
        <v>45951</v>
      </c>
      <c r="C138" s="109" t="s">
        <v>38</v>
      </c>
      <c r="D138" s="109" t="s">
        <v>31</v>
      </c>
      <c r="E138" s="109" t="s">
        <v>41</v>
      </c>
      <c r="F138" s="109" t="s">
        <v>32</v>
      </c>
      <c r="G138" s="109" t="s">
        <v>15</v>
      </c>
      <c r="H138" s="110">
        <v>144.13</v>
      </c>
      <c r="I138" s="109">
        <v>10</v>
      </c>
      <c r="J138" s="110">
        <v>1441.3</v>
      </c>
    </row>
    <row r="139" spans="1:10" x14ac:dyDescent="0.25">
      <c r="A139" s="109" t="s">
        <v>175</v>
      </c>
      <c r="B139" s="112">
        <v>45684</v>
      </c>
      <c r="C139" s="109" t="s">
        <v>38</v>
      </c>
      <c r="D139" s="109" t="s">
        <v>22</v>
      </c>
      <c r="E139" s="109" t="s">
        <v>45</v>
      </c>
      <c r="F139" s="109" t="s">
        <v>61</v>
      </c>
      <c r="G139" s="109" t="s">
        <v>36</v>
      </c>
      <c r="H139" s="110">
        <v>184.66</v>
      </c>
      <c r="I139" s="109">
        <v>9</v>
      </c>
      <c r="J139" s="110">
        <v>1661.94</v>
      </c>
    </row>
    <row r="140" spans="1:10" x14ac:dyDescent="0.25">
      <c r="A140" s="109" t="s">
        <v>176</v>
      </c>
      <c r="B140" s="112">
        <v>45695</v>
      </c>
      <c r="C140" s="109" t="s">
        <v>17</v>
      </c>
      <c r="D140" s="109" t="s">
        <v>12</v>
      </c>
      <c r="E140" s="109" t="s">
        <v>45</v>
      </c>
      <c r="F140" s="109" t="s">
        <v>14</v>
      </c>
      <c r="G140" s="109" t="s">
        <v>15</v>
      </c>
      <c r="H140" s="110">
        <v>110</v>
      </c>
      <c r="I140" s="109">
        <v>19</v>
      </c>
      <c r="J140" s="110">
        <v>2090</v>
      </c>
    </row>
    <row r="141" spans="1:10" x14ac:dyDescent="0.25">
      <c r="A141" s="109" t="s">
        <v>177</v>
      </c>
      <c r="B141" s="112">
        <v>45946</v>
      </c>
      <c r="C141" s="109" t="s">
        <v>11</v>
      </c>
      <c r="D141" s="109" t="s">
        <v>26</v>
      </c>
      <c r="E141" s="109" t="s">
        <v>45</v>
      </c>
      <c r="F141" s="109" t="s">
        <v>42</v>
      </c>
      <c r="G141" s="109" t="s">
        <v>36</v>
      </c>
      <c r="H141" s="110">
        <v>243.79</v>
      </c>
      <c r="I141" s="109">
        <v>10</v>
      </c>
      <c r="J141" s="110">
        <v>2437.9</v>
      </c>
    </row>
    <row r="142" spans="1:10" x14ac:dyDescent="0.25">
      <c r="A142" s="109" t="s">
        <v>178</v>
      </c>
      <c r="B142" s="112">
        <v>45968</v>
      </c>
      <c r="C142" s="109" t="s">
        <v>25</v>
      </c>
      <c r="D142" s="109" t="s">
        <v>26</v>
      </c>
      <c r="E142" s="109" t="s">
        <v>18</v>
      </c>
      <c r="F142" s="109" t="s">
        <v>61</v>
      </c>
      <c r="G142" s="109" t="s">
        <v>36</v>
      </c>
      <c r="H142" s="110">
        <v>241.74</v>
      </c>
      <c r="I142" s="109">
        <v>20</v>
      </c>
      <c r="J142" s="110">
        <v>4834.8</v>
      </c>
    </row>
    <row r="143" spans="1:10" x14ac:dyDescent="0.25">
      <c r="A143" s="109" t="s">
        <v>179</v>
      </c>
      <c r="B143" s="112">
        <v>45884</v>
      </c>
      <c r="C143" s="109" t="s">
        <v>25</v>
      </c>
      <c r="D143" s="109" t="s">
        <v>31</v>
      </c>
      <c r="E143" s="109" t="s">
        <v>13</v>
      </c>
      <c r="F143" s="109" t="s">
        <v>42</v>
      </c>
      <c r="G143" s="109" t="s">
        <v>20</v>
      </c>
      <c r="H143" s="110">
        <v>85.39</v>
      </c>
      <c r="I143" s="109">
        <v>10</v>
      </c>
      <c r="J143" s="110">
        <v>853.9</v>
      </c>
    </row>
    <row r="144" spans="1:10" x14ac:dyDescent="0.25">
      <c r="A144" s="109" t="s">
        <v>180</v>
      </c>
      <c r="B144" s="112">
        <v>45688</v>
      </c>
      <c r="C144" s="109" t="s">
        <v>17</v>
      </c>
      <c r="D144" s="109" t="s">
        <v>22</v>
      </c>
      <c r="E144" s="109" t="s">
        <v>23</v>
      </c>
      <c r="F144" s="109" t="s">
        <v>28</v>
      </c>
      <c r="G144" s="109" t="s">
        <v>15</v>
      </c>
      <c r="H144" s="110">
        <v>139.38999999999999</v>
      </c>
      <c r="I144" s="109">
        <v>20</v>
      </c>
      <c r="J144" s="110">
        <v>2787.8</v>
      </c>
    </row>
    <row r="145" spans="1:10" x14ac:dyDescent="0.25">
      <c r="A145" s="109" t="s">
        <v>181</v>
      </c>
      <c r="B145" s="112">
        <v>45793</v>
      </c>
      <c r="C145" s="109" t="s">
        <v>30</v>
      </c>
      <c r="D145" s="109" t="s">
        <v>26</v>
      </c>
      <c r="E145" s="109" t="s">
        <v>23</v>
      </c>
      <c r="F145" s="109" t="s">
        <v>42</v>
      </c>
      <c r="G145" s="109" t="s">
        <v>15</v>
      </c>
      <c r="H145" s="110">
        <v>96.19</v>
      </c>
      <c r="I145" s="109">
        <v>3</v>
      </c>
      <c r="J145" s="110">
        <v>288.57</v>
      </c>
    </row>
    <row r="146" spans="1:10" x14ac:dyDescent="0.25">
      <c r="A146" s="109" t="s">
        <v>182</v>
      </c>
      <c r="B146" s="112">
        <v>45738</v>
      </c>
      <c r="C146" s="109" t="s">
        <v>38</v>
      </c>
      <c r="D146" s="109" t="s">
        <v>31</v>
      </c>
      <c r="E146" s="109" t="s">
        <v>27</v>
      </c>
      <c r="F146" s="109" t="s">
        <v>42</v>
      </c>
      <c r="G146" s="109" t="s">
        <v>36</v>
      </c>
      <c r="H146" s="110">
        <v>92.66</v>
      </c>
      <c r="I146" s="109">
        <v>1</v>
      </c>
      <c r="J146" s="110">
        <v>92.66</v>
      </c>
    </row>
    <row r="147" spans="1:10" x14ac:dyDescent="0.25">
      <c r="A147" s="109" t="s">
        <v>183</v>
      </c>
      <c r="B147" s="112">
        <v>45807</v>
      </c>
      <c r="C147" s="109" t="s">
        <v>30</v>
      </c>
      <c r="D147" s="109" t="s">
        <v>35</v>
      </c>
      <c r="E147" s="109" t="s">
        <v>27</v>
      </c>
      <c r="F147" s="109" t="s">
        <v>32</v>
      </c>
      <c r="G147" s="109" t="s">
        <v>20</v>
      </c>
      <c r="H147" s="110">
        <v>38.119999999999997</v>
      </c>
      <c r="I147" s="109">
        <v>2</v>
      </c>
      <c r="J147" s="110">
        <v>76.239999999999995</v>
      </c>
    </row>
    <row r="148" spans="1:10" x14ac:dyDescent="0.25">
      <c r="A148" s="109" t="s">
        <v>184</v>
      </c>
      <c r="B148" s="112">
        <v>45890</v>
      </c>
      <c r="C148" s="109" t="s">
        <v>17</v>
      </c>
      <c r="D148" s="109" t="s">
        <v>26</v>
      </c>
      <c r="E148" s="109" t="s">
        <v>13</v>
      </c>
      <c r="F148" s="109" t="s">
        <v>39</v>
      </c>
      <c r="G148" s="109" t="s">
        <v>20</v>
      </c>
      <c r="H148" s="110">
        <v>164.1</v>
      </c>
      <c r="I148" s="109">
        <v>3</v>
      </c>
      <c r="J148" s="110">
        <v>492.3</v>
      </c>
    </row>
    <row r="149" spans="1:10" x14ac:dyDescent="0.25">
      <c r="A149" s="109" t="s">
        <v>185</v>
      </c>
      <c r="B149" s="112">
        <v>45959</v>
      </c>
      <c r="C149" s="109" t="s">
        <v>38</v>
      </c>
      <c r="D149" s="109" t="s">
        <v>22</v>
      </c>
      <c r="E149" s="109" t="s">
        <v>18</v>
      </c>
      <c r="F149" s="109" t="s">
        <v>14</v>
      </c>
      <c r="G149" s="109" t="s">
        <v>20</v>
      </c>
      <c r="H149" s="110">
        <v>140.59</v>
      </c>
      <c r="I149" s="109">
        <v>7</v>
      </c>
      <c r="J149" s="110">
        <v>984.13</v>
      </c>
    </row>
    <row r="150" spans="1:10" x14ac:dyDescent="0.25">
      <c r="A150" s="109" t="s">
        <v>186</v>
      </c>
      <c r="B150" s="112">
        <v>45734</v>
      </c>
      <c r="C150" s="109" t="s">
        <v>30</v>
      </c>
      <c r="D150" s="109" t="s">
        <v>22</v>
      </c>
      <c r="E150" s="109" t="s">
        <v>45</v>
      </c>
      <c r="F150" s="109" t="s">
        <v>14</v>
      </c>
      <c r="G150" s="109" t="s">
        <v>36</v>
      </c>
      <c r="H150" s="110">
        <v>41.33</v>
      </c>
      <c r="I150" s="109">
        <v>9</v>
      </c>
      <c r="J150" s="110">
        <v>371.97</v>
      </c>
    </row>
    <row r="151" spans="1:10" x14ac:dyDescent="0.25">
      <c r="A151" s="109" t="s">
        <v>187</v>
      </c>
      <c r="B151" s="112">
        <v>45962</v>
      </c>
      <c r="C151" s="109" t="s">
        <v>34</v>
      </c>
      <c r="D151" s="109" t="s">
        <v>31</v>
      </c>
      <c r="E151" s="109" t="s">
        <v>45</v>
      </c>
      <c r="F151" s="109" t="s">
        <v>61</v>
      </c>
      <c r="G151" s="109" t="s">
        <v>20</v>
      </c>
      <c r="H151" s="110">
        <v>91.3</v>
      </c>
      <c r="I151" s="109">
        <v>19</v>
      </c>
      <c r="J151" s="110">
        <v>1734.7</v>
      </c>
    </row>
    <row r="152" spans="1:10" x14ac:dyDescent="0.25">
      <c r="A152" s="109" t="s">
        <v>188</v>
      </c>
      <c r="B152" s="112">
        <v>45813</v>
      </c>
      <c r="C152" s="109" t="s">
        <v>34</v>
      </c>
      <c r="D152" s="109" t="s">
        <v>55</v>
      </c>
      <c r="E152" s="109" t="s">
        <v>18</v>
      </c>
      <c r="F152" s="109" t="s">
        <v>61</v>
      </c>
      <c r="G152" s="109" t="s">
        <v>36</v>
      </c>
      <c r="H152" s="110">
        <v>229.82</v>
      </c>
      <c r="I152" s="109">
        <v>13</v>
      </c>
      <c r="J152" s="110">
        <v>2987.66</v>
      </c>
    </row>
    <row r="153" spans="1:10" x14ac:dyDescent="0.25">
      <c r="A153" s="109" t="s">
        <v>189</v>
      </c>
      <c r="B153" s="112">
        <v>45699</v>
      </c>
      <c r="C153" s="109" t="s">
        <v>11</v>
      </c>
      <c r="D153" s="109" t="s">
        <v>31</v>
      </c>
      <c r="E153" s="109" t="s">
        <v>27</v>
      </c>
      <c r="F153" s="109" t="s">
        <v>32</v>
      </c>
      <c r="G153" s="109" t="s">
        <v>20</v>
      </c>
      <c r="H153" s="110">
        <v>82.7</v>
      </c>
      <c r="I153" s="109">
        <v>20</v>
      </c>
      <c r="J153" s="110">
        <v>1654</v>
      </c>
    </row>
    <row r="154" spans="1:10" x14ac:dyDescent="0.25">
      <c r="A154" s="109" t="s">
        <v>190</v>
      </c>
      <c r="B154" s="112">
        <v>45786</v>
      </c>
      <c r="C154" s="109" t="s">
        <v>11</v>
      </c>
      <c r="D154" s="109" t="s">
        <v>26</v>
      </c>
      <c r="E154" s="109" t="s">
        <v>27</v>
      </c>
      <c r="F154" s="109" t="s">
        <v>39</v>
      </c>
      <c r="G154" s="109" t="s">
        <v>20</v>
      </c>
      <c r="H154" s="110">
        <v>61.88</v>
      </c>
      <c r="I154" s="109">
        <v>1</v>
      </c>
      <c r="J154" s="110">
        <v>61.88</v>
      </c>
    </row>
    <row r="155" spans="1:10" x14ac:dyDescent="0.25">
      <c r="A155" s="109" t="s">
        <v>191</v>
      </c>
      <c r="B155" s="112">
        <v>45958</v>
      </c>
      <c r="C155" s="109" t="s">
        <v>17</v>
      </c>
      <c r="D155" s="109" t="s">
        <v>35</v>
      </c>
      <c r="E155" s="109" t="s">
        <v>18</v>
      </c>
      <c r="F155" s="109" t="s">
        <v>19</v>
      </c>
      <c r="G155" s="109" t="s">
        <v>15</v>
      </c>
      <c r="H155" s="110">
        <v>137.68</v>
      </c>
      <c r="I155" s="109">
        <v>1</v>
      </c>
      <c r="J155" s="110">
        <v>137.68</v>
      </c>
    </row>
    <row r="156" spans="1:10" x14ac:dyDescent="0.25">
      <c r="A156" s="109" t="s">
        <v>192</v>
      </c>
      <c r="B156" s="112">
        <v>45898</v>
      </c>
      <c r="C156" s="109" t="s">
        <v>17</v>
      </c>
      <c r="D156" s="109" t="s">
        <v>31</v>
      </c>
      <c r="E156" s="109" t="s">
        <v>13</v>
      </c>
      <c r="F156" s="109" t="s">
        <v>14</v>
      </c>
      <c r="G156" s="109" t="s">
        <v>20</v>
      </c>
      <c r="H156" s="110">
        <v>246.84</v>
      </c>
      <c r="I156" s="109">
        <v>17</v>
      </c>
      <c r="J156" s="110">
        <v>4196.28</v>
      </c>
    </row>
    <row r="157" spans="1:10" x14ac:dyDescent="0.25">
      <c r="A157" s="109" t="s">
        <v>193</v>
      </c>
      <c r="B157" s="112">
        <v>45881</v>
      </c>
      <c r="C157" s="109" t="s">
        <v>11</v>
      </c>
      <c r="D157" s="109" t="s">
        <v>31</v>
      </c>
      <c r="E157" s="109" t="s">
        <v>13</v>
      </c>
      <c r="F157" s="109" t="s">
        <v>61</v>
      </c>
      <c r="G157" s="109" t="s">
        <v>36</v>
      </c>
      <c r="H157" s="110">
        <v>83.25</v>
      </c>
      <c r="I157" s="109">
        <v>16</v>
      </c>
      <c r="J157" s="110">
        <v>1332</v>
      </c>
    </row>
    <row r="158" spans="1:10" x14ac:dyDescent="0.25">
      <c r="A158" s="109" t="s">
        <v>194</v>
      </c>
      <c r="B158" s="112">
        <v>45822</v>
      </c>
      <c r="C158" s="109" t="s">
        <v>30</v>
      </c>
      <c r="D158" s="109" t="s">
        <v>35</v>
      </c>
      <c r="E158" s="109" t="s">
        <v>41</v>
      </c>
      <c r="F158" s="109" t="s">
        <v>28</v>
      </c>
      <c r="G158" s="109" t="s">
        <v>36</v>
      </c>
      <c r="H158" s="110">
        <v>177.87</v>
      </c>
      <c r="I158" s="109">
        <v>4</v>
      </c>
      <c r="J158" s="110">
        <v>711.48</v>
      </c>
    </row>
    <row r="159" spans="1:10" x14ac:dyDescent="0.25">
      <c r="A159" s="109" t="s">
        <v>195</v>
      </c>
      <c r="B159" s="112">
        <v>45805</v>
      </c>
      <c r="C159" s="109" t="s">
        <v>25</v>
      </c>
      <c r="D159" s="109" t="s">
        <v>22</v>
      </c>
      <c r="E159" s="109" t="s">
        <v>41</v>
      </c>
      <c r="F159" s="109" t="s">
        <v>19</v>
      </c>
      <c r="G159" s="109" t="s">
        <v>36</v>
      </c>
      <c r="H159" s="110">
        <v>197.56</v>
      </c>
      <c r="I159" s="109">
        <v>13</v>
      </c>
      <c r="J159" s="110">
        <v>2568.2800000000002</v>
      </c>
    </row>
    <row r="160" spans="1:10" x14ac:dyDescent="0.25">
      <c r="A160" s="109" t="s">
        <v>196</v>
      </c>
      <c r="B160" s="112">
        <v>45787</v>
      </c>
      <c r="C160" s="109" t="s">
        <v>11</v>
      </c>
      <c r="D160" s="109" t="s">
        <v>31</v>
      </c>
      <c r="E160" s="109" t="s">
        <v>18</v>
      </c>
      <c r="F160" s="109" t="s">
        <v>39</v>
      </c>
      <c r="G160" s="109" t="s">
        <v>15</v>
      </c>
      <c r="H160" s="110">
        <v>82.28</v>
      </c>
      <c r="I160" s="109">
        <v>11</v>
      </c>
      <c r="J160" s="110">
        <v>905.08</v>
      </c>
    </row>
    <row r="161" spans="1:10" x14ac:dyDescent="0.25">
      <c r="A161" s="109" t="s">
        <v>197</v>
      </c>
      <c r="B161" s="112">
        <v>45994</v>
      </c>
      <c r="C161" s="109" t="s">
        <v>38</v>
      </c>
      <c r="D161" s="109" t="s">
        <v>31</v>
      </c>
      <c r="E161" s="109" t="s">
        <v>45</v>
      </c>
      <c r="F161" s="109" t="s">
        <v>14</v>
      </c>
      <c r="G161" s="109" t="s">
        <v>20</v>
      </c>
      <c r="H161" s="110">
        <v>190.21</v>
      </c>
      <c r="I161" s="109">
        <v>18</v>
      </c>
      <c r="J161" s="110">
        <v>3423.78</v>
      </c>
    </row>
    <row r="162" spans="1:10" x14ac:dyDescent="0.25">
      <c r="A162" s="109" t="s">
        <v>198</v>
      </c>
      <c r="B162" s="112">
        <v>45843</v>
      </c>
      <c r="C162" s="109" t="s">
        <v>38</v>
      </c>
      <c r="D162" s="109" t="s">
        <v>12</v>
      </c>
      <c r="E162" s="109" t="s">
        <v>41</v>
      </c>
      <c r="F162" s="109" t="s">
        <v>39</v>
      </c>
      <c r="G162" s="109" t="s">
        <v>15</v>
      </c>
      <c r="H162" s="110">
        <v>110.91</v>
      </c>
      <c r="I162" s="109">
        <v>20</v>
      </c>
      <c r="J162" s="110">
        <v>2218.1999999999998</v>
      </c>
    </row>
    <row r="163" spans="1:10" x14ac:dyDescent="0.25">
      <c r="A163" s="109" t="s">
        <v>199</v>
      </c>
      <c r="B163" s="112">
        <v>45762</v>
      </c>
      <c r="C163" s="109" t="s">
        <v>25</v>
      </c>
      <c r="D163" s="109" t="s">
        <v>26</v>
      </c>
      <c r="E163" s="109" t="s">
        <v>13</v>
      </c>
      <c r="F163" s="109" t="s">
        <v>61</v>
      </c>
      <c r="G163" s="109" t="s">
        <v>20</v>
      </c>
      <c r="H163" s="110">
        <v>169.11</v>
      </c>
      <c r="I163" s="109">
        <v>9</v>
      </c>
      <c r="J163" s="110">
        <v>1521.99</v>
      </c>
    </row>
    <row r="164" spans="1:10" x14ac:dyDescent="0.25">
      <c r="A164" s="109" t="s">
        <v>200</v>
      </c>
      <c r="B164" s="112">
        <v>45906</v>
      </c>
      <c r="C164" s="109" t="s">
        <v>11</v>
      </c>
      <c r="D164" s="109" t="s">
        <v>12</v>
      </c>
      <c r="E164" s="109" t="s">
        <v>18</v>
      </c>
      <c r="F164" s="109" t="s">
        <v>39</v>
      </c>
      <c r="G164" s="109" t="s">
        <v>15</v>
      </c>
      <c r="H164" s="110">
        <v>169.38</v>
      </c>
      <c r="I164" s="109">
        <v>4</v>
      </c>
      <c r="J164" s="110">
        <v>677.52</v>
      </c>
    </row>
    <row r="165" spans="1:10" x14ac:dyDescent="0.25">
      <c r="A165" s="109" t="s">
        <v>201</v>
      </c>
      <c r="B165" s="112">
        <v>46021</v>
      </c>
      <c r="C165" s="109" t="s">
        <v>34</v>
      </c>
      <c r="D165" s="109" t="s">
        <v>55</v>
      </c>
      <c r="E165" s="109" t="s">
        <v>45</v>
      </c>
      <c r="F165" s="109" t="s">
        <v>42</v>
      </c>
      <c r="G165" s="109" t="s">
        <v>36</v>
      </c>
      <c r="H165" s="110">
        <v>147.87</v>
      </c>
      <c r="I165" s="109">
        <v>6</v>
      </c>
      <c r="J165" s="110">
        <v>887.22</v>
      </c>
    </row>
    <row r="166" spans="1:10" x14ac:dyDescent="0.25">
      <c r="A166" s="109" t="s">
        <v>202</v>
      </c>
      <c r="B166" s="112">
        <v>45705</v>
      </c>
      <c r="C166" s="109" t="s">
        <v>11</v>
      </c>
      <c r="D166" s="109" t="s">
        <v>31</v>
      </c>
      <c r="E166" s="109" t="s">
        <v>45</v>
      </c>
      <c r="F166" s="109" t="s">
        <v>28</v>
      </c>
      <c r="G166" s="109" t="s">
        <v>15</v>
      </c>
      <c r="H166" s="110">
        <v>49.86</v>
      </c>
      <c r="I166" s="109">
        <v>8</v>
      </c>
      <c r="J166" s="110">
        <v>398.88</v>
      </c>
    </row>
    <row r="167" spans="1:10" x14ac:dyDescent="0.25">
      <c r="A167" s="109" t="s">
        <v>203</v>
      </c>
      <c r="B167" s="112">
        <v>45913</v>
      </c>
      <c r="C167" s="109" t="s">
        <v>25</v>
      </c>
      <c r="D167" s="109" t="s">
        <v>12</v>
      </c>
      <c r="E167" s="109" t="s">
        <v>13</v>
      </c>
      <c r="F167" s="109" t="s">
        <v>61</v>
      </c>
      <c r="G167" s="109" t="s">
        <v>36</v>
      </c>
      <c r="H167" s="110">
        <v>213.77</v>
      </c>
      <c r="I167" s="109">
        <v>10</v>
      </c>
      <c r="J167" s="110">
        <v>2137.6999999999998</v>
      </c>
    </row>
    <row r="168" spans="1:10" x14ac:dyDescent="0.25">
      <c r="A168" s="109" t="s">
        <v>204</v>
      </c>
      <c r="B168" s="112">
        <v>45899</v>
      </c>
      <c r="C168" s="109" t="s">
        <v>38</v>
      </c>
      <c r="D168" s="109" t="s">
        <v>55</v>
      </c>
      <c r="E168" s="109" t="s">
        <v>23</v>
      </c>
      <c r="F168" s="109" t="s">
        <v>61</v>
      </c>
      <c r="G168" s="109" t="s">
        <v>15</v>
      </c>
      <c r="H168" s="110">
        <v>100.57</v>
      </c>
      <c r="I168" s="109">
        <v>8</v>
      </c>
      <c r="J168" s="110">
        <v>804.56</v>
      </c>
    </row>
    <row r="169" spans="1:10" x14ac:dyDescent="0.25">
      <c r="A169" s="109" t="s">
        <v>205</v>
      </c>
      <c r="B169" s="112">
        <v>45964</v>
      </c>
      <c r="C169" s="109" t="s">
        <v>17</v>
      </c>
      <c r="D169" s="109" t="s">
        <v>26</v>
      </c>
      <c r="E169" s="109" t="s">
        <v>45</v>
      </c>
      <c r="F169" s="109" t="s">
        <v>32</v>
      </c>
      <c r="G169" s="109" t="s">
        <v>36</v>
      </c>
      <c r="H169" s="110">
        <v>71.03</v>
      </c>
      <c r="I169" s="109">
        <v>17</v>
      </c>
      <c r="J169" s="110">
        <v>1207.51</v>
      </c>
    </row>
    <row r="170" spans="1:10" x14ac:dyDescent="0.25">
      <c r="A170" s="109" t="s">
        <v>206</v>
      </c>
      <c r="B170" s="112">
        <v>45832</v>
      </c>
      <c r="C170" s="109" t="s">
        <v>34</v>
      </c>
      <c r="D170" s="109" t="s">
        <v>22</v>
      </c>
      <c r="E170" s="109" t="s">
        <v>13</v>
      </c>
      <c r="F170" s="109" t="s">
        <v>28</v>
      </c>
      <c r="G170" s="109" t="s">
        <v>36</v>
      </c>
      <c r="H170" s="110">
        <v>38.97</v>
      </c>
      <c r="I170" s="109">
        <v>17</v>
      </c>
      <c r="J170" s="110">
        <v>662.49</v>
      </c>
    </row>
    <row r="171" spans="1:10" x14ac:dyDescent="0.25">
      <c r="A171" s="109" t="s">
        <v>207</v>
      </c>
      <c r="B171" s="112">
        <v>45958</v>
      </c>
      <c r="C171" s="109" t="s">
        <v>17</v>
      </c>
      <c r="D171" s="109" t="s">
        <v>31</v>
      </c>
      <c r="E171" s="109" t="s">
        <v>23</v>
      </c>
      <c r="F171" s="109" t="s">
        <v>61</v>
      </c>
      <c r="G171" s="109" t="s">
        <v>20</v>
      </c>
      <c r="H171" s="110">
        <v>160</v>
      </c>
      <c r="I171" s="109">
        <v>19</v>
      </c>
      <c r="J171" s="110">
        <v>3040</v>
      </c>
    </row>
    <row r="172" spans="1:10" x14ac:dyDescent="0.25">
      <c r="A172" s="109" t="s">
        <v>208</v>
      </c>
      <c r="B172" s="112">
        <v>45905</v>
      </c>
      <c r="C172" s="109" t="s">
        <v>34</v>
      </c>
      <c r="D172" s="109" t="s">
        <v>55</v>
      </c>
      <c r="E172" s="109" t="s">
        <v>18</v>
      </c>
      <c r="F172" s="109" t="s">
        <v>61</v>
      </c>
      <c r="G172" s="109" t="s">
        <v>36</v>
      </c>
      <c r="H172" s="110">
        <v>179.06</v>
      </c>
      <c r="I172" s="109">
        <v>12</v>
      </c>
      <c r="J172" s="110">
        <v>2148.7199999999998</v>
      </c>
    </row>
    <row r="173" spans="1:10" x14ac:dyDescent="0.25">
      <c r="A173" s="109" t="s">
        <v>209</v>
      </c>
      <c r="B173" s="112">
        <v>45822</v>
      </c>
      <c r="C173" s="109" t="s">
        <v>17</v>
      </c>
      <c r="D173" s="109" t="s">
        <v>26</v>
      </c>
      <c r="E173" s="109" t="s">
        <v>18</v>
      </c>
      <c r="F173" s="109" t="s">
        <v>61</v>
      </c>
      <c r="G173" s="109" t="s">
        <v>15</v>
      </c>
      <c r="H173" s="110">
        <v>33.65</v>
      </c>
      <c r="I173" s="109">
        <v>7</v>
      </c>
      <c r="J173" s="110">
        <v>235.55</v>
      </c>
    </row>
    <row r="174" spans="1:10" x14ac:dyDescent="0.25">
      <c r="A174" s="109" t="s">
        <v>210</v>
      </c>
      <c r="B174" s="112">
        <v>45868</v>
      </c>
      <c r="C174" s="109" t="s">
        <v>34</v>
      </c>
      <c r="D174" s="109" t="s">
        <v>12</v>
      </c>
      <c r="E174" s="109" t="s">
        <v>41</v>
      </c>
      <c r="F174" s="109" t="s">
        <v>28</v>
      </c>
      <c r="G174" s="109" t="s">
        <v>36</v>
      </c>
      <c r="H174" s="110">
        <v>142.66</v>
      </c>
      <c r="I174" s="109">
        <v>2</v>
      </c>
      <c r="J174" s="110">
        <v>285.32</v>
      </c>
    </row>
    <row r="175" spans="1:10" x14ac:dyDescent="0.25">
      <c r="A175" s="109" t="s">
        <v>211</v>
      </c>
      <c r="B175" s="112">
        <v>45855</v>
      </c>
      <c r="C175" s="109" t="s">
        <v>38</v>
      </c>
      <c r="D175" s="109" t="s">
        <v>22</v>
      </c>
      <c r="E175" s="109" t="s">
        <v>23</v>
      </c>
      <c r="F175" s="109" t="s">
        <v>42</v>
      </c>
      <c r="G175" s="109" t="s">
        <v>20</v>
      </c>
      <c r="H175" s="110">
        <v>79.83</v>
      </c>
      <c r="I175" s="109">
        <v>5</v>
      </c>
      <c r="J175" s="110">
        <v>399.15</v>
      </c>
    </row>
    <row r="176" spans="1:10" x14ac:dyDescent="0.25">
      <c r="A176" s="109" t="s">
        <v>212</v>
      </c>
      <c r="B176" s="112">
        <v>45827</v>
      </c>
      <c r="C176" s="109" t="s">
        <v>38</v>
      </c>
      <c r="D176" s="109" t="s">
        <v>22</v>
      </c>
      <c r="E176" s="109" t="s">
        <v>18</v>
      </c>
      <c r="F176" s="109" t="s">
        <v>61</v>
      </c>
      <c r="G176" s="109" t="s">
        <v>15</v>
      </c>
      <c r="H176" s="110">
        <v>171.94</v>
      </c>
      <c r="I176" s="109">
        <v>4</v>
      </c>
      <c r="J176" s="110">
        <v>687.76</v>
      </c>
    </row>
    <row r="177" spans="1:10" x14ac:dyDescent="0.25">
      <c r="A177" s="109" t="s">
        <v>213</v>
      </c>
      <c r="B177" s="112">
        <v>45731</v>
      </c>
      <c r="C177" s="109" t="s">
        <v>17</v>
      </c>
      <c r="D177" s="109" t="s">
        <v>26</v>
      </c>
      <c r="E177" s="109" t="s">
        <v>45</v>
      </c>
      <c r="F177" s="109" t="s">
        <v>61</v>
      </c>
      <c r="G177" s="109" t="s">
        <v>36</v>
      </c>
      <c r="H177" s="110">
        <v>68.36</v>
      </c>
      <c r="I177" s="109">
        <v>14</v>
      </c>
      <c r="J177" s="110">
        <v>957.04</v>
      </c>
    </row>
    <row r="178" spans="1:10" x14ac:dyDescent="0.25">
      <c r="A178" s="109" t="s">
        <v>214</v>
      </c>
      <c r="B178" s="112">
        <v>45831</v>
      </c>
      <c r="C178" s="109" t="s">
        <v>17</v>
      </c>
      <c r="D178" s="109" t="s">
        <v>31</v>
      </c>
      <c r="E178" s="109" t="s">
        <v>27</v>
      </c>
      <c r="F178" s="109" t="s">
        <v>19</v>
      </c>
      <c r="G178" s="109" t="s">
        <v>36</v>
      </c>
      <c r="H178" s="110">
        <v>182.01</v>
      </c>
      <c r="I178" s="109">
        <v>20</v>
      </c>
      <c r="J178" s="110">
        <v>3640.2</v>
      </c>
    </row>
    <row r="179" spans="1:10" x14ac:dyDescent="0.25">
      <c r="A179" s="109" t="s">
        <v>215</v>
      </c>
      <c r="B179" s="112">
        <v>46003</v>
      </c>
      <c r="C179" s="109" t="s">
        <v>38</v>
      </c>
      <c r="D179" s="109" t="s">
        <v>35</v>
      </c>
      <c r="E179" s="109" t="s">
        <v>27</v>
      </c>
      <c r="F179" s="109" t="s">
        <v>28</v>
      </c>
      <c r="G179" s="109" t="s">
        <v>36</v>
      </c>
      <c r="H179" s="110">
        <v>115.08</v>
      </c>
      <c r="I179" s="109">
        <v>18</v>
      </c>
      <c r="J179" s="110">
        <v>2071.44</v>
      </c>
    </row>
    <row r="180" spans="1:10" x14ac:dyDescent="0.25">
      <c r="A180" s="109" t="s">
        <v>216</v>
      </c>
      <c r="B180" s="112">
        <v>45935</v>
      </c>
      <c r="C180" s="109" t="s">
        <v>25</v>
      </c>
      <c r="D180" s="109" t="s">
        <v>22</v>
      </c>
      <c r="E180" s="109" t="s">
        <v>23</v>
      </c>
      <c r="F180" s="109" t="s">
        <v>28</v>
      </c>
      <c r="G180" s="109" t="s">
        <v>20</v>
      </c>
      <c r="H180" s="110">
        <v>236.08</v>
      </c>
      <c r="I180" s="109">
        <v>2</v>
      </c>
      <c r="J180" s="110">
        <v>472.16</v>
      </c>
    </row>
    <row r="181" spans="1:10" x14ac:dyDescent="0.25">
      <c r="A181" s="109" t="s">
        <v>217</v>
      </c>
      <c r="B181" s="112">
        <v>45805</v>
      </c>
      <c r="C181" s="109" t="s">
        <v>17</v>
      </c>
      <c r="D181" s="109" t="s">
        <v>22</v>
      </c>
      <c r="E181" s="109" t="s">
        <v>41</v>
      </c>
      <c r="F181" s="109" t="s">
        <v>19</v>
      </c>
      <c r="G181" s="109" t="s">
        <v>20</v>
      </c>
      <c r="H181" s="110">
        <v>60.25</v>
      </c>
      <c r="I181" s="109">
        <v>8</v>
      </c>
      <c r="J181" s="110">
        <v>482</v>
      </c>
    </row>
    <row r="182" spans="1:10" x14ac:dyDescent="0.25">
      <c r="A182" s="109" t="s">
        <v>218</v>
      </c>
      <c r="B182" s="112">
        <v>46018</v>
      </c>
      <c r="C182" s="109" t="s">
        <v>38</v>
      </c>
      <c r="D182" s="109" t="s">
        <v>26</v>
      </c>
      <c r="E182" s="109" t="s">
        <v>27</v>
      </c>
      <c r="F182" s="109" t="s">
        <v>32</v>
      </c>
      <c r="G182" s="109" t="s">
        <v>15</v>
      </c>
      <c r="H182" s="110">
        <v>105.03</v>
      </c>
      <c r="I182" s="109">
        <v>4</v>
      </c>
      <c r="J182" s="110">
        <v>420.12</v>
      </c>
    </row>
    <row r="183" spans="1:10" x14ac:dyDescent="0.25">
      <c r="A183" s="109" t="s">
        <v>219</v>
      </c>
      <c r="B183" s="112">
        <v>45681</v>
      </c>
      <c r="C183" s="109" t="s">
        <v>11</v>
      </c>
      <c r="D183" s="109" t="s">
        <v>35</v>
      </c>
      <c r="E183" s="109" t="s">
        <v>13</v>
      </c>
      <c r="F183" s="109" t="s">
        <v>32</v>
      </c>
      <c r="G183" s="109" t="s">
        <v>36</v>
      </c>
      <c r="H183" s="110">
        <v>54.96</v>
      </c>
      <c r="I183" s="109">
        <v>11</v>
      </c>
      <c r="J183" s="110">
        <v>604.55999999999995</v>
      </c>
    </row>
    <row r="184" spans="1:10" x14ac:dyDescent="0.25">
      <c r="A184" s="109" t="s">
        <v>220</v>
      </c>
      <c r="B184" s="112">
        <v>45732</v>
      </c>
      <c r="C184" s="109" t="s">
        <v>25</v>
      </c>
      <c r="D184" s="109" t="s">
        <v>31</v>
      </c>
      <c r="E184" s="109" t="s">
        <v>18</v>
      </c>
      <c r="F184" s="109" t="s">
        <v>28</v>
      </c>
      <c r="G184" s="109" t="s">
        <v>15</v>
      </c>
      <c r="H184" s="110">
        <v>233.43</v>
      </c>
      <c r="I184" s="109">
        <v>8</v>
      </c>
      <c r="J184" s="110">
        <v>1867.44</v>
      </c>
    </row>
    <row r="185" spans="1:10" x14ac:dyDescent="0.25">
      <c r="A185" s="109" t="s">
        <v>221</v>
      </c>
      <c r="B185" s="112">
        <v>45745</v>
      </c>
      <c r="C185" s="109" t="s">
        <v>11</v>
      </c>
      <c r="D185" s="109" t="s">
        <v>55</v>
      </c>
      <c r="E185" s="109" t="s">
        <v>41</v>
      </c>
      <c r="F185" s="109" t="s">
        <v>42</v>
      </c>
      <c r="G185" s="109" t="s">
        <v>20</v>
      </c>
      <c r="H185" s="110">
        <v>223.01</v>
      </c>
      <c r="I185" s="109">
        <v>6</v>
      </c>
      <c r="J185" s="110">
        <v>1338.06</v>
      </c>
    </row>
    <row r="186" spans="1:10" x14ac:dyDescent="0.25">
      <c r="A186" s="109" t="s">
        <v>222</v>
      </c>
      <c r="B186" s="112">
        <v>45781</v>
      </c>
      <c r="C186" s="109" t="s">
        <v>25</v>
      </c>
      <c r="D186" s="109" t="s">
        <v>26</v>
      </c>
      <c r="E186" s="109" t="s">
        <v>23</v>
      </c>
      <c r="F186" s="109" t="s">
        <v>61</v>
      </c>
      <c r="G186" s="109" t="s">
        <v>20</v>
      </c>
      <c r="H186" s="110">
        <v>86.75</v>
      </c>
      <c r="I186" s="109">
        <v>16</v>
      </c>
      <c r="J186" s="110">
        <v>1388</v>
      </c>
    </row>
    <row r="187" spans="1:10" x14ac:dyDescent="0.25">
      <c r="A187" s="109" t="s">
        <v>223</v>
      </c>
      <c r="B187" s="112">
        <v>45788</v>
      </c>
      <c r="C187" s="109" t="s">
        <v>34</v>
      </c>
      <c r="D187" s="109" t="s">
        <v>12</v>
      </c>
      <c r="E187" s="109" t="s">
        <v>45</v>
      </c>
      <c r="F187" s="109" t="s">
        <v>39</v>
      </c>
      <c r="G187" s="109" t="s">
        <v>36</v>
      </c>
      <c r="H187" s="110">
        <v>175.2</v>
      </c>
      <c r="I187" s="109">
        <v>15</v>
      </c>
      <c r="J187" s="110">
        <v>2628</v>
      </c>
    </row>
    <row r="188" spans="1:10" x14ac:dyDescent="0.25">
      <c r="A188" s="109" t="s">
        <v>224</v>
      </c>
      <c r="B188" s="112">
        <v>45805</v>
      </c>
      <c r="C188" s="109" t="s">
        <v>30</v>
      </c>
      <c r="D188" s="109" t="s">
        <v>22</v>
      </c>
      <c r="E188" s="109" t="s">
        <v>41</v>
      </c>
      <c r="F188" s="109" t="s">
        <v>32</v>
      </c>
      <c r="G188" s="109" t="s">
        <v>20</v>
      </c>
      <c r="H188" s="110">
        <v>209.79</v>
      </c>
      <c r="I188" s="109">
        <v>18</v>
      </c>
      <c r="J188" s="110">
        <v>3776.22</v>
      </c>
    </row>
    <row r="189" spans="1:10" x14ac:dyDescent="0.25">
      <c r="A189" s="109" t="s">
        <v>225</v>
      </c>
      <c r="B189" s="112">
        <v>45811</v>
      </c>
      <c r="C189" s="109" t="s">
        <v>17</v>
      </c>
      <c r="D189" s="109" t="s">
        <v>35</v>
      </c>
      <c r="E189" s="109" t="s">
        <v>41</v>
      </c>
      <c r="F189" s="109" t="s">
        <v>39</v>
      </c>
      <c r="G189" s="109" t="s">
        <v>36</v>
      </c>
      <c r="H189" s="110">
        <v>152.13999999999999</v>
      </c>
      <c r="I189" s="109">
        <v>14</v>
      </c>
      <c r="J189" s="110">
        <v>2129.96</v>
      </c>
    </row>
    <row r="190" spans="1:10" x14ac:dyDescent="0.25">
      <c r="A190" s="109" t="s">
        <v>226</v>
      </c>
      <c r="B190" s="112">
        <v>45759</v>
      </c>
      <c r="C190" s="109" t="s">
        <v>38</v>
      </c>
      <c r="D190" s="109" t="s">
        <v>22</v>
      </c>
      <c r="E190" s="109" t="s">
        <v>23</v>
      </c>
      <c r="F190" s="109" t="s">
        <v>61</v>
      </c>
      <c r="G190" s="109" t="s">
        <v>20</v>
      </c>
      <c r="H190" s="110">
        <v>146.52000000000001</v>
      </c>
      <c r="I190" s="109">
        <v>13</v>
      </c>
      <c r="J190" s="110">
        <v>1904.76</v>
      </c>
    </row>
    <row r="191" spans="1:10" x14ac:dyDescent="0.25">
      <c r="A191" s="109" t="s">
        <v>227</v>
      </c>
      <c r="B191" s="112">
        <v>45841</v>
      </c>
      <c r="C191" s="109" t="s">
        <v>34</v>
      </c>
      <c r="D191" s="109" t="s">
        <v>12</v>
      </c>
      <c r="E191" s="109" t="s">
        <v>13</v>
      </c>
      <c r="F191" s="109" t="s">
        <v>19</v>
      </c>
      <c r="G191" s="109" t="s">
        <v>20</v>
      </c>
      <c r="H191" s="110">
        <v>83.21</v>
      </c>
      <c r="I191" s="109">
        <v>19</v>
      </c>
      <c r="J191" s="110">
        <v>1580.99</v>
      </c>
    </row>
    <row r="192" spans="1:10" x14ac:dyDescent="0.25">
      <c r="A192" s="109" t="s">
        <v>228</v>
      </c>
      <c r="B192" s="112">
        <v>45860</v>
      </c>
      <c r="C192" s="109" t="s">
        <v>11</v>
      </c>
      <c r="D192" s="109" t="s">
        <v>55</v>
      </c>
      <c r="E192" s="109" t="s">
        <v>27</v>
      </c>
      <c r="F192" s="109" t="s">
        <v>39</v>
      </c>
      <c r="G192" s="109" t="s">
        <v>20</v>
      </c>
      <c r="H192" s="110">
        <v>50.48</v>
      </c>
      <c r="I192" s="109">
        <v>9</v>
      </c>
      <c r="J192" s="110">
        <v>454.32</v>
      </c>
    </row>
    <row r="193" spans="1:10" x14ac:dyDescent="0.25">
      <c r="A193" s="109" t="s">
        <v>229</v>
      </c>
      <c r="B193" s="112">
        <v>45683</v>
      </c>
      <c r="C193" s="109" t="s">
        <v>17</v>
      </c>
      <c r="D193" s="109" t="s">
        <v>31</v>
      </c>
      <c r="E193" s="109" t="s">
        <v>13</v>
      </c>
      <c r="F193" s="109" t="s">
        <v>39</v>
      </c>
      <c r="G193" s="109" t="s">
        <v>15</v>
      </c>
      <c r="H193" s="110">
        <v>227.39</v>
      </c>
      <c r="I193" s="109">
        <v>20</v>
      </c>
      <c r="J193" s="110">
        <v>4547.8</v>
      </c>
    </row>
    <row r="194" spans="1:10" x14ac:dyDescent="0.25">
      <c r="A194" s="109" t="s">
        <v>230</v>
      </c>
      <c r="B194" s="112">
        <v>45968</v>
      </c>
      <c r="C194" s="109" t="s">
        <v>30</v>
      </c>
      <c r="D194" s="109" t="s">
        <v>12</v>
      </c>
      <c r="E194" s="109" t="s">
        <v>23</v>
      </c>
      <c r="F194" s="109" t="s">
        <v>42</v>
      </c>
      <c r="G194" s="109" t="s">
        <v>36</v>
      </c>
      <c r="H194" s="110">
        <v>228.09</v>
      </c>
      <c r="I194" s="109">
        <v>12</v>
      </c>
      <c r="J194" s="110">
        <v>2737.08</v>
      </c>
    </row>
    <row r="195" spans="1:10" x14ac:dyDescent="0.25">
      <c r="A195" s="109" t="s">
        <v>231</v>
      </c>
      <c r="B195" s="112">
        <v>46005</v>
      </c>
      <c r="C195" s="109" t="s">
        <v>17</v>
      </c>
      <c r="D195" s="109" t="s">
        <v>22</v>
      </c>
      <c r="E195" s="109" t="s">
        <v>27</v>
      </c>
      <c r="F195" s="109" t="s">
        <v>28</v>
      </c>
      <c r="G195" s="109" t="s">
        <v>15</v>
      </c>
      <c r="H195" s="110">
        <v>169.28</v>
      </c>
      <c r="I195" s="109">
        <v>5</v>
      </c>
      <c r="J195" s="110">
        <v>846.4</v>
      </c>
    </row>
    <row r="196" spans="1:10" x14ac:dyDescent="0.25">
      <c r="A196" s="109" t="s">
        <v>232</v>
      </c>
      <c r="B196" s="112">
        <v>45816</v>
      </c>
      <c r="C196" s="109" t="s">
        <v>11</v>
      </c>
      <c r="D196" s="109" t="s">
        <v>55</v>
      </c>
      <c r="E196" s="109" t="s">
        <v>13</v>
      </c>
      <c r="F196" s="109" t="s">
        <v>28</v>
      </c>
      <c r="G196" s="109" t="s">
        <v>15</v>
      </c>
      <c r="H196" s="110">
        <v>104.59</v>
      </c>
      <c r="I196" s="109">
        <v>15</v>
      </c>
      <c r="J196" s="110">
        <v>1568.85</v>
      </c>
    </row>
    <row r="197" spans="1:10" x14ac:dyDescent="0.25">
      <c r="A197" s="109" t="s">
        <v>233</v>
      </c>
      <c r="B197" s="112">
        <v>45704</v>
      </c>
      <c r="C197" s="109" t="s">
        <v>34</v>
      </c>
      <c r="D197" s="109" t="s">
        <v>12</v>
      </c>
      <c r="E197" s="109" t="s">
        <v>41</v>
      </c>
      <c r="F197" s="109" t="s">
        <v>14</v>
      </c>
      <c r="G197" s="109" t="s">
        <v>15</v>
      </c>
      <c r="H197" s="110">
        <v>106.83</v>
      </c>
      <c r="I197" s="109">
        <v>10</v>
      </c>
      <c r="J197" s="110">
        <v>1068.3</v>
      </c>
    </row>
    <row r="198" spans="1:10" x14ac:dyDescent="0.25">
      <c r="A198" s="109" t="s">
        <v>234</v>
      </c>
      <c r="B198" s="112">
        <v>45725</v>
      </c>
      <c r="C198" s="109" t="s">
        <v>34</v>
      </c>
      <c r="D198" s="109" t="s">
        <v>55</v>
      </c>
      <c r="E198" s="109" t="s">
        <v>18</v>
      </c>
      <c r="F198" s="109" t="s">
        <v>32</v>
      </c>
      <c r="G198" s="109" t="s">
        <v>15</v>
      </c>
      <c r="H198" s="110">
        <v>189.71</v>
      </c>
      <c r="I198" s="109">
        <v>18</v>
      </c>
      <c r="J198" s="110">
        <v>3414.78</v>
      </c>
    </row>
    <row r="199" spans="1:10" x14ac:dyDescent="0.25">
      <c r="A199" s="109" t="s">
        <v>235</v>
      </c>
      <c r="B199" s="112">
        <v>45789</v>
      </c>
      <c r="C199" s="109" t="s">
        <v>34</v>
      </c>
      <c r="D199" s="109" t="s">
        <v>12</v>
      </c>
      <c r="E199" s="109" t="s">
        <v>13</v>
      </c>
      <c r="F199" s="109" t="s">
        <v>39</v>
      </c>
      <c r="G199" s="109" t="s">
        <v>15</v>
      </c>
      <c r="H199" s="110">
        <v>227.36</v>
      </c>
      <c r="I199" s="109">
        <v>16</v>
      </c>
      <c r="J199" s="110">
        <v>3637.76</v>
      </c>
    </row>
    <row r="200" spans="1:10" x14ac:dyDescent="0.25">
      <c r="A200" s="109" t="s">
        <v>236</v>
      </c>
      <c r="B200" s="112">
        <v>45897</v>
      </c>
      <c r="C200" s="109" t="s">
        <v>30</v>
      </c>
      <c r="D200" s="109" t="s">
        <v>26</v>
      </c>
      <c r="E200" s="109" t="s">
        <v>27</v>
      </c>
      <c r="F200" s="109" t="s">
        <v>28</v>
      </c>
      <c r="G200" s="109" t="s">
        <v>20</v>
      </c>
      <c r="H200" s="110">
        <v>225.16</v>
      </c>
      <c r="I200" s="109">
        <v>3</v>
      </c>
      <c r="J200" s="110">
        <v>675.48</v>
      </c>
    </row>
    <row r="201" spans="1:10" x14ac:dyDescent="0.25">
      <c r="A201" s="109" t="s">
        <v>237</v>
      </c>
      <c r="B201" s="112">
        <v>45861</v>
      </c>
      <c r="C201" s="109" t="s">
        <v>34</v>
      </c>
      <c r="D201" s="109" t="s">
        <v>22</v>
      </c>
      <c r="E201" s="109" t="s">
        <v>41</v>
      </c>
      <c r="F201" s="109" t="s">
        <v>19</v>
      </c>
      <c r="G201" s="109" t="s">
        <v>36</v>
      </c>
      <c r="H201" s="110">
        <v>201.57</v>
      </c>
      <c r="I201" s="109">
        <v>18</v>
      </c>
      <c r="J201" s="110">
        <v>3628.26</v>
      </c>
    </row>
    <row r="202" spans="1:10" x14ac:dyDescent="0.25">
      <c r="A202" s="109" t="s">
        <v>238</v>
      </c>
      <c r="B202" s="112">
        <v>45932</v>
      </c>
      <c r="C202" s="109" t="s">
        <v>38</v>
      </c>
      <c r="D202" s="109" t="s">
        <v>35</v>
      </c>
      <c r="E202" s="109" t="s">
        <v>27</v>
      </c>
      <c r="F202" s="109" t="s">
        <v>28</v>
      </c>
      <c r="G202" s="109" t="s">
        <v>20</v>
      </c>
      <c r="H202" s="110">
        <v>171.25</v>
      </c>
      <c r="I202" s="109">
        <v>4</v>
      </c>
      <c r="J202" s="110">
        <v>685</v>
      </c>
    </row>
    <row r="203" spans="1:10" x14ac:dyDescent="0.25">
      <c r="A203" s="109" t="s">
        <v>239</v>
      </c>
      <c r="B203" s="112">
        <v>45792</v>
      </c>
      <c r="C203" s="109" t="s">
        <v>38</v>
      </c>
      <c r="D203" s="109" t="s">
        <v>12</v>
      </c>
      <c r="E203" s="109" t="s">
        <v>13</v>
      </c>
      <c r="F203" s="109" t="s">
        <v>19</v>
      </c>
      <c r="G203" s="109" t="s">
        <v>20</v>
      </c>
      <c r="H203" s="110">
        <v>48.51</v>
      </c>
      <c r="I203" s="109">
        <v>19</v>
      </c>
      <c r="J203" s="110">
        <v>921.69</v>
      </c>
    </row>
    <row r="204" spans="1:10" x14ac:dyDescent="0.25">
      <c r="A204" s="109" t="s">
        <v>240</v>
      </c>
      <c r="B204" s="112">
        <v>45777</v>
      </c>
      <c r="C204" s="109" t="s">
        <v>11</v>
      </c>
      <c r="D204" s="109" t="s">
        <v>55</v>
      </c>
      <c r="E204" s="109" t="s">
        <v>18</v>
      </c>
      <c r="F204" s="109" t="s">
        <v>32</v>
      </c>
      <c r="G204" s="109" t="s">
        <v>20</v>
      </c>
      <c r="H204" s="110">
        <v>65.56</v>
      </c>
      <c r="I204" s="109">
        <v>16</v>
      </c>
      <c r="J204" s="110">
        <v>1048.96</v>
      </c>
    </row>
    <row r="205" spans="1:10" x14ac:dyDescent="0.25">
      <c r="A205" s="109" t="s">
        <v>241</v>
      </c>
      <c r="B205" s="112">
        <v>45771</v>
      </c>
      <c r="C205" s="109" t="s">
        <v>17</v>
      </c>
      <c r="D205" s="109" t="s">
        <v>31</v>
      </c>
      <c r="E205" s="109" t="s">
        <v>27</v>
      </c>
      <c r="F205" s="109" t="s">
        <v>32</v>
      </c>
      <c r="G205" s="109" t="s">
        <v>20</v>
      </c>
      <c r="H205" s="110">
        <v>227.68</v>
      </c>
      <c r="I205" s="109">
        <v>3</v>
      </c>
      <c r="J205" s="110">
        <v>683.04</v>
      </c>
    </row>
    <row r="206" spans="1:10" x14ac:dyDescent="0.25">
      <c r="A206" s="109" t="s">
        <v>242</v>
      </c>
      <c r="B206" s="112">
        <v>45867</v>
      </c>
      <c r="C206" s="109" t="s">
        <v>30</v>
      </c>
      <c r="D206" s="109" t="s">
        <v>22</v>
      </c>
      <c r="E206" s="109" t="s">
        <v>45</v>
      </c>
      <c r="F206" s="109" t="s">
        <v>32</v>
      </c>
      <c r="G206" s="109" t="s">
        <v>36</v>
      </c>
      <c r="H206" s="110">
        <v>163.41</v>
      </c>
      <c r="I206" s="109">
        <v>4</v>
      </c>
      <c r="J206" s="110">
        <v>653.64</v>
      </c>
    </row>
    <row r="207" spans="1:10" x14ac:dyDescent="0.25">
      <c r="A207" s="109" t="s">
        <v>243</v>
      </c>
      <c r="B207" s="112">
        <v>45717</v>
      </c>
      <c r="C207" s="109" t="s">
        <v>30</v>
      </c>
      <c r="D207" s="109" t="s">
        <v>55</v>
      </c>
      <c r="E207" s="109" t="s">
        <v>23</v>
      </c>
      <c r="F207" s="109" t="s">
        <v>61</v>
      </c>
      <c r="G207" s="109" t="s">
        <v>36</v>
      </c>
      <c r="H207" s="110">
        <v>32.020000000000003</v>
      </c>
      <c r="I207" s="109">
        <v>4</v>
      </c>
      <c r="J207" s="110">
        <v>128.08000000000001</v>
      </c>
    </row>
    <row r="208" spans="1:10" x14ac:dyDescent="0.25">
      <c r="A208" s="109" t="s">
        <v>244</v>
      </c>
      <c r="B208" s="112">
        <v>45847</v>
      </c>
      <c r="C208" s="109" t="s">
        <v>38</v>
      </c>
      <c r="D208" s="109" t="s">
        <v>55</v>
      </c>
      <c r="E208" s="109" t="s">
        <v>27</v>
      </c>
      <c r="F208" s="109" t="s">
        <v>28</v>
      </c>
      <c r="G208" s="109" t="s">
        <v>15</v>
      </c>
      <c r="H208" s="110">
        <v>52.32</v>
      </c>
      <c r="I208" s="109">
        <v>18</v>
      </c>
      <c r="J208" s="110">
        <v>941.76</v>
      </c>
    </row>
    <row r="209" spans="1:10" x14ac:dyDescent="0.25">
      <c r="A209" s="109" t="s">
        <v>245</v>
      </c>
      <c r="B209" s="112">
        <v>45870</v>
      </c>
      <c r="C209" s="109" t="s">
        <v>38</v>
      </c>
      <c r="D209" s="109" t="s">
        <v>55</v>
      </c>
      <c r="E209" s="109" t="s">
        <v>41</v>
      </c>
      <c r="F209" s="109" t="s">
        <v>32</v>
      </c>
      <c r="G209" s="109" t="s">
        <v>15</v>
      </c>
      <c r="H209" s="110">
        <v>175.97</v>
      </c>
      <c r="I209" s="109">
        <v>4</v>
      </c>
      <c r="J209" s="110">
        <v>703.88</v>
      </c>
    </row>
    <row r="210" spans="1:10" x14ac:dyDescent="0.25">
      <c r="A210" s="109" t="s">
        <v>246</v>
      </c>
      <c r="B210" s="112">
        <v>46011</v>
      </c>
      <c r="C210" s="109" t="s">
        <v>30</v>
      </c>
      <c r="D210" s="109" t="s">
        <v>31</v>
      </c>
      <c r="E210" s="109" t="s">
        <v>41</v>
      </c>
      <c r="F210" s="109" t="s">
        <v>14</v>
      </c>
      <c r="G210" s="109" t="s">
        <v>36</v>
      </c>
      <c r="H210" s="110">
        <v>31.11</v>
      </c>
      <c r="I210" s="109">
        <v>12</v>
      </c>
      <c r="J210" s="110">
        <v>373.32</v>
      </c>
    </row>
    <row r="211" spans="1:10" x14ac:dyDescent="0.25">
      <c r="A211" s="109" t="s">
        <v>247</v>
      </c>
      <c r="B211" s="112">
        <v>45708</v>
      </c>
      <c r="C211" s="109" t="s">
        <v>25</v>
      </c>
      <c r="D211" s="109" t="s">
        <v>12</v>
      </c>
      <c r="E211" s="109" t="s">
        <v>13</v>
      </c>
      <c r="F211" s="109" t="s">
        <v>19</v>
      </c>
      <c r="G211" s="109" t="s">
        <v>36</v>
      </c>
      <c r="H211" s="110">
        <v>65.38</v>
      </c>
      <c r="I211" s="109">
        <v>12</v>
      </c>
      <c r="J211" s="110">
        <v>784.56</v>
      </c>
    </row>
    <row r="212" spans="1:10" x14ac:dyDescent="0.25">
      <c r="A212" s="109" t="s">
        <v>248</v>
      </c>
      <c r="B212" s="112">
        <v>45799</v>
      </c>
      <c r="C212" s="109" t="s">
        <v>11</v>
      </c>
      <c r="D212" s="109" t="s">
        <v>31</v>
      </c>
      <c r="E212" s="109" t="s">
        <v>45</v>
      </c>
      <c r="F212" s="109" t="s">
        <v>28</v>
      </c>
      <c r="G212" s="109" t="s">
        <v>15</v>
      </c>
      <c r="H212" s="110">
        <v>150.72</v>
      </c>
      <c r="I212" s="109">
        <v>7</v>
      </c>
      <c r="J212" s="110">
        <v>1055.04</v>
      </c>
    </row>
    <row r="213" spans="1:10" x14ac:dyDescent="0.25">
      <c r="A213" s="109" t="s">
        <v>249</v>
      </c>
      <c r="B213" s="112">
        <v>45986</v>
      </c>
      <c r="C213" s="109" t="s">
        <v>11</v>
      </c>
      <c r="D213" s="109" t="s">
        <v>22</v>
      </c>
      <c r="E213" s="109" t="s">
        <v>13</v>
      </c>
      <c r="F213" s="109" t="s">
        <v>14</v>
      </c>
      <c r="G213" s="109" t="s">
        <v>15</v>
      </c>
      <c r="H213" s="110">
        <v>182.22</v>
      </c>
      <c r="I213" s="109">
        <v>20</v>
      </c>
      <c r="J213" s="110">
        <v>3644.4</v>
      </c>
    </row>
    <row r="214" spans="1:10" x14ac:dyDescent="0.25">
      <c r="A214" s="109" t="s">
        <v>250</v>
      </c>
      <c r="B214" s="112">
        <v>45947</v>
      </c>
      <c r="C214" s="109" t="s">
        <v>11</v>
      </c>
      <c r="D214" s="109" t="s">
        <v>55</v>
      </c>
      <c r="E214" s="109" t="s">
        <v>23</v>
      </c>
      <c r="F214" s="109" t="s">
        <v>42</v>
      </c>
      <c r="G214" s="109" t="s">
        <v>15</v>
      </c>
      <c r="H214" s="110">
        <v>173.43</v>
      </c>
      <c r="I214" s="109">
        <v>7</v>
      </c>
      <c r="J214" s="110">
        <v>1214.01</v>
      </c>
    </row>
    <row r="215" spans="1:10" x14ac:dyDescent="0.25">
      <c r="A215" s="109" t="s">
        <v>251</v>
      </c>
      <c r="B215" s="112">
        <v>45777</v>
      </c>
      <c r="C215" s="109" t="s">
        <v>30</v>
      </c>
      <c r="D215" s="109" t="s">
        <v>55</v>
      </c>
      <c r="E215" s="109" t="s">
        <v>45</v>
      </c>
      <c r="F215" s="109" t="s">
        <v>32</v>
      </c>
      <c r="G215" s="109" t="s">
        <v>15</v>
      </c>
      <c r="H215" s="110">
        <v>79.34</v>
      </c>
      <c r="I215" s="109">
        <v>11</v>
      </c>
      <c r="J215" s="110">
        <v>872.74</v>
      </c>
    </row>
    <row r="216" spans="1:10" x14ac:dyDescent="0.25">
      <c r="A216" s="109" t="s">
        <v>252</v>
      </c>
      <c r="B216" s="112">
        <v>45724</v>
      </c>
      <c r="C216" s="109" t="s">
        <v>34</v>
      </c>
      <c r="D216" s="109" t="s">
        <v>26</v>
      </c>
      <c r="E216" s="109" t="s">
        <v>45</v>
      </c>
      <c r="F216" s="109" t="s">
        <v>28</v>
      </c>
      <c r="G216" s="109" t="s">
        <v>15</v>
      </c>
      <c r="H216" s="110">
        <v>186.68</v>
      </c>
      <c r="I216" s="109">
        <v>18</v>
      </c>
      <c r="J216" s="110">
        <v>3360.24</v>
      </c>
    </row>
    <row r="217" spans="1:10" x14ac:dyDescent="0.25">
      <c r="A217" s="109" t="s">
        <v>253</v>
      </c>
      <c r="B217" s="112">
        <v>45725</v>
      </c>
      <c r="C217" s="109" t="s">
        <v>34</v>
      </c>
      <c r="D217" s="109" t="s">
        <v>26</v>
      </c>
      <c r="E217" s="109" t="s">
        <v>18</v>
      </c>
      <c r="F217" s="109" t="s">
        <v>32</v>
      </c>
      <c r="G217" s="109" t="s">
        <v>15</v>
      </c>
      <c r="H217" s="110">
        <v>82.19</v>
      </c>
      <c r="I217" s="109">
        <v>1</v>
      </c>
      <c r="J217" s="110">
        <v>82.19</v>
      </c>
    </row>
    <row r="218" spans="1:10" x14ac:dyDescent="0.25">
      <c r="A218" s="109" t="s">
        <v>254</v>
      </c>
      <c r="B218" s="112">
        <v>45747</v>
      </c>
      <c r="C218" s="109" t="s">
        <v>11</v>
      </c>
      <c r="D218" s="109" t="s">
        <v>26</v>
      </c>
      <c r="E218" s="109" t="s">
        <v>27</v>
      </c>
      <c r="F218" s="109" t="s">
        <v>61</v>
      </c>
      <c r="G218" s="109" t="s">
        <v>20</v>
      </c>
      <c r="H218" s="110">
        <v>101.59</v>
      </c>
      <c r="I218" s="109">
        <v>9</v>
      </c>
      <c r="J218" s="110">
        <v>914.31</v>
      </c>
    </row>
    <row r="219" spans="1:10" x14ac:dyDescent="0.25">
      <c r="A219" s="109" t="s">
        <v>255</v>
      </c>
      <c r="B219" s="112">
        <v>45716</v>
      </c>
      <c r="C219" s="109" t="s">
        <v>38</v>
      </c>
      <c r="D219" s="109" t="s">
        <v>31</v>
      </c>
      <c r="E219" s="109" t="s">
        <v>13</v>
      </c>
      <c r="F219" s="109" t="s">
        <v>42</v>
      </c>
      <c r="G219" s="109" t="s">
        <v>20</v>
      </c>
      <c r="H219" s="110">
        <v>194.23</v>
      </c>
      <c r="I219" s="109">
        <v>3</v>
      </c>
      <c r="J219" s="110">
        <v>582.69000000000005</v>
      </c>
    </row>
    <row r="220" spans="1:10" x14ac:dyDescent="0.25">
      <c r="A220" s="109" t="s">
        <v>256</v>
      </c>
      <c r="B220" s="112">
        <v>45713</v>
      </c>
      <c r="C220" s="109" t="s">
        <v>25</v>
      </c>
      <c r="D220" s="109" t="s">
        <v>26</v>
      </c>
      <c r="E220" s="109" t="s">
        <v>18</v>
      </c>
      <c r="F220" s="109" t="s">
        <v>19</v>
      </c>
      <c r="G220" s="109" t="s">
        <v>20</v>
      </c>
      <c r="H220" s="110">
        <v>172.92</v>
      </c>
      <c r="I220" s="109">
        <v>15</v>
      </c>
      <c r="J220" s="110">
        <v>2593.8000000000002</v>
      </c>
    </row>
    <row r="221" spans="1:10" x14ac:dyDescent="0.25">
      <c r="A221" s="109" t="s">
        <v>257</v>
      </c>
      <c r="B221" s="112">
        <v>45995</v>
      </c>
      <c r="C221" s="109" t="s">
        <v>34</v>
      </c>
      <c r="D221" s="109" t="s">
        <v>31</v>
      </c>
      <c r="E221" s="109" t="s">
        <v>27</v>
      </c>
      <c r="F221" s="109" t="s">
        <v>19</v>
      </c>
      <c r="G221" s="109" t="s">
        <v>15</v>
      </c>
      <c r="H221" s="110">
        <v>216.83</v>
      </c>
      <c r="I221" s="109">
        <v>17</v>
      </c>
      <c r="J221" s="110">
        <v>3686.11</v>
      </c>
    </row>
    <row r="222" spans="1:10" x14ac:dyDescent="0.25">
      <c r="A222" s="109" t="s">
        <v>258</v>
      </c>
      <c r="B222" s="112">
        <v>45903</v>
      </c>
      <c r="C222" s="109" t="s">
        <v>38</v>
      </c>
      <c r="D222" s="109" t="s">
        <v>12</v>
      </c>
      <c r="E222" s="109" t="s">
        <v>45</v>
      </c>
      <c r="F222" s="109" t="s">
        <v>61</v>
      </c>
      <c r="G222" s="109" t="s">
        <v>20</v>
      </c>
      <c r="H222" s="110">
        <v>174.67</v>
      </c>
      <c r="I222" s="109">
        <v>13</v>
      </c>
      <c r="J222" s="110">
        <v>2270.71</v>
      </c>
    </row>
    <row r="223" spans="1:10" x14ac:dyDescent="0.25">
      <c r="A223" s="109" t="s">
        <v>259</v>
      </c>
      <c r="B223" s="112">
        <v>45885</v>
      </c>
      <c r="C223" s="109" t="s">
        <v>11</v>
      </c>
      <c r="D223" s="109" t="s">
        <v>35</v>
      </c>
      <c r="E223" s="109" t="s">
        <v>18</v>
      </c>
      <c r="F223" s="109" t="s">
        <v>14</v>
      </c>
      <c r="G223" s="109" t="s">
        <v>15</v>
      </c>
      <c r="H223" s="110">
        <v>155.03</v>
      </c>
      <c r="I223" s="109">
        <v>3</v>
      </c>
      <c r="J223" s="110">
        <v>465.09</v>
      </c>
    </row>
    <row r="224" spans="1:10" x14ac:dyDescent="0.25">
      <c r="A224" s="109" t="s">
        <v>260</v>
      </c>
      <c r="B224" s="112">
        <v>45722</v>
      </c>
      <c r="C224" s="109" t="s">
        <v>25</v>
      </c>
      <c r="D224" s="109" t="s">
        <v>12</v>
      </c>
      <c r="E224" s="109" t="s">
        <v>18</v>
      </c>
      <c r="F224" s="109" t="s">
        <v>42</v>
      </c>
      <c r="G224" s="109" t="s">
        <v>20</v>
      </c>
      <c r="H224" s="110">
        <v>50.61</v>
      </c>
      <c r="I224" s="109">
        <v>9</v>
      </c>
      <c r="J224" s="110">
        <v>455.49</v>
      </c>
    </row>
    <row r="225" spans="1:10" x14ac:dyDescent="0.25">
      <c r="A225" s="109" t="s">
        <v>261</v>
      </c>
      <c r="B225" s="112">
        <v>45824</v>
      </c>
      <c r="C225" s="109" t="s">
        <v>25</v>
      </c>
      <c r="D225" s="109" t="s">
        <v>55</v>
      </c>
      <c r="E225" s="109" t="s">
        <v>13</v>
      </c>
      <c r="F225" s="109" t="s">
        <v>61</v>
      </c>
      <c r="G225" s="109" t="s">
        <v>20</v>
      </c>
      <c r="H225" s="110">
        <v>110.9</v>
      </c>
      <c r="I225" s="109">
        <v>13</v>
      </c>
      <c r="J225" s="110">
        <v>1441.7</v>
      </c>
    </row>
    <row r="226" spans="1:10" x14ac:dyDescent="0.25">
      <c r="A226" s="109" t="s">
        <v>262</v>
      </c>
      <c r="B226" s="112">
        <v>45967</v>
      </c>
      <c r="C226" s="109" t="s">
        <v>11</v>
      </c>
      <c r="D226" s="109" t="s">
        <v>12</v>
      </c>
      <c r="E226" s="109" t="s">
        <v>45</v>
      </c>
      <c r="F226" s="109" t="s">
        <v>39</v>
      </c>
      <c r="G226" s="109" t="s">
        <v>20</v>
      </c>
      <c r="H226" s="110">
        <v>88.34</v>
      </c>
      <c r="I226" s="109">
        <v>14</v>
      </c>
      <c r="J226" s="110">
        <v>1236.76</v>
      </c>
    </row>
    <row r="227" spans="1:10" x14ac:dyDescent="0.25">
      <c r="A227" s="109" t="s">
        <v>263</v>
      </c>
      <c r="B227" s="112">
        <v>45991</v>
      </c>
      <c r="C227" s="109" t="s">
        <v>17</v>
      </c>
      <c r="D227" s="109" t="s">
        <v>26</v>
      </c>
      <c r="E227" s="109" t="s">
        <v>41</v>
      </c>
      <c r="F227" s="109" t="s">
        <v>61</v>
      </c>
      <c r="G227" s="109" t="s">
        <v>15</v>
      </c>
      <c r="H227" s="110">
        <v>83.68</v>
      </c>
      <c r="I227" s="109">
        <v>18</v>
      </c>
      <c r="J227" s="110">
        <v>1506.24</v>
      </c>
    </row>
    <row r="228" spans="1:10" x14ac:dyDescent="0.25">
      <c r="A228" s="109" t="s">
        <v>264</v>
      </c>
      <c r="B228" s="112">
        <v>45869</v>
      </c>
      <c r="C228" s="109" t="s">
        <v>38</v>
      </c>
      <c r="D228" s="109" t="s">
        <v>31</v>
      </c>
      <c r="E228" s="109" t="s">
        <v>41</v>
      </c>
      <c r="F228" s="109" t="s">
        <v>28</v>
      </c>
      <c r="G228" s="109" t="s">
        <v>15</v>
      </c>
      <c r="H228" s="110">
        <v>244.06</v>
      </c>
      <c r="I228" s="109">
        <v>11</v>
      </c>
      <c r="J228" s="110">
        <v>2684.66</v>
      </c>
    </row>
    <row r="229" spans="1:10" x14ac:dyDescent="0.25">
      <c r="A229" s="109" t="s">
        <v>265</v>
      </c>
      <c r="B229" s="112">
        <v>45818</v>
      </c>
      <c r="C229" s="109" t="s">
        <v>34</v>
      </c>
      <c r="D229" s="109" t="s">
        <v>12</v>
      </c>
      <c r="E229" s="109" t="s">
        <v>13</v>
      </c>
      <c r="F229" s="109" t="s">
        <v>32</v>
      </c>
      <c r="G229" s="109" t="s">
        <v>15</v>
      </c>
      <c r="H229" s="110">
        <v>116.48</v>
      </c>
      <c r="I229" s="109">
        <v>14</v>
      </c>
      <c r="J229" s="110">
        <v>1630.72</v>
      </c>
    </row>
    <row r="230" spans="1:10" x14ac:dyDescent="0.25">
      <c r="A230" s="109" t="s">
        <v>266</v>
      </c>
      <c r="B230" s="112">
        <v>46009</v>
      </c>
      <c r="C230" s="109" t="s">
        <v>11</v>
      </c>
      <c r="D230" s="109" t="s">
        <v>22</v>
      </c>
      <c r="E230" s="109" t="s">
        <v>45</v>
      </c>
      <c r="F230" s="109" t="s">
        <v>19</v>
      </c>
      <c r="G230" s="109" t="s">
        <v>36</v>
      </c>
      <c r="H230" s="110">
        <v>226.25</v>
      </c>
      <c r="I230" s="109">
        <v>16</v>
      </c>
      <c r="J230" s="110">
        <v>3620</v>
      </c>
    </row>
    <row r="231" spans="1:10" x14ac:dyDescent="0.25">
      <c r="A231" s="109" t="s">
        <v>267</v>
      </c>
      <c r="B231" s="112">
        <v>45707</v>
      </c>
      <c r="C231" s="109" t="s">
        <v>30</v>
      </c>
      <c r="D231" s="109" t="s">
        <v>55</v>
      </c>
      <c r="E231" s="109" t="s">
        <v>45</v>
      </c>
      <c r="F231" s="109" t="s">
        <v>42</v>
      </c>
      <c r="G231" s="109" t="s">
        <v>20</v>
      </c>
      <c r="H231" s="110">
        <v>168.85</v>
      </c>
      <c r="I231" s="109">
        <v>12</v>
      </c>
      <c r="J231" s="110">
        <v>2026.2</v>
      </c>
    </row>
    <row r="232" spans="1:10" x14ac:dyDescent="0.25">
      <c r="A232" s="109" t="s">
        <v>268</v>
      </c>
      <c r="B232" s="112">
        <v>45945</v>
      </c>
      <c r="C232" s="109" t="s">
        <v>17</v>
      </c>
      <c r="D232" s="109" t="s">
        <v>22</v>
      </c>
      <c r="E232" s="109" t="s">
        <v>41</v>
      </c>
      <c r="F232" s="109" t="s">
        <v>32</v>
      </c>
      <c r="G232" s="109" t="s">
        <v>20</v>
      </c>
      <c r="H232" s="110">
        <v>204.86</v>
      </c>
      <c r="I232" s="109">
        <v>11</v>
      </c>
      <c r="J232" s="110">
        <v>2253.46</v>
      </c>
    </row>
    <row r="233" spans="1:10" x14ac:dyDescent="0.25">
      <c r="A233" s="109" t="s">
        <v>269</v>
      </c>
      <c r="B233" s="112">
        <v>45874</v>
      </c>
      <c r="C233" s="109" t="s">
        <v>34</v>
      </c>
      <c r="D233" s="109" t="s">
        <v>55</v>
      </c>
      <c r="E233" s="109" t="s">
        <v>13</v>
      </c>
      <c r="F233" s="109" t="s">
        <v>32</v>
      </c>
      <c r="G233" s="109" t="s">
        <v>15</v>
      </c>
      <c r="H233" s="110">
        <v>140.58000000000001</v>
      </c>
      <c r="I233" s="109">
        <v>2</v>
      </c>
      <c r="J233" s="110">
        <v>281.16000000000003</v>
      </c>
    </row>
    <row r="234" spans="1:10" x14ac:dyDescent="0.25">
      <c r="A234" s="109" t="s">
        <v>270</v>
      </c>
      <c r="B234" s="112">
        <v>45953</v>
      </c>
      <c r="C234" s="109" t="s">
        <v>30</v>
      </c>
      <c r="D234" s="109" t="s">
        <v>26</v>
      </c>
      <c r="E234" s="109" t="s">
        <v>27</v>
      </c>
      <c r="F234" s="109" t="s">
        <v>61</v>
      </c>
      <c r="G234" s="109" t="s">
        <v>15</v>
      </c>
      <c r="H234" s="110">
        <v>156.91999999999999</v>
      </c>
      <c r="I234" s="109">
        <v>17</v>
      </c>
      <c r="J234" s="110">
        <v>2667.64</v>
      </c>
    </row>
    <row r="235" spans="1:10" x14ac:dyDescent="0.25">
      <c r="A235" s="109" t="s">
        <v>271</v>
      </c>
      <c r="B235" s="112">
        <v>45713</v>
      </c>
      <c r="C235" s="109" t="s">
        <v>25</v>
      </c>
      <c r="D235" s="109" t="s">
        <v>35</v>
      </c>
      <c r="E235" s="109" t="s">
        <v>45</v>
      </c>
      <c r="F235" s="109" t="s">
        <v>39</v>
      </c>
      <c r="G235" s="109" t="s">
        <v>36</v>
      </c>
      <c r="H235" s="110">
        <v>138.35</v>
      </c>
      <c r="I235" s="109">
        <v>12</v>
      </c>
      <c r="J235" s="110">
        <v>1660.2</v>
      </c>
    </row>
    <row r="236" spans="1:10" x14ac:dyDescent="0.25">
      <c r="A236" s="109" t="s">
        <v>272</v>
      </c>
      <c r="B236" s="112">
        <v>45951</v>
      </c>
      <c r="C236" s="109" t="s">
        <v>38</v>
      </c>
      <c r="D236" s="109" t="s">
        <v>55</v>
      </c>
      <c r="E236" s="109" t="s">
        <v>18</v>
      </c>
      <c r="F236" s="109" t="s">
        <v>42</v>
      </c>
      <c r="G236" s="109" t="s">
        <v>20</v>
      </c>
      <c r="H236" s="110">
        <v>72.95</v>
      </c>
      <c r="I236" s="109">
        <v>8</v>
      </c>
      <c r="J236" s="110">
        <v>583.6</v>
      </c>
    </row>
    <row r="237" spans="1:10" x14ac:dyDescent="0.25">
      <c r="A237" s="109" t="s">
        <v>273</v>
      </c>
      <c r="B237" s="112">
        <v>45987</v>
      </c>
      <c r="C237" s="109" t="s">
        <v>11</v>
      </c>
      <c r="D237" s="109" t="s">
        <v>55</v>
      </c>
      <c r="E237" s="109" t="s">
        <v>27</v>
      </c>
      <c r="F237" s="109" t="s">
        <v>39</v>
      </c>
      <c r="G237" s="109" t="s">
        <v>20</v>
      </c>
      <c r="H237" s="110">
        <v>188.94</v>
      </c>
      <c r="I237" s="109">
        <v>18</v>
      </c>
      <c r="J237" s="110">
        <v>3400.92</v>
      </c>
    </row>
    <row r="238" spans="1:10" x14ac:dyDescent="0.25">
      <c r="A238" s="109" t="s">
        <v>274</v>
      </c>
      <c r="B238" s="112">
        <v>45794</v>
      </c>
      <c r="C238" s="109" t="s">
        <v>30</v>
      </c>
      <c r="D238" s="109" t="s">
        <v>35</v>
      </c>
      <c r="E238" s="109" t="s">
        <v>27</v>
      </c>
      <c r="F238" s="109" t="s">
        <v>39</v>
      </c>
      <c r="G238" s="109" t="s">
        <v>36</v>
      </c>
      <c r="H238" s="110">
        <v>91.77</v>
      </c>
      <c r="I238" s="109">
        <v>1</v>
      </c>
      <c r="J238" s="110">
        <v>91.77</v>
      </c>
    </row>
    <row r="239" spans="1:10" x14ac:dyDescent="0.25">
      <c r="A239" s="109" t="s">
        <v>275</v>
      </c>
      <c r="B239" s="112">
        <v>45831</v>
      </c>
      <c r="C239" s="109" t="s">
        <v>11</v>
      </c>
      <c r="D239" s="109" t="s">
        <v>26</v>
      </c>
      <c r="E239" s="109" t="s">
        <v>23</v>
      </c>
      <c r="F239" s="109" t="s">
        <v>42</v>
      </c>
      <c r="G239" s="109" t="s">
        <v>20</v>
      </c>
      <c r="H239" s="110">
        <v>35.35</v>
      </c>
      <c r="I239" s="109">
        <v>12</v>
      </c>
      <c r="J239" s="110">
        <v>424.2</v>
      </c>
    </row>
    <row r="240" spans="1:10" x14ac:dyDescent="0.25">
      <c r="A240" s="109" t="s">
        <v>276</v>
      </c>
      <c r="B240" s="112">
        <v>45863</v>
      </c>
      <c r="C240" s="109" t="s">
        <v>30</v>
      </c>
      <c r="D240" s="109" t="s">
        <v>12</v>
      </c>
      <c r="E240" s="109" t="s">
        <v>27</v>
      </c>
      <c r="F240" s="109" t="s">
        <v>19</v>
      </c>
      <c r="G240" s="109" t="s">
        <v>15</v>
      </c>
      <c r="H240" s="110">
        <v>172</v>
      </c>
      <c r="I240" s="109">
        <v>3</v>
      </c>
      <c r="J240" s="110">
        <v>516</v>
      </c>
    </row>
    <row r="241" spans="1:10" x14ac:dyDescent="0.25">
      <c r="A241" s="109" t="s">
        <v>277</v>
      </c>
      <c r="B241" s="112">
        <v>45929</v>
      </c>
      <c r="C241" s="109" t="s">
        <v>38</v>
      </c>
      <c r="D241" s="109" t="s">
        <v>31</v>
      </c>
      <c r="E241" s="109" t="s">
        <v>41</v>
      </c>
      <c r="F241" s="109" t="s">
        <v>32</v>
      </c>
      <c r="G241" s="109" t="s">
        <v>15</v>
      </c>
      <c r="H241" s="110">
        <v>68.959999999999994</v>
      </c>
      <c r="I241" s="109">
        <v>7</v>
      </c>
      <c r="J241" s="110">
        <v>482.72</v>
      </c>
    </row>
    <row r="242" spans="1:10" x14ac:dyDescent="0.25">
      <c r="A242" s="109" t="s">
        <v>278</v>
      </c>
      <c r="B242" s="112">
        <v>45847</v>
      </c>
      <c r="C242" s="109" t="s">
        <v>17</v>
      </c>
      <c r="D242" s="109" t="s">
        <v>35</v>
      </c>
      <c r="E242" s="109" t="s">
        <v>18</v>
      </c>
      <c r="F242" s="109" t="s">
        <v>42</v>
      </c>
      <c r="G242" s="109" t="s">
        <v>15</v>
      </c>
      <c r="H242" s="110">
        <v>236.9</v>
      </c>
      <c r="I242" s="109">
        <v>10</v>
      </c>
      <c r="J242" s="110">
        <v>2369</v>
      </c>
    </row>
    <row r="243" spans="1:10" x14ac:dyDescent="0.25">
      <c r="A243" s="109" t="s">
        <v>279</v>
      </c>
      <c r="B243" s="112">
        <v>45684</v>
      </c>
      <c r="C243" s="109" t="s">
        <v>30</v>
      </c>
      <c r="D243" s="109" t="s">
        <v>55</v>
      </c>
      <c r="E243" s="109" t="s">
        <v>45</v>
      </c>
      <c r="F243" s="109" t="s">
        <v>28</v>
      </c>
      <c r="G243" s="109" t="s">
        <v>15</v>
      </c>
      <c r="H243" s="110">
        <v>239.86</v>
      </c>
      <c r="I243" s="109">
        <v>5</v>
      </c>
      <c r="J243" s="110">
        <v>1199.3</v>
      </c>
    </row>
    <row r="244" spans="1:10" x14ac:dyDescent="0.25">
      <c r="A244" s="109" t="s">
        <v>280</v>
      </c>
      <c r="B244" s="112">
        <v>45797</v>
      </c>
      <c r="C244" s="109" t="s">
        <v>17</v>
      </c>
      <c r="D244" s="109" t="s">
        <v>31</v>
      </c>
      <c r="E244" s="109" t="s">
        <v>41</v>
      </c>
      <c r="F244" s="109" t="s">
        <v>42</v>
      </c>
      <c r="G244" s="109" t="s">
        <v>36</v>
      </c>
      <c r="H244" s="110">
        <v>231.27</v>
      </c>
      <c r="I244" s="109">
        <v>15</v>
      </c>
      <c r="J244" s="110">
        <v>3469.05</v>
      </c>
    </row>
    <row r="245" spans="1:10" x14ac:dyDescent="0.25">
      <c r="A245" s="109" t="s">
        <v>281</v>
      </c>
      <c r="B245" s="112">
        <v>45870</v>
      </c>
      <c r="C245" s="109" t="s">
        <v>30</v>
      </c>
      <c r="D245" s="109" t="s">
        <v>55</v>
      </c>
      <c r="E245" s="109" t="s">
        <v>45</v>
      </c>
      <c r="F245" s="109" t="s">
        <v>32</v>
      </c>
      <c r="G245" s="109" t="s">
        <v>36</v>
      </c>
      <c r="H245" s="110">
        <v>111.43</v>
      </c>
      <c r="I245" s="109">
        <v>9</v>
      </c>
      <c r="J245" s="110">
        <v>1002.87</v>
      </c>
    </row>
    <row r="246" spans="1:10" x14ac:dyDescent="0.25">
      <c r="A246" s="109" t="s">
        <v>282</v>
      </c>
      <c r="B246" s="112">
        <v>45714</v>
      </c>
      <c r="C246" s="109" t="s">
        <v>17</v>
      </c>
      <c r="D246" s="109" t="s">
        <v>12</v>
      </c>
      <c r="E246" s="109" t="s">
        <v>18</v>
      </c>
      <c r="F246" s="109" t="s">
        <v>61</v>
      </c>
      <c r="G246" s="109" t="s">
        <v>20</v>
      </c>
      <c r="H246" s="110">
        <v>33.4</v>
      </c>
      <c r="I246" s="109">
        <v>10</v>
      </c>
      <c r="J246" s="110">
        <v>334</v>
      </c>
    </row>
    <row r="247" spans="1:10" x14ac:dyDescent="0.25">
      <c r="A247" s="109" t="s">
        <v>283</v>
      </c>
      <c r="B247" s="112">
        <v>45999</v>
      </c>
      <c r="C247" s="109" t="s">
        <v>11</v>
      </c>
      <c r="D247" s="109" t="s">
        <v>26</v>
      </c>
      <c r="E247" s="109" t="s">
        <v>41</v>
      </c>
      <c r="F247" s="109" t="s">
        <v>42</v>
      </c>
      <c r="G247" s="109" t="s">
        <v>15</v>
      </c>
      <c r="H247" s="110">
        <v>234.23</v>
      </c>
      <c r="I247" s="109">
        <v>10</v>
      </c>
      <c r="J247" s="110">
        <v>2342.3000000000002</v>
      </c>
    </row>
    <row r="248" spans="1:10" x14ac:dyDescent="0.25">
      <c r="A248" s="109" t="s">
        <v>284</v>
      </c>
      <c r="B248" s="112">
        <v>45661</v>
      </c>
      <c r="C248" s="109" t="s">
        <v>34</v>
      </c>
      <c r="D248" s="109" t="s">
        <v>26</v>
      </c>
      <c r="E248" s="109" t="s">
        <v>23</v>
      </c>
      <c r="F248" s="109" t="s">
        <v>39</v>
      </c>
      <c r="G248" s="109" t="s">
        <v>36</v>
      </c>
      <c r="H248" s="110">
        <v>124.2</v>
      </c>
      <c r="I248" s="109">
        <v>7</v>
      </c>
      <c r="J248" s="110">
        <v>869.4</v>
      </c>
    </row>
    <row r="249" spans="1:10" x14ac:dyDescent="0.25">
      <c r="A249" s="109" t="s">
        <v>285</v>
      </c>
      <c r="B249" s="112">
        <v>45806</v>
      </c>
      <c r="C249" s="109" t="s">
        <v>11</v>
      </c>
      <c r="D249" s="109" t="s">
        <v>22</v>
      </c>
      <c r="E249" s="109" t="s">
        <v>41</v>
      </c>
      <c r="F249" s="109" t="s">
        <v>28</v>
      </c>
      <c r="G249" s="109" t="s">
        <v>36</v>
      </c>
      <c r="H249" s="110">
        <v>242.66</v>
      </c>
      <c r="I249" s="109">
        <v>11</v>
      </c>
      <c r="J249" s="110">
        <v>2669.26</v>
      </c>
    </row>
    <row r="250" spans="1:10" x14ac:dyDescent="0.25">
      <c r="A250" s="109" t="s">
        <v>286</v>
      </c>
      <c r="B250" s="112">
        <v>45747</v>
      </c>
      <c r="C250" s="109" t="s">
        <v>38</v>
      </c>
      <c r="D250" s="109" t="s">
        <v>55</v>
      </c>
      <c r="E250" s="109" t="s">
        <v>27</v>
      </c>
      <c r="F250" s="109" t="s">
        <v>14</v>
      </c>
      <c r="G250" s="109" t="s">
        <v>20</v>
      </c>
      <c r="H250" s="110">
        <v>242</v>
      </c>
      <c r="I250" s="109">
        <v>5</v>
      </c>
      <c r="J250" s="110">
        <v>1210</v>
      </c>
    </row>
    <row r="251" spans="1:10" x14ac:dyDescent="0.25">
      <c r="A251" s="109" t="s">
        <v>287</v>
      </c>
      <c r="B251" s="112">
        <v>45944</v>
      </c>
      <c r="C251" s="109" t="s">
        <v>11</v>
      </c>
      <c r="D251" s="109" t="s">
        <v>31</v>
      </c>
      <c r="E251" s="109" t="s">
        <v>27</v>
      </c>
      <c r="F251" s="109" t="s">
        <v>19</v>
      </c>
      <c r="G251" s="109" t="s">
        <v>36</v>
      </c>
      <c r="H251" s="110">
        <v>217.66</v>
      </c>
      <c r="I251" s="109">
        <v>12</v>
      </c>
      <c r="J251" s="110">
        <v>2611.92</v>
      </c>
    </row>
    <row r="252" spans="1:10" x14ac:dyDescent="0.25">
      <c r="A252" s="109" t="s">
        <v>288</v>
      </c>
      <c r="B252" s="112">
        <v>45667</v>
      </c>
      <c r="C252" s="109" t="s">
        <v>11</v>
      </c>
      <c r="D252" s="109" t="s">
        <v>35</v>
      </c>
      <c r="E252" s="109" t="s">
        <v>18</v>
      </c>
      <c r="F252" s="109" t="s">
        <v>61</v>
      </c>
      <c r="G252" s="109" t="s">
        <v>20</v>
      </c>
      <c r="H252" s="110">
        <v>94.78</v>
      </c>
      <c r="I252" s="109">
        <v>15</v>
      </c>
      <c r="J252" s="110">
        <v>1421.7</v>
      </c>
    </row>
    <row r="253" spans="1:10" x14ac:dyDescent="0.25">
      <c r="A253" s="109" t="s">
        <v>289</v>
      </c>
      <c r="B253" s="112">
        <v>45865</v>
      </c>
      <c r="C253" s="109" t="s">
        <v>34</v>
      </c>
      <c r="D253" s="109" t="s">
        <v>22</v>
      </c>
      <c r="E253" s="109" t="s">
        <v>41</v>
      </c>
      <c r="F253" s="109" t="s">
        <v>19</v>
      </c>
      <c r="G253" s="109" t="s">
        <v>36</v>
      </c>
      <c r="H253" s="110">
        <v>114.72</v>
      </c>
      <c r="I253" s="109">
        <v>14</v>
      </c>
      <c r="J253" s="110">
        <v>1606.08</v>
      </c>
    </row>
    <row r="254" spans="1:10" x14ac:dyDescent="0.25">
      <c r="A254" s="109" t="s">
        <v>290</v>
      </c>
      <c r="B254" s="112">
        <v>45745</v>
      </c>
      <c r="C254" s="109" t="s">
        <v>38</v>
      </c>
      <c r="D254" s="109" t="s">
        <v>12</v>
      </c>
      <c r="E254" s="109" t="s">
        <v>13</v>
      </c>
      <c r="F254" s="109" t="s">
        <v>19</v>
      </c>
      <c r="G254" s="109" t="s">
        <v>36</v>
      </c>
      <c r="H254" s="110">
        <v>217.25</v>
      </c>
      <c r="I254" s="109">
        <v>20</v>
      </c>
      <c r="J254" s="110">
        <v>4345</v>
      </c>
    </row>
    <row r="255" spans="1:10" x14ac:dyDescent="0.25">
      <c r="A255" s="109" t="s">
        <v>291</v>
      </c>
      <c r="B255" s="112">
        <v>45712</v>
      </c>
      <c r="C255" s="109" t="s">
        <v>38</v>
      </c>
      <c r="D255" s="109" t="s">
        <v>55</v>
      </c>
      <c r="E255" s="109" t="s">
        <v>41</v>
      </c>
      <c r="F255" s="109" t="s">
        <v>42</v>
      </c>
      <c r="G255" s="109" t="s">
        <v>15</v>
      </c>
      <c r="H255" s="110">
        <v>99.72</v>
      </c>
      <c r="I255" s="109">
        <v>8</v>
      </c>
      <c r="J255" s="110">
        <v>797.76</v>
      </c>
    </row>
    <row r="256" spans="1:10" x14ac:dyDescent="0.25">
      <c r="A256" s="109" t="s">
        <v>292</v>
      </c>
      <c r="B256" s="112">
        <v>45860</v>
      </c>
      <c r="C256" s="109" t="s">
        <v>17</v>
      </c>
      <c r="D256" s="109" t="s">
        <v>35</v>
      </c>
      <c r="E256" s="109" t="s">
        <v>23</v>
      </c>
      <c r="F256" s="109" t="s">
        <v>32</v>
      </c>
      <c r="G256" s="109" t="s">
        <v>15</v>
      </c>
      <c r="H256" s="110">
        <v>67.290000000000006</v>
      </c>
      <c r="I256" s="109">
        <v>10</v>
      </c>
      <c r="J256" s="110">
        <v>672.9</v>
      </c>
    </row>
    <row r="257" spans="1:10" x14ac:dyDescent="0.25">
      <c r="A257" s="109" t="s">
        <v>293</v>
      </c>
      <c r="B257" s="112">
        <v>45697</v>
      </c>
      <c r="C257" s="109" t="s">
        <v>17</v>
      </c>
      <c r="D257" s="109" t="s">
        <v>22</v>
      </c>
      <c r="E257" s="109" t="s">
        <v>18</v>
      </c>
      <c r="F257" s="109" t="s">
        <v>42</v>
      </c>
      <c r="G257" s="109" t="s">
        <v>15</v>
      </c>
      <c r="H257" s="110">
        <v>152.5</v>
      </c>
      <c r="I257" s="109">
        <v>17</v>
      </c>
      <c r="J257" s="110">
        <v>2592.5</v>
      </c>
    </row>
    <row r="258" spans="1:10" x14ac:dyDescent="0.25">
      <c r="A258" s="109" t="s">
        <v>294</v>
      </c>
      <c r="B258" s="112">
        <v>45836</v>
      </c>
      <c r="C258" s="109" t="s">
        <v>17</v>
      </c>
      <c r="D258" s="109" t="s">
        <v>12</v>
      </c>
      <c r="E258" s="109" t="s">
        <v>23</v>
      </c>
      <c r="F258" s="109" t="s">
        <v>14</v>
      </c>
      <c r="G258" s="109" t="s">
        <v>15</v>
      </c>
      <c r="H258" s="110">
        <v>235.95</v>
      </c>
      <c r="I258" s="109">
        <v>12</v>
      </c>
      <c r="J258" s="110">
        <v>2831.4</v>
      </c>
    </row>
    <row r="259" spans="1:10" x14ac:dyDescent="0.25">
      <c r="A259" s="109" t="s">
        <v>295</v>
      </c>
      <c r="B259" s="112">
        <v>45732</v>
      </c>
      <c r="C259" s="109" t="s">
        <v>30</v>
      </c>
      <c r="D259" s="109" t="s">
        <v>26</v>
      </c>
      <c r="E259" s="109" t="s">
        <v>18</v>
      </c>
      <c r="F259" s="109" t="s">
        <v>14</v>
      </c>
      <c r="G259" s="109" t="s">
        <v>20</v>
      </c>
      <c r="H259" s="110">
        <v>183.13</v>
      </c>
      <c r="I259" s="109">
        <v>9</v>
      </c>
      <c r="J259" s="110">
        <v>1648.17</v>
      </c>
    </row>
    <row r="260" spans="1:10" x14ac:dyDescent="0.25">
      <c r="A260" s="109" t="s">
        <v>296</v>
      </c>
      <c r="B260" s="112">
        <v>45696</v>
      </c>
      <c r="C260" s="109" t="s">
        <v>17</v>
      </c>
      <c r="D260" s="109" t="s">
        <v>31</v>
      </c>
      <c r="E260" s="109" t="s">
        <v>41</v>
      </c>
      <c r="F260" s="109" t="s">
        <v>39</v>
      </c>
      <c r="G260" s="109" t="s">
        <v>20</v>
      </c>
      <c r="H260" s="110">
        <v>155.41</v>
      </c>
      <c r="I260" s="109">
        <v>6</v>
      </c>
      <c r="J260" s="110">
        <v>932.46</v>
      </c>
    </row>
    <row r="261" spans="1:10" x14ac:dyDescent="0.25">
      <c r="A261" s="109" t="s">
        <v>297</v>
      </c>
      <c r="B261" s="112">
        <v>45954</v>
      </c>
      <c r="C261" s="109" t="s">
        <v>17</v>
      </c>
      <c r="D261" s="109" t="s">
        <v>55</v>
      </c>
      <c r="E261" s="109" t="s">
        <v>27</v>
      </c>
      <c r="F261" s="109" t="s">
        <v>28</v>
      </c>
      <c r="G261" s="109" t="s">
        <v>20</v>
      </c>
      <c r="H261" s="110">
        <v>51.38</v>
      </c>
      <c r="I261" s="109">
        <v>15</v>
      </c>
      <c r="J261" s="110">
        <v>770.7</v>
      </c>
    </row>
    <row r="262" spans="1:10" x14ac:dyDescent="0.25">
      <c r="A262" s="109" t="s">
        <v>298</v>
      </c>
      <c r="B262" s="112">
        <v>45823</v>
      </c>
      <c r="C262" s="109" t="s">
        <v>30</v>
      </c>
      <c r="D262" s="109" t="s">
        <v>31</v>
      </c>
      <c r="E262" s="109" t="s">
        <v>45</v>
      </c>
      <c r="F262" s="109" t="s">
        <v>61</v>
      </c>
      <c r="G262" s="109" t="s">
        <v>36</v>
      </c>
      <c r="H262" s="110">
        <v>165.3</v>
      </c>
      <c r="I262" s="109">
        <v>11</v>
      </c>
      <c r="J262" s="110">
        <v>1818.3</v>
      </c>
    </row>
    <row r="263" spans="1:10" x14ac:dyDescent="0.25">
      <c r="A263" s="109" t="s">
        <v>299</v>
      </c>
      <c r="B263" s="112">
        <v>45981</v>
      </c>
      <c r="C263" s="109" t="s">
        <v>34</v>
      </c>
      <c r="D263" s="109" t="s">
        <v>55</v>
      </c>
      <c r="E263" s="109" t="s">
        <v>45</v>
      </c>
      <c r="F263" s="109" t="s">
        <v>32</v>
      </c>
      <c r="G263" s="109" t="s">
        <v>20</v>
      </c>
      <c r="H263" s="110">
        <v>247.81</v>
      </c>
      <c r="I263" s="109">
        <v>10</v>
      </c>
      <c r="J263" s="110">
        <v>2478.1</v>
      </c>
    </row>
    <row r="264" spans="1:10" x14ac:dyDescent="0.25">
      <c r="A264" s="109" t="s">
        <v>300</v>
      </c>
      <c r="B264" s="112">
        <v>45695</v>
      </c>
      <c r="C264" s="109" t="s">
        <v>38</v>
      </c>
      <c r="D264" s="109" t="s">
        <v>31</v>
      </c>
      <c r="E264" s="109" t="s">
        <v>45</v>
      </c>
      <c r="F264" s="109" t="s">
        <v>19</v>
      </c>
      <c r="G264" s="109" t="s">
        <v>36</v>
      </c>
      <c r="H264" s="110">
        <v>60.82</v>
      </c>
      <c r="I264" s="109">
        <v>10</v>
      </c>
      <c r="J264" s="110">
        <v>608.20000000000005</v>
      </c>
    </row>
    <row r="265" spans="1:10" x14ac:dyDescent="0.25">
      <c r="A265" s="109" t="s">
        <v>301</v>
      </c>
      <c r="B265" s="112">
        <v>45804</v>
      </c>
      <c r="C265" s="109" t="s">
        <v>17</v>
      </c>
      <c r="D265" s="109" t="s">
        <v>22</v>
      </c>
      <c r="E265" s="109" t="s">
        <v>18</v>
      </c>
      <c r="F265" s="109" t="s">
        <v>42</v>
      </c>
      <c r="G265" s="109" t="s">
        <v>20</v>
      </c>
      <c r="H265" s="110">
        <v>144.03</v>
      </c>
      <c r="I265" s="109">
        <v>3</v>
      </c>
      <c r="J265" s="110">
        <v>432.09</v>
      </c>
    </row>
    <row r="266" spans="1:10" x14ac:dyDescent="0.25">
      <c r="A266" s="109" t="s">
        <v>302</v>
      </c>
      <c r="B266" s="112">
        <v>45854</v>
      </c>
      <c r="C266" s="109" t="s">
        <v>25</v>
      </c>
      <c r="D266" s="109" t="s">
        <v>55</v>
      </c>
      <c r="E266" s="109" t="s">
        <v>27</v>
      </c>
      <c r="F266" s="109" t="s">
        <v>19</v>
      </c>
      <c r="G266" s="109" t="s">
        <v>36</v>
      </c>
      <c r="H266" s="110">
        <v>223.02</v>
      </c>
      <c r="I266" s="109">
        <v>15</v>
      </c>
      <c r="J266" s="110">
        <v>3345.3</v>
      </c>
    </row>
    <row r="267" spans="1:10" x14ac:dyDescent="0.25">
      <c r="A267" s="109" t="s">
        <v>303</v>
      </c>
      <c r="B267" s="112">
        <v>45950</v>
      </c>
      <c r="C267" s="109" t="s">
        <v>34</v>
      </c>
      <c r="D267" s="109" t="s">
        <v>55</v>
      </c>
      <c r="E267" s="109" t="s">
        <v>41</v>
      </c>
      <c r="F267" s="109" t="s">
        <v>42</v>
      </c>
      <c r="G267" s="109" t="s">
        <v>15</v>
      </c>
      <c r="H267" s="110">
        <v>192.97</v>
      </c>
      <c r="I267" s="109">
        <v>7</v>
      </c>
      <c r="J267" s="110">
        <v>1350.79</v>
      </c>
    </row>
    <row r="268" spans="1:10" x14ac:dyDescent="0.25">
      <c r="A268" s="109" t="s">
        <v>304</v>
      </c>
      <c r="B268" s="112">
        <v>45689</v>
      </c>
      <c r="C268" s="109" t="s">
        <v>11</v>
      </c>
      <c r="D268" s="109" t="s">
        <v>35</v>
      </c>
      <c r="E268" s="109" t="s">
        <v>27</v>
      </c>
      <c r="F268" s="109" t="s">
        <v>19</v>
      </c>
      <c r="G268" s="109" t="s">
        <v>20</v>
      </c>
      <c r="H268" s="110">
        <v>183.34</v>
      </c>
      <c r="I268" s="109">
        <v>15</v>
      </c>
      <c r="J268" s="110">
        <v>2750.1</v>
      </c>
    </row>
    <row r="269" spans="1:10" x14ac:dyDescent="0.25">
      <c r="A269" s="109" t="s">
        <v>305</v>
      </c>
      <c r="B269" s="112">
        <v>45988</v>
      </c>
      <c r="C269" s="109" t="s">
        <v>11</v>
      </c>
      <c r="D269" s="109" t="s">
        <v>26</v>
      </c>
      <c r="E269" s="109" t="s">
        <v>27</v>
      </c>
      <c r="F269" s="109" t="s">
        <v>61</v>
      </c>
      <c r="G269" s="109" t="s">
        <v>36</v>
      </c>
      <c r="H269" s="110">
        <v>184.55</v>
      </c>
      <c r="I269" s="109">
        <v>6</v>
      </c>
      <c r="J269" s="110">
        <v>1107.3</v>
      </c>
    </row>
    <row r="270" spans="1:10" x14ac:dyDescent="0.25">
      <c r="A270" s="109" t="s">
        <v>306</v>
      </c>
      <c r="B270" s="112">
        <v>45926</v>
      </c>
      <c r="C270" s="109" t="s">
        <v>25</v>
      </c>
      <c r="D270" s="109" t="s">
        <v>26</v>
      </c>
      <c r="E270" s="109" t="s">
        <v>13</v>
      </c>
      <c r="F270" s="109" t="s">
        <v>32</v>
      </c>
      <c r="G270" s="109" t="s">
        <v>36</v>
      </c>
      <c r="H270" s="110">
        <v>109.09</v>
      </c>
      <c r="I270" s="109">
        <v>17</v>
      </c>
      <c r="J270" s="110">
        <v>1854.53</v>
      </c>
    </row>
    <row r="271" spans="1:10" x14ac:dyDescent="0.25">
      <c r="A271" s="109" t="s">
        <v>307</v>
      </c>
      <c r="B271" s="112">
        <v>45856</v>
      </c>
      <c r="C271" s="109" t="s">
        <v>34</v>
      </c>
      <c r="D271" s="109" t="s">
        <v>12</v>
      </c>
      <c r="E271" s="109" t="s">
        <v>18</v>
      </c>
      <c r="F271" s="109" t="s">
        <v>19</v>
      </c>
      <c r="G271" s="109" t="s">
        <v>20</v>
      </c>
      <c r="H271" s="110">
        <v>94.59</v>
      </c>
      <c r="I271" s="109">
        <v>14</v>
      </c>
      <c r="J271" s="110">
        <v>1324.26</v>
      </c>
    </row>
    <row r="272" spans="1:10" x14ac:dyDescent="0.25">
      <c r="A272" s="109" t="s">
        <v>308</v>
      </c>
      <c r="B272" s="112">
        <v>45989</v>
      </c>
      <c r="C272" s="109" t="s">
        <v>11</v>
      </c>
      <c r="D272" s="109" t="s">
        <v>35</v>
      </c>
      <c r="E272" s="109" t="s">
        <v>45</v>
      </c>
      <c r="F272" s="109" t="s">
        <v>42</v>
      </c>
      <c r="G272" s="109" t="s">
        <v>20</v>
      </c>
      <c r="H272" s="110">
        <v>208.06</v>
      </c>
      <c r="I272" s="109">
        <v>11</v>
      </c>
      <c r="J272" s="110">
        <v>2288.66</v>
      </c>
    </row>
    <row r="273" spans="1:10" x14ac:dyDescent="0.25">
      <c r="A273" s="109" t="s">
        <v>309</v>
      </c>
      <c r="B273" s="112">
        <v>45855</v>
      </c>
      <c r="C273" s="109" t="s">
        <v>34</v>
      </c>
      <c r="D273" s="109" t="s">
        <v>12</v>
      </c>
      <c r="E273" s="109" t="s">
        <v>27</v>
      </c>
      <c r="F273" s="109" t="s">
        <v>42</v>
      </c>
      <c r="G273" s="109" t="s">
        <v>15</v>
      </c>
      <c r="H273" s="110">
        <v>208.22</v>
      </c>
      <c r="I273" s="109">
        <v>10</v>
      </c>
      <c r="J273" s="110">
        <v>2082.1999999999998</v>
      </c>
    </row>
    <row r="274" spans="1:10" x14ac:dyDescent="0.25">
      <c r="A274" s="109" t="s">
        <v>310</v>
      </c>
      <c r="B274" s="112">
        <v>45828</v>
      </c>
      <c r="C274" s="109" t="s">
        <v>25</v>
      </c>
      <c r="D274" s="109" t="s">
        <v>12</v>
      </c>
      <c r="E274" s="109" t="s">
        <v>23</v>
      </c>
      <c r="F274" s="109" t="s">
        <v>32</v>
      </c>
      <c r="G274" s="109" t="s">
        <v>36</v>
      </c>
      <c r="H274" s="110">
        <v>220.76</v>
      </c>
      <c r="I274" s="109">
        <v>3</v>
      </c>
      <c r="J274" s="110">
        <v>662.28</v>
      </c>
    </row>
    <row r="275" spans="1:10" x14ac:dyDescent="0.25">
      <c r="A275" s="109" t="s">
        <v>311</v>
      </c>
      <c r="B275" s="112">
        <v>45993</v>
      </c>
      <c r="C275" s="109" t="s">
        <v>30</v>
      </c>
      <c r="D275" s="109" t="s">
        <v>55</v>
      </c>
      <c r="E275" s="109" t="s">
        <v>27</v>
      </c>
      <c r="F275" s="109" t="s">
        <v>19</v>
      </c>
      <c r="G275" s="109" t="s">
        <v>36</v>
      </c>
      <c r="H275" s="110">
        <v>230.91</v>
      </c>
      <c r="I275" s="109">
        <v>13</v>
      </c>
      <c r="J275" s="110">
        <v>3001.83</v>
      </c>
    </row>
    <row r="276" spans="1:10" x14ac:dyDescent="0.25">
      <c r="A276" s="109" t="s">
        <v>312</v>
      </c>
      <c r="B276" s="112">
        <v>45944</v>
      </c>
      <c r="C276" s="109" t="s">
        <v>17</v>
      </c>
      <c r="D276" s="109" t="s">
        <v>35</v>
      </c>
      <c r="E276" s="109" t="s">
        <v>23</v>
      </c>
      <c r="F276" s="109" t="s">
        <v>28</v>
      </c>
      <c r="G276" s="109" t="s">
        <v>20</v>
      </c>
      <c r="H276" s="110">
        <v>142.5</v>
      </c>
      <c r="I276" s="109">
        <v>13</v>
      </c>
      <c r="J276" s="110">
        <v>1852.5</v>
      </c>
    </row>
    <row r="277" spans="1:10" x14ac:dyDescent="0.25">
      <c r="A277" s="109" t="s">
        <v>313</v>
      </c>
      <c r="B277" s="112">
        <v>46008</v>
      </c>
      <c r="C277" s="109" t="s">
        <v>11</v>
      </c>
      <c r="D277" s="109" t="s">
        <v>12</v>
      </c>
      <c r="E277" s="109" t="s">
        <v>27</v>
      </c>
      <c r="F277" s="109" t="s">
        <v>61</v>
      </c>
      <c r="G277" s="109" t="s">
        <v>20</v>
      </c>
      <c r="H277" s="110">
        <v>140.33000000000001</v>
      </c>
      <c r="I277" s="109">
        <v>17</v>
      </c>
      <c r="J277" s="110">
        <v>2385.61</v>
      </c>
    </row>
    <row r="278" spans="1:10" x14ac:dyDescent="0.25">
      <c r="A278" s="109" t="s">
        <v>314</v>
      </c>
      <c r="B278" s="112">
        <v>45843</v>
      </c>
      <c r="C278" s="109" t="s">
        <v>34</v>
      </c>
      <c r="D278" s="109" t="s">
        <v>35</v>
      </c>
      <c r="E278" s="109" t="s">
        <v>23</v>
      </c>
      <c r="F278" s="109" t="s">
        <v>14</v>
      </c>
      <c r="G278" s="109" t="s">
        <v>36</v>
      </c>
      <c r="H278" s="110">
        <v>205.62</v>
      </c>
      <c r="I278" s="109">
        <v>1</v>
      </c>
      <c r="J278" s="110">
        <v>205.62</v>
      </c>
    </row>
    <row r="279" spans="1:10" x14ac:dyDescent="0.25">
      <c r="A279" s="109" t="s">
        <v>315</v>
      </c>
      <c r="B279" s="112">
        <v>45906</v>
      </c>
      <c r="C279" s="109" t="s">
        <v>30</v>
      </c>
      <c r="D279" s="109" t="s">
        <v>26</v>
      </c>
      <c r="E279" s="109" t="s">
        <v>23</v>
      </c>
      <c r="F279" s="109" t="s">
        <v>19</v>
      </c>
      <c r="G279" s="109" t="s">
        <v>36</v>
      </c>
      <c r="H279" s="110">
        <v>172.99</v>
      </c>
      <c r="I279" s="109">
        <v>7</v>
      </c>
      <c r="J279" s="110">
        <v>1210.93</v>
      </c>
    </row>
    <row r="280" spans="1:10" x14ac:dyDescent="0.25">
      <c r="A280" s="109" t="s">
        <v>316</v>
      </c>
      <c r="B280" s="112">
        <v>45709</v>
      </c>
      <c r="C280" s="109" t="s">
        <v>25</v>
      </c>
      <c r="D280" s="109" t="s">
        <v>12</v>
      </c>
      <c r="E280" s="109" t="s">
        <v>18</v>
      </c>
      <c r="F280" s="109" t="s">
        <v>19</v>
      </c>
      <c r="G280" s="109" t="s">
        <v>20</v>
      </c>
      <c r="H280" s="110">
        <v>184.43</v>
      </c>
      <c r="I280" s="109">
        <v>17</v>
      </c>
      <c r="J280" s="110">
        <v>3135.31</v>
      </c>
    </row>
    <row r="281" spans="1:10" x14ac:dyDescent="0.25">
      <c r="A281" s="109" t="s">
        <v>317</v>
      </c>
      <c r="B281" s="112">
        <v>45830</v>
      </c>
      <c r="C281" s="109" t="s">
        <v>30</v>
      </c>
      <c r="D281" s="109" t="s">
        <v>55</v>
      </c>
      <c r="E281" s="109" t="s">
        <v>41</v>
      </c>
      <c r="F281" s="109" t="s">
        <v>14</v>
      </c>
      <c r="G281" s="109" t="s">
        <v>15</v>
      </c>
      <c r="H281" s="110">
        <v>205.07</v>
      </c>
      <c r="I281" s="109">
        <v>20</v>
      </c>
      <c r="J281" s="110">
        <v>4101.3999999999996</v>
      </c>
    </row>
    <row r="282" spans="1:10" x14ac:dyDescent="0.25">
      <c r="A282" s="109" t="s">
        <v>318</v>
      </c>
      <c r="B282" s="112">
        <v>45750</v>
      </c>
      <c r="C282" s="109" t="s">
        <v>30</v>
      </c>
      <c r="D282" s="109" t="s">
        <v>12</v>
      </c>
      <c r="E282" s="109" t="s">
        <v>41</v>
      </c>
      <c r="F282" s="109" t="s">
        <v>19</v>
      </c>
      <c r="G282" s="109" t="s">
        <v>36</v>
      </c>
      <c r="H282" s="110">
        <v>225.8</v>
      </c>
      <c r="I282" s="109">
        <v>20</v>
      </c>
      <c r="J282" s="110">
        <v>4516</v>
      </c>
    </row>
    <row r="283" spans="1:10" x14ac:dyDescent="0.25">
      <c r="A283" s="109" t="s">
        <v>319</v>
      </c>
      <c r="B283" s="112">
        <v>45844</v>
      </c>
      <c r="C283" s="109" t="s">
        <v>38</v>
      </c>
      <c r="D283" s="109" t="s">
        <v>55</v>
      </c>
      <c r="E283" s="109" t="s">
        <v>13</v>
      </c>
      <c r="F283" s="109" t="s">
        <v>39</v>
      </c>
      <c r="G283" s="109" t="s">
        <v>20</v>
      </c>
      <c r="H283" s="110">
        <v>104.36</v>
      </c>
      <c r="I283" s="109">
        <v>8</v>
      </c>
      <c r="J283" s="110">
        <v>834.88</v>
      </c>
    </row>
    <row r="284" spans="1:10" x14ac:dyDescent="0.25">
      <c r="A284" s="109" t="s">
        <v>320</v>
      </c>
      <c r="B284" s="112">
        <v>45887</v>
      </c>
      <c r="C284" s="109" t="s">
        <v>25</v>
      </c>
      <c r="D284" s="109" t="s">
        <v>26</v>
      </c>
      <c r="E284" s="109" t="s">
        <v>13</v>
      </c>
      <c r="F284" s="109" t="s">
        <v>39</v>
      </c>
      <c r="G284" s="109" t="s">
        <v>36</v>
      </c>
      <c r="H284" s="110">
        <v>112.63</v>
      </c>
      <c r="I284" s="109">
        <v>8</v>
      </c>
      <c r="J284" s="110">
        <v>901.04</v>
      </c>
    </row>
    <row r="285" spans="1:10" x14ac:dyDescent="0.25">
      <c r="A285" s="109" t="s">
        <v>321</v>
      </c>
      <c r="B285" s="112">
        <v>45757</v>
      </c>
      <c r="C285" s="109" t="s">
        <v>17</v>
      </c>
      <c r="D285" s="109" t="s">
        <v>55</v>
      </c>
      <c r="E285" s="109" t="s">
        <v>41</v>
      </c>
      <c r="F285" s="109" t="s">
        <v>61</v>
      </c>
      <c r="G285" s="109" t="s">
        <v>36</v>
      </c>
      <c r="H285" s="110">
        <v>50.68</v>
      </c>
      <c r="I285" s="109">
        <v>12</v>
      </c>
      <c r="J285" s="110">
        <v>608.16</v>
      </c>
    </row>
    <row r="286" spans="1:10" x14ac:dyDescent="0.25">
      <c r="A286" s="109" t="s">
        <v>322</v>
      </c>
      <c r="B286" s="112">
        <v>45853</v>
      </c>
      <c r="C286" s="109" t="s">
        <v>25</v>
      </c>
      <c r="D286" s="109" t="s">
        <v>31</v>
      </c>
      <c r="E286" s="109" t="s">
        <v>23</v>
      </c>
      <c r="F286" s="109" t="s">
        <v>39</v>
      </c>
      <c r="G286" s="109" t="s">
        <v>15</v>
      </c>
      <c r="H286" s="110">
        <v>157.22</v>
      </c>
      <c r="I286" s="109">
        <v>17</v>
      </c>
      <c r="J286" s="110">
        <v>2672.74</v>
      </c>
    </row>
    <row r="287" spans="1:10" x14ac:dyDescent="0.25">
      <c r="A287" s="109" t="s">
        <v>323</v>
      </c>
      <c r="B287" s="112">
        <v>45967</v>
      </c>
      <c r="C287" s="109" t="s">
        <v>34</v>
      </c>
      <c r="D287" s="109" t="s">
        <v>22</v>
      </c>
      <c r="E287" s="109" t="s">
        <v>27</v>
      </c>
      <c r="F287" s="109" t="s">
        <v>61</v>
      </c>
      <c r="G287" s="109" t="s">
        <v>36</v>
      </c>
      <c r="H287" s="110">
        <v>37.909999999999997</v>
      </c>
      <c r="I287" s="109">
        <v>5</v>
      </c>
      <c r="J287" s="110">
        <v>189.55</v>
      </c>
    </row>
    <row r="288" spans="1:10" x14ac:dyDescent="0.25">
      <c r="A288" s="109" t="s">
        <v>324</v>
      </c>
      <c r="B288" s="112">
        <v>45941</v>
      </c>
      <c r="C288" s="109" t="s">
        <v>17</v>
      </c>
      <c r="D288" s="109" t="s">
        <v>55</v>
      </c>
      <c r="E288" s="109" t="s">
        <v>45</v>
      </c>
      <c r="F288" s="109" t="s">
        <v>32</v>
      </c>
      <c r="G288" s="109" t="s">
        <v>15</v>
      </c>
      <c r="H288" s="110">
        <v>132.43</v>
      </c>
      <c r="I288" s="109">
        <v>4</v>
      </c>
      <c r="J288" s="110">
        <v>529.72</v>
      </c>
    </row>
    <row r="289" spans="1:10" x14ac:dyDescent="0.25">
      <c r="A289" s="109" t="s">
        <v>325</v>
      </c>
      <c r="B289" s="112">
        <v>45740</v>
      </c>
      <c r="C289" s="109" t="s">
        <v>38</v>
      </c>
      <c r="D289" s="109" t="s">
        <v>55</v>
      </c>
      <c r="E289" s="109" t="s">
        <v>23</v>
      </c>
      <c r="F289" s="109" t="s">
        <v>39</v>
      </c>
      <c r="G289" s="109" t="s">
        <v>36</v>
      </c>
      <c r="H289" s="110">
        <v>149.38</v>
      </c>
      <c r="I289" s="109">
        <v>9</v>
      </c>
      <c r="J289" s="110">
        <v>1344.42</v>
      </c>
    </row>
    <row r="290" spans="1:10" x14ac:dyDescent="0.25">
      <c r="A290" s="109" t="s">
        <v>326</v>
      </c>
      <c r="B290" s="112">
        <v>45704</v>
      </c>
      <c r="C290" s="109" t="s">
        <v>38</v>
      </c>
      <c r="D290" s="109" t="s">
        <v>35</v>
      </c>
      <c r="E290" s="109" t="s">
        <v>45</v>
      </c>
      <c r="F290" s="109" t="s">
        <v>61</v>
      </c>
      <c r="G290" s="109" t="s">
        <v>15</v>
      </c>
      <c r="H290" s="110">
        <v>93.04</v>
      </c>
      <c r="I290" s="109">
        <v>8</v>
      </c>
      <c r="J290" s="110">
        <v>744.32</v>
      </c>
    </row>
    <row r="291" spans="1:10" x14ac:dyDescent="0.25">
      <c r="A291" s="109" t="s">
        <v>327</v>
      </c>
      <c r="B291" s="112">
        <v>45860</v>
      </c>
      <c r="C291" s="109" t="s">
        <v>34</v>
      </c>
      <c r="D291" s="109" t="s">
        <v>26</v>
      </c>
      <c r="E291" s="109" t="s">
        <v>41</v>
      </c>
      <c r="F291" s="109" t="s">
        <v>19</v>
      </c>
      <c r="G291" s="109" t="s">
        <v>36</v>
      </c>
      <c r="H291" s="110">
        <v>159.97999999999999</v>
      </c>
      <c r="I291" s="109">
        <v>17</v>
      </c>
      <c r="J291" s="110">
        <v>2719.66</v>
      </c>
    </row>
    <row r="292" spans="1:10" x14ac:dyDescent="0.25">
      <c r="A292" s="109" t="s">
        <v>328</v>
      </c>
      <c r="B292" s="112">
        <v>45772</v>
      </c>
      <c r="C292" s="109" t="s">
        <v>34</v>
      </c>
      <c r="D292" s="109" t="s">
        <v>22</v>
      </c>
      <c r="E292" s="109" t="s">
        <v>27</v>
      </c>
      <c r="F292" s="109" t="s">
        <v>28</v>
      </c>
      <c r="G292" s="109" t="s">
        <v>36</v>
      </c>
      <c r="H292" s="110">
        <v>36.71</v>
      </c>
      <c r="I292" s="109">
        <v>1</v>
      </c>
      <c r="J292" s="110">
        <v>36.71</v>
      </c>
    </row>
    <row r="293" spans="1:10" x14ac:dyDescent="0.25">
      <c r="A293" s="109" t="s">
        <v>329</v>
      </c>
      <c r="B293" s="112">
        <v>45732</v>
      </c>
      <c r="C293" s="109" t="s">
        <v>11</v>
      </c>
      <c r="D293" s="109" t="s">
        <v>35</v>
      </c>
      <c r="E293" s="109" t="s">
        <v>41</v>
      </c>
      <c r="F293" s="109" t="s">
        <v>28</v>
      </c>
      <c r="G293" s="109" t="s">
        <v>15</v>
      </c>
      <c r="H293" s="110">
        <v>38.22</v>
      </c>
      <c r="I293" s="109">
        <v>5</v>
      </c>
      <c r="J293" s="110">
        <v>191.1</v>
      </c>
    </row>
    <row r="294" spans="1:10" x14ac:dyDescent="0.25">
      <c r="A294" s="109" t="s">
        <v>330</v>
      </c>
      <c r="B294" s="112">
        <v>46019</v>
      </c>
      <c r="C294" s="109" t="s">
        <v>38</v>
      </c>
      <c r="D294" s="109" t="s">
        <v>55</v>
      </c>
      <c r="E294" s="109" t="s">
        <v>45</v>
      </c>
      <c r="F294" s="109" t="s">
        <v>19</v>
      </c>
      <c r="G294" s="109" t="s">
        <v>15</v>
      </c>
      <c r="H294" s="110">
        <v>210.97</v>
      </c>
      <c r="I294" s="109">
        <v>16</v>
      </c>
      <c r="J294" s="110">
        <v>3375.52</v>
      </c>
    </row>
    <row r="295" spans="1:10" x14ac:dyDescent="0.25">
      <c r="A295" s="109" t="s">
        <v>331</v>
      </c>
      <c r="B295" s="112">
        <v>45789</v>
      </c>
      <c r="C295" s="109" t="s">
        <v>30</v>
      </c>
      <c r="D295" s="109" t="s">
        <v>55</v>
      </c>
      <c r="E295" s="109" t="s">
        <v>27</v>
      </c>
      <c r="F295" s="109" t="s">
        <v>42</v>
      </c>
      <c r="G295" s="109" t="s">
        <v>20</v>
      </c>
      <c r="H295" s="110">
        <v>109.24</v>
      </c>
      <c r="I295" s="109">
        <v>7</v>
      </c>
      <c r="J295" s="110">
        <v>764.68</v>
      </c>
    </row>
    <row r="296" spans="1:10" x14ac:dyDescent="0.25">
      <c r="A296" s="109" t="s">
        <v>332</v>
      </c>
      <c r="B296" s="112">
        <v>45874</v>
      </c>
      <c r="C296" s="109" t="s">
        <v>34</v>
      </c>
      <c r="D296" s="109" t="s">
        <v>26</v>
      </c>
      <c r="E296" s="109" t="s">
        <v>13</v>
      </c>
      <c r="F296" s="109" t="s">
        <v>19</v>
      </c>
      <c r="G296" s="109" t="s">
        <v>15</v>
      </c>
      <c r="H296" s="110">
        <v>57.95</v>
      </c>
      <c r="I296" s="109">
        <v>4</v>
      </c>
      <c r="J296" s="110">
        <v>231.8</v>
      </c>
    </row>
    <row r="297" spans="1:10" x14ac:dyDescent="0.25">
      <c r="A297" s="109" t="s">
        <v>333</v>
      </c>
      <c r="B297" s="112">
        <v>45780</v>
      </c>
      <c r="C297" s="109" t="s">
        <v>17</v>
      </c>
      <c r="D297" s="109" t="s">
        <v>55</v>
      </c>
      <c r="E297" s="109" t="s">
        <v>41</v>
      </c>
      <c r="F297" s="109" t="s">
        <v>19</v>
      </c>
      <c r="G297" s="109" t="s">
        <v>15</v>
      </c>
      <c r="H297" s="110">
        <v>144.88999999999999</v>
      </c>
      <c r="I297" s="109">
        <v>14</v>
      </c>
      <c r="J297" s="110">
        <v>2028.46</v>
      </c>
    </row>
    <row r="298" spans="1:10" x14ac:dyDescent="0.25">
      <c r="A298" s="109" t="s">
        <v>334</v>
      </c>
      <c r="B298" s="112">
        <v>45913</v>
      </c>
      <c r="C298" s="109" t="s">
        <v>25</v>
      </c>
      <c r="D298" s="109" t="s">
        <v>22</v>
      </c>
      <c r="E298" s="109" t="s">
        <v>27</v>
      </c>
      <c r="F298" s="109" t="s">
        <v>42</v>
      </c>
      <c r="G298" s="109" t="s">
        <v>20</v>
      </c>
      <c r="H298" s="110">
        <v>199.4</v>
      </c>
      <c r="I298" s="109">
        <v>20</v>
      </c>
      <c r="J298" s="110">
        <v>3988</v>
      </c>
    </row>
    <row r="299" spans="1:10" x14ac:dyDescent="0.25">
      <c r="A299" s="109" t="s">
        <v>335</v>
      </c>
      <c r="B299" s="112">
        <v>45781</v>
      </c>
      <c r="C299" s="109" t="s">
        <v>34</v>
      </c>
      <c r="D299" s="109" t="s">
        <v>31</v>
      </c>
      <c r="E299" s="109" t="s">
        <v>45</v>
      </c>
      <c r="F299" s="109" t="s">
        <v>42</v>
      </c>
      <c r="G299" s="109" t="s">
        <v>36</v>
      </c>
      <c r="H299" s="110">
        <v>77.48</v>
      </c>
      <c r="I299" s="109">
        <v>5</v>
      </c>
      <c r="J299" s="110">
        <v>387.4</v>
      </c>
    </row>
    <row r="300" spans="1:10" x14ac:dyDescent="0.25">
      <c r="A300" s="109" t="s">
        <v>336</v>
      </c>
      <c r="B300" s="112">
        <v>45781</v>
      </c>
      <c r="C300" s="109" t="s">
        <v>38</v>
      </c>
      <c r="D300" s="109" t="s">
        <v>26</v>
      </c>
      <c r="E300" s="109" t="s">
        <v>27</v>
      </c>
      <c r="F300" s="109" t="s">
        <v>28</v>
      </c>
      <c r="G300" s="109" t="s">
        <v>15</v>
      </c>
      <c r="H300" s="110">
        <v>167.04</v>
      </c>
      <c r="I300" s="109">
        <v>19</v>
      </c>
      <c r="J300" s="110">
        <v>3173.76</v>
      </c>
    </row>
    <row r="301" spans="1:10" x14ac:dyDescent="0.25">
      <c r="A301" s="109" t="s">
        <v>337</v>
      </c>
      <c r="B301" s="112">
        <v>45926</v>
      </c>
      <c r="C301" s="109" t="s">
        <v>11</v>
      </c>
      <c r="D301" s="109" t="s">
        <v>55</v>
      </c>
      <c r="E301" s="109" t="s">
        <v>18</v>
      </c>
      <c r="F301" s="109" t="s">
        <v>42</v>
      </c>
      <c r="G301" s="109" t="s">
        <v>20</v>
      </c>
      <c r="H301" s="110">
        <v>48.78</v>
      </c>
      <c r="I301" s="109">
        <v>12</v>
      </c>
      <c r="J301" s="110">
        <v>585.36</v>
      </c>
    </row>
    <row r="302" spans="1:10" x14ac:dyDescent="0.25">
      <c r="A302" s="109" t="s">
        <v>338</v>
      </c>
      <c r="B302" s="112">
        <v>45941</v>
      </c>
      <c r="C302" s="109" t="s">
        <v>38</v>
      </c>
      <c r="D302" s="109" t="s">
        <v>31</v>
      </c>
      <c r="E302" s="109" t="s">
        <v>45</v>
      </c>
      <c r="F302" s="109" t="s">
        <v>28</v>
      </c>
      <c r="G302" s="109" t="s">
        <v>36</v>
      </c>
      <c r="H302" s="110">
        <v>41.37</v>
      </c>
      <c r="I302" s="109">
        <v>1</v>
      </c>
      <c r="J302" s="110">
        <v>41.37</v>
      </c>
    </row>
    <row r="303" spans="1:10" x14ac:dyDescent="0.25">
      <c r="A303" s="109" t="s">
        <v>339</v>
      </c>
      <c r="B303" s="112">
        <v>45849</v>
      </c>
      <c r="C303" s="109" t="s">
        <v>17</v>
      </c>
      <c r="D303" s="109" t="s">
        <v>22</v>
      </c>
      <c r="E303" s="109" t="s">
        <v>13</v>
      </c>
      <c r="F303" s="109" t="s">
        <v>39</v>
      </c>
      <c r="G303" s="109" t="s">
        <v>15</v>
      </c>
      <c r="H303" s="110">
        <v>146.9</v>
      </c>
      <c r="I303" s="109">
        <v>9</v>
      </c>
      <c r="J303" s="110">
        <v>1322.1</v>
      </c>
    </row>
    <row r="304" spans="1:10" x14ac:dyDescent="0.25">
      <c r="A304" s="109" t="s">
        <v>340</v>
      </c>
      <c r="B304" s="112">
        <v>45834</v>
      </c>
      <c r="C304" s="109" t="s">
        <v>17</v>
      </c>
      <c r="D304" s="109" t="s">
        <v>12</v>
      </c>
      <c r="E304" s="109" t="s">
        <v>27</v>
      </c>
      <c r="F304" s="109" t="s">
        <v>19</v>
      </c>
      <c r="G304" s="109" t="s">
        <v>20</v>
      </c>
      <c r="H304" s="110">
        <v>148.94</v>
      </c>
      <c r="I304" s="109">
        <v>8</v>
      </c>
      <c r="J304" s="110">
        <v>1191.52</v>
      </c>
    </row>
    <row r="305" spans="1:10" x14ac:dyDescent="0.25">
      <c r="A305" s="109" t="s">
        <v>341</v>
      </c>
      <c r="B305" s="112">
        <v>45828</v>
      </c>
      <c r="C305" s="109" t="s">
        <v>11</v>
      </c>
      <c r="D305" s="109" t="s">
        <v>35</v>
      </c>
      <c r="E305" s="109" t="s">
        <v>18</v>
      </c>
      <c r="F305" s="109" t="s">
        <v>32</v>
      </c>
      <c r="G305" s="109" t="s">
        <v>20</v>
      </c>
      <c r="H305" s="110">
        <v>170.23</v>
      </c>
      <c r="I305" s="109">
        <v>5</v>
      </c>
      <c r="J305" s="110">
        <v>851.15</v>
      </c>
    </row>
    <row r="306" spans="1:10" x14ac:dyDescent="0.25">
      <c r="A306" s="109" t="s">
        <v>342</v>
      </c>
      <c r="B306" s="112">
        <v>45747</v>
      </c>
      <c r="C306" s="109" t="s">
        <v>17</v>
      </c>
      <c r="D306" s="109" t="s">
        <v>31</v>
      </c>
      <c r="E306" s="109" t="s">
        <v>27</v>
      </c>
      <c r="F306" s="109" t="s">
        <v>14</v>
      </c>
      <c r="G306" s="109" t="s">
        <v>15</v>
      </c>
      <c r="H306" s="110">
        <v>189.74</v>
      </c>
      <c r="I306" s="109">
        <v>15</v>
      </c>
      <c r="J306" s="110">
        <v>2846.1</v>
      </c>
    </row>
    <row r="307" spans="1:10" x14ac:dyDescent="0.25">
      <c r="A307" s="109" t="s">
        <v>343</v>
      </c>
      <c r="B307" s="112">
        <v>45690</v>
      </c>
      <c r="C307" s="109" t="s">
        <v>11</v>
      </c>
      <c r="D307" s="109" t="s">
        <v>35</v>
      </c>
      <c r="E307" s="109" t="s">
        <v>23</v>
      </c>
      <c r="F307" s="109" t="s">
        <v>19</v>
      </c>
      <c r="G307" s="109" t="s">
        <v>15</v>
      </c>
      <c r="H307" s="110">
        <v>244.69</v>
      </c>
      <c r="I307" s="109">
        <v>15</v>
      </c>
      <c r="J307" s="110">
        <v>3670.35</v>
      </c>
    </row>
    <row r="308" spans="1:10" x14ac:dyDescent="0.25">
      <c r="A308" s="109" t="s">
        <v>344</v>
      </c>
      <c r="B308" s="112">
        <v>45679</v>
      </c>
      <c r="C308" s="109" t="s">
        <v>34</v>
      </c>
      <c r="D308" s="109" t="s">
        <v>55</v>
      </c>
      <c r="E308" s="109" t="s">
        <v>41</v>
      </c>
      <c r="F308" s="109" t="s">
        <v>39</v>
      </c>
      <c r="G308" s="109" t="s">
        <v>20</v>
      </c>
      <c r="H308" s="110">
        <v>143.59</v>
      </c>
      <c r="I308" s="109">
        <v>11</v>
      </c>
      <c r="J308" s="110">
        <v>1579.49</v>
      </c>
    </row>
    <row r="309" spans="1:10" x14ac:dyDescent="0.25">
      <c r="A309" s="109" t="s">
        <v>345</v>
      </c>
      <c r="B309" s="112">
        <v>45900</v>
      </c>
      <c r="C309" s="109" t="s">
        <v>11</v>
      </c>
      <c r="D309" s="109" t="s">
        <v>12</v>
      </c>
      <c r="E309" s="109" t="s">
        <v>23</v>
      </c>
      <c r="F309" s="109" t="s">
        <v>32</v>
      </c>
      <c r="G309" s="109" t="s">
        <v>36</v>
      </c>
      <c r="H309" s="110">
        <v>101.05</v>
      </c>
      <c r="I309" s="109">
        <v>9</v>
      </c>
      <c r="J309" s="110">
        <v>909.45</v>
      </c>
    </row>
    <row r="310" spans="1:10" x14ac:dyDescent="0.25">
      <c r="A310" s="109" t="s">
        <v>346</v>
      </c>
      <c r="B310" s="112">
        <v>45682</v>
      </c>
      <c r="C310" s="109" t="s">
        <v>34</v>
      </c>
      <c r="D310" s="109" t="s">
        <v>22</v>
      </c>
      <c r="E310" s="109" t="s">
        <v>13</v>
      </c>
      <c r="F310" s="109" t="s">
        <v>61</v>
      </c>
      <c r="G310" s="109" t="s">
        <v>36</v>
      </c>
      <c r="H310" s="110">
        <v>204.94</v>
      </c>
      <c r="I310" s="109">
        <v>11</v>
      </c>
      <c r="J310" s="110">
        <v>2254.34</v>
      </c>
    </row>
    <row r="311" spans="1:10" x14ac:dyDescent="0.25">
      <c r="A311" s="109" t="s">
        <v>347</v>
      </c>
      <c r="B311" s="112">
        <v>45883</v>
      </c>
      <c r="C311" s="109" t="s">
        <v>34</v>
      </c>
      <c r="D311" s="109" t="s">
        <v>26</v>
      </c>
      <c r="E311" s="109" t="s">
        <v>41</v>
      </c>
      <c r="F311" s="109" t="s">
        <v>28</v>
      </c>
      <c r="G311" s="109" t="s">
        <v>36</v>
      </c>
      <c r="H311" s="110">
        <v>89.58</v>
      </c>
      <c r="I311" s="109">
        <v>13</v>
      </c>
      <c r="J311" s="110">
        <v>1164.54</v>
      </c>
    </row>
    <row r="312" spans="1:10" x14ac:dyDescent="0.25">
      <c r="A312" s="109" t="s">
        <v>348</v>
      </c>
      <c r="B312" s="112">
        <v>45846</v>
      </c>
      <c r="C312" s="109" t="s">
        <v>34</v>
      </c>
      <c r="D312" s="109" t="s">
        <v>22</v>
      </c>
      <c r="E312" s="109" t="s">
        <v>27</v>
      </c>
      <c r="F312" s="109" t="s">
        <v>61</v>
      </c>
      <c r="G312" s="109" t="s">
        <v>15</v>
      </c>
      <c r="H312" s="110">
        <v>126.57</v>
      </c>
      <c r="I312" s="109">
        <v>17</v>
      </c>
      <c r="J312" s="110">
        <v>2151.69</v>
      </c>
    </row>
    <row r="313" spans="1:10" x14ac:dyDescent="0.25">
      <c r="A313" s="109" t="s">
        <v>349</v>
      </c>
      <c r="B313" s="112">
        <v>45878</v>
      </c>
      <c r="C313" s="109" t="s">
        <v>30</v>
      </c>
      <c r="D313" s="109" t="s">
        <v>55</v>
      </c>
      <c r="E313" s="109" t="s">
        <v>13</v>
      </c>
      <c r="F313" s="109" t="s">
        <v>32</v>
      </c>
      <c r="G313" s="109" t="s">
        <v>15</v>
      </c>
      <c r="H313" s="110">
        <v>47.26</v>
      </c>
      <c r="I313" s="109">
        <v>20</v>
      </c>
      <c r="J313" s="110">
        <v>945.2</v>
      </c>
    </row>
    <row r="314" spans="1:10" x14ac:dyDescent="0.25">
      <c r="A314" s="109" t="s">
        <v>350</v>
      </c>
      <c r="B314" s="112">
        <v>45698</v>
      </c>
      <c r="C314" s="109" t="s">
        <v>17</v>
      </c>
      <c r="D314" s="109" t="s">
        <v>35</v>
      </c>
      <c r="E314" s="109" t="s">
        <v>13</v>
      </c>
      <c r="F314" s="109" t="s">
        <v>61</v>
      </c>
      <c r="G314" s="109" t="s">
        <v>20</v>
      </c>
      <c r="H314" s="110">
        <v>35.58</v>
      </c>
      <c r="I314" s="109">
        <v>11</v>
      </c>
      <c r="J314" s="110">
        <v>391.38</v>
      </c>
    </row>
    <row r="315" spans="1:10" x14ac:dyDescent="0.25">
      <c r="A315" s="109" t="s">
        <v>351</v>
      </c>
      <c r="B315" s="112">
        <v>45876</v>
      </c>
      <c r="C315" s="109" t="s">
        <v>17</v>
      </c>
      <c r="D315" s="109" t="s">
        <v>31</v>
      </c>
      <c r="E315" s="109" t="s">
        <v>13</v>
      </c>
      <c r="F315" s="109" t="s">
        <v>61</v>
      </c>
      <c r="G315" s="109" t="s">
        <v>15</v>
      </c>
      <c r="H315" s="110">
        <v>241.78</v>
      </c>
      <c r="I315" s="109">
        <v>6</v>
      </c>
      <c r="J315" s="110">
        <v>1450.68</v>
      </c>
    </row>
    <row r="316" spans="1:10" x14ac:dyDescent="0.25">
      <c r="A316" s="109" t="s">
        <v>352</v>
      </c>
      <c r="B316" s="112">
        <v>45838</v>
      </c>
      <c r="C316" s="109" t="s">
        <v>38</v>
      </c>
      <c r="D316" s="109" t="s">
        <v>35</v>
      </c>
      <c r="E316" s="109" t="s">
        <v>27</v>
      </c>
      <c r="F316" s="109" t="s">
        <v>39</v>
      </c>
      <c r="G316" s="109" t="s">
        <v>15</v>
      </c>
      <c r="H316" s="110">
        <v>213.92</v>
      </c>
      <c r="I316" s="109">
        <v>20</v>
      </c>
      <c r="J316" s="110">
        <v>4278.3999999999996</v>
      </c>
    </row>
    <row r="317" spans="1:10" x14ac:dyDescent="0.25">
      <c r="A317" s="109" t="s">
        <v>353</v>
      </c>
      <c r="B317" s="112">
        <v>45696</v>
      </c>
      <c r="C317" s="109" t="s">
        <v>34</v>
      </c>
      <c r="D317" s="109" t="s">
        <v>55</v>
      </c>
      <c r="E317" s="109" t="s">
        <v>27</v>
      </c>
      <c r="F317" s="109" t="s">
        <v>28</v>
      </c>
      <c r="G317" s="109" t="s">
        <v>15</v>
      </c>
      <c r="H317" s="110">
        <v>183.11</v>
      </c>
      <c r="I317" s="109">
        <v>13</v>
      </c>
      <c r="J317" s="110">
        <v>2380.4299999999998</v>
      </c>
    </row>
    <row r="318" spans="1:10" x14ac:dyDescent="0.25">
      <c r="A318" s="109" t="s">
        <v>354</v>
      </c>
      <c r="B318" s="112">
        <v>45673</v>
      </c>
      <c r="C318" s="109" t="s">
        <v>25</v>
      </c>
      <c r="D318" s="109" t="s">
        <v>12</v>
      </c>
      <c r="E318" s="109" t="s">
        <v>41</v>
      </c>
      <c r="F318" s="109" t="s">
        <v>19</v>
      </c>
      <c r="G318" s="109" t="s">
        <v>15</v>
      </c>
      <c r="H318" s="110">
        <v>119.97</v>
      </c>
      <c r="I318" s="109">
        <v>5</v>
      </c>
      <c r="J318" s="110">
        <v>599.85</v>
      </c>
    </row>
    <row r="319" spans="1:10" x14ac:dyDescent="0.25">
      <c r="A319" s="109" t="s">
        <v>355</v>
      </c>
      <c r="B319" s="112">
        <v>45692</v>
      </c>
      <c r="C319" s="109" t="s">
        <v>17</v>
      </c>
      <c r="D319" s="109" t="s">
        <v>35</v>
      </c>
      <c r="E319" s="109" t="s">
        <v>13</v>
      </c>
      <c r="F319" s="109" t="s">
        <v>61</v>
      </c>
      <c r="G319" s="109" t="s">
        <v>20</v>
      </c>
      <c r="H319" s="110">
        <v>68.12</v>
      </c>
      <c r="I319" s="109">
        <v>8</v>
      </c>
      <c r="J319" s="110">
        <v>544.96</v>
      </c>
    </row>
    <row r="320" spans="1:10" x14ac:dyDescent="0.25">
      <c r="A320" s="109" t="s">
        <v>356</v>
      </c>
      <c r="B320" s="112">
        <v>45674</v>
      </c>
      <c r="C320" s="109" t="s">
        <v>30</v>
      </c>
      <c r="D320" s="109" t="s">
        <v>12</v>
      </c>
      <c r="E320" s="109" t="s">
        <v>41</v>
      </c>
      <c r="F320" s="109" t="s">
        <v>32</v>
      </c>
      <c r="G320" s="109" t="s">
        <v>36</v>
      </c>
      <c r="H320" s="110">
        <v>64.42</v>
      </c>
      <c r="I320" s="109">
        <v>20</v>
      </c>
      <c r="J320" s="110">
        <v>1288.4000000000001</v>
      </c>
    </row>
    <row r="321" spans="1:10" x14ac:dyDescent="0.25">
      <c r="A321" s="109" t="s">
        <v>357</v>
      </c>
      <c r="B321" s="112">
        <v>45885</v>
      </c>
      <c r="C321" s="109" t="s">
        <v>25</v>
      </c>
      <c r="D321" s="109" t="s">
        <v>26</v>
      </c>
      <c r="E321" s="109" t="s">
        <v>18</v>
      </c>
      <c r="F321" s="109" t="s">
        <v>32</v>
      </c>
      <c r="G321" s="109" t="s">
        <v>36</v>
      </c>
      <c r="H321" s="110">
        <v>85.05</v>
      </c>
      <c r="I321" s="109">
        <v>3</v>
      </c>
      <c r="J321" s="110">
        <v>255.15</v>
      </c>
    </row>
    <row r="322" spans="1:10" x14ac:dyDescent="0.25">
      <c r="A322" s="109" t="s">
        <v>358</v>
      </c>
      <c r="B322" s="112">
        <v>45818</v>
      </c>
      <c r="C322" s="109" t="s">
        <v>30</v>
      </c>
      <c r="D322" s="109" t="s">
        <v>22</v>
      </c>
      <c r="E322" s="109" t="s">
        <v>45</v>
      </c>
      <c r="F322" s="109" t="s">
        <v>28</v>
      </c>
      <c r="G322" s="109" t="s">
        <v>15</v>
      </c>
      <c r="H322" s="110">
        <v>150.83000000000001</v>
      </c>
      <c r="I322" s="109">
        <v>9</v>
      </c>
      <c r="J322" s="110">
        <v>1357.47</v>
      </c>
    </row>
    <row r="323" spans="1:10" x14ac:dyDescent="0.25">
      <c r="A323" s="109" t="s">
        <v>359</v>
      </c>
      <c r="B323" s="112">
        <v>45913</v>
      </c>
      <c r="C323" s="109" t="s">
        <v>38</v>
      </c>
      <c r="D323" s="109" t="s">
        <v>55</v>
      </c>
      <c r="E323" s="109" t="s">
        <v>45</v>
      </c>
      <c r="F323" s="109" t="s">
        <v>32</v>
      </c>
      <c r="G323" s="109" t="s">
        <v>36</v>
      </c>
      <c r="H323" s="110">
        <v>187.21</v>
      </c>
      <c r="I323" s="109">
        <v>17</v>
      </c>
      <c r="J323" s="110">
        <v>3182.57</v>
      </c>
    </row>
    <row r="324" spans="1:10" x14ac:dyDescent="0.25">
      <c r="A324" s="109" t="s">
        <v>360</v>
      </c>
      <c r="B324" s="112">
        <v>46018</v>
      </c>
      <c r="C324" s="109" t="s">
        <v>30</v>
      </c>
      <c r="D324" s="109" t="s">
        <v>55</v>
      </c>
      <c r="E324" s="109" t="s">
        <v>13</v>
      </c>
      <c r="F324" s="109" t="s">
        <v>28</v>
      </c>
      <c r="G324" s="109" t="s">
        <v>36</v>
      </c>
      <c r="H324" s="110">
        <v>175.24</v>
      </c>
      <c r="I324" s="109">
        <v>15</v>
      </c>
      <c r="J324" s="110">
        <v>2628.6</v>
      </c>
    </row>
    <row r="325" spans="1:10" x14ac:dyDescent="0.25">
      <c r="A325" s="109" t="s">
        <v>361</v>
      </c>
      <c r="B325" s="112">
        <v>45760</v>
      </c>
      <c r="C325" s="109" t="s">
        <v>30</v>
      </c>
      <c r="D325" s="109" t="s">
        <v>22</v>
      </c>
      <c r="E325" s="109" t="s">
        <v>41</v>
      </c>
      <c r="F325" s="109" t="s">
        <v>14</v>
      </c>
      <c r="G325" s="109" t="s">
        <v>20</v>
      </c>
      <c r="H325" s="110">
        <v>91.59</v>
      </c>
      <c r="I325" s="109">
        <v>4</v>
      </c>
      <c r="J325" s="110">
        <v>366.36</v>
      </c>
    </row>
    <row r="326" spans="1:10" x14ac:dyDescent="0.25">
      <c r="A326" s="109" t="s">
        <v>362</v>
      </c>
      <c r="B326" s="112">
        <v>45885</v>
      </c>
      <c r="C326" s="109" t="s">
        <v>17</v>
      </c>
      <c r="D326" s="109" t="s">
        <v>35</v>
      </c>
      <c r="E326" s="109" t="s">
        <v>27</v>
      </c>
      <c r="F326" s="109" t="s">
        <v>32</v>
      </c>
      <c r="G326" s="109" t="s">
        <v>20</v>
      </c>
      <c r="H326" s="110">
        <v>240.07</v>
      </c>
      <c r="I326" s="109">
        <v>3</v>
      </c>
      <c r="J326" s="110">
        <v>720.21</v>
      </c>
    </row>
    <row r="327" spans="1:10" x14ac:dyDescent="0.25">
      <c r="A327" s="109" t="s">
        <v>363</v>
      </c>
      <c r="B327" s="112">
        <v>45691</v>
      </c>
      <c r="C327" s="109" t="s">
        <v>25</v>
      </c>
      <c r="D327" s="109" t="s">
        <v>35</v>
      </c>
      <c r="E327" s="109" t="s">
        <v>13</v>
      </c>
      <c r="F327" s="109" t="s">
        <v>39</v>
      </c>
      <c r="G327" s="109" t="s">
        <v>15</v>
      </c>
      <c r="H327" s="110">
        <v>192.34</v>
      </c>
      <c r="I327" s="109">
        <v>18</v>
      </c>
      <c r="J327" s="110">
        <v>3462.12</v>
      </c>
    </row>
    <row r="328" spans="1:10" x14ac:dyDescent="0.25">
      <c r="A328" s="109" t="s">
        <v>364</v>
      </c>
      <c r="B328" s="112">
        <v>46022</v>
      </c>
      <c r="C328" s="109" t="s">
        <v>34</v>
      </c>
      <c r="D328" s="109" t="s">
        <v>55</v>
      </c>
      <c r="E328" s="109" t="s">
        <v>23</v>
      </c>
      <c r="F328" s="109" t="s">
        <v>19</v>
      </c>
      <c r="G328" s="109" t="s">
        <v>15</v>
      </c>
      <c r="H328" s="110">
        <v>151.96</v>
      </c>
      <c r="I328" s="109">
        <v>6</v>
      </c>
      <c r="J328" s="110">
        <v>911.76</v>
      </c>
    </row>
    <row r="329" spans="1:10" x14ac:dyDescent="0.25">
      <c r="A329" s="109" t="s">
        <v>365</v>
      </c>
      <c r="B329" s="112">
        <v>45729</v>
      </c>
      <c r="C329" s="109" t="s">
        <v>38</v>
      </c>
      <c r="D329" s="109" t="s">
        <v>22</v>
      </c>
      <c r="E329" s="109" t="s">
        <v>13</v>
      </c>
      <c r="F329" s="109" t="s">
        <v>42</v>
      </c>
      <c r="G329" s="109" t="s">
        <v>20</v>
      </c>
      <c r="H329" s="110">
        <v>164.58</v>
      </c>
      <c r="I329" s="109">
        <v>8</v>
      </c>
      <c r="J329" s="110">
        <v>1316.64</v>
      </c>
    </row>
    <row r="330" spans="1:10" x14ac:dyDescent="0.25">
      <c r="A330" s="109" t="s">
        <v>366</v>
      </c>
      <c r="B330" s="112">
        <v>45846</v>
      </c>
      <c r="C330" s="109" t="s">
        <v>25</v>
      </c>
      <c r="D330" s="109" t="s">
        <v>26</v>
      </c>
      <c r="E330" s="109" t="s">
        <v>18</v>
      </c>
      <c r="F330" s="109" t="s">
        <v>19</v>
      </c>
      <c r="G330" s="109" t="s">
        <v>15</v>
      </c>
      <c r="H330" s="110">
        <v>122.31</v>
      </c>
      <c r="I330" s="109">
        <v>15</v>
      </c>
      <c r="J330" s="110">
        <v>1834.65</v>
      </c>
    </row>
    <row r="331" spans="1:10" x14ac:dyDescent="0.25">
      <c r="A331" s="109" t="s">
        <v>367</v>
      </c>
      <c r="B331" s="112">
        <v>45816</v>
      </c>
      <c r="C331" s="109" t="s">
        <v>17</v>
      </c>
      <c r="D331" s="109" t="s">
        <v>12</v>
      </c>
      <c r="E331" s="109" t="s">
        <v>41</v>
      </c>
      <c r="F331" s="109" t="s">
        <v>42</v>
      </c>
      <c r="G331" s="109" t="s">
        <v>36</v>
      </c>
      <c r="H331" s="110">
        <v>84.5</v>
      </c>
      <c r="I331" s="109">
        <v>13</v>
      </c>
      <c r="J331" s="110">
        <v>1098.5</v>
      </c>
    </row>
    <row r="332" spans="1:10" x14ac:dyDescent="0.25">
      <c r="A332" s="109" t="s">
        <v>368</v>
      </c>
      <c r="B332" s="112">
        <v>45867</v>
      </c>
      <c r="C332" s="109" t="s">
        <v>11</v>
      </c>
      <c r="D332" s="109" t="s">
        <v>26</v>
      </c>
      <c r="E332" s="109" t="s">
        <v>13</v>
      </c>
      <c r="F332" s="109" t="s">
        <v>28</v>
      </c>
      <c r="G332" s="109" t="s">
        <v>15</v>
      </c>
      <c r="H332" s="110">
        <v>108.31</v>
      </c>
      <c r="I332" s="109">
        <v>19</v>
      </c>
      <c r="J332" s="110">
        <v>2057.89</v>
      </c>
    </row>
    <row r="333" spans="1:10" x14ac:dyDescent="0.25">
      <c r="A333" s="109" t="s">
        <v>369</v>
      </c>
      <c r="B333" s="112">
        <v>45888</v>
      </c>
      <c r="C333" s="109" t="s">
        <v>17</v>
      </c>
      <c r="D333" s="109" t="s">
        <v>55</v>
      </c>
      <c r="E333" s="109" t="s">
        <v>13</v>
      </c>
      <c r="F333" s="109" t="s">
        <v>14</v>
      </c>
      <c r="G333" s="109" t="s">
        <v>20</v>
      </c>
      <c r="H333" s="110">
        <v>196.73</v>
      </c>
      <c r="I333" s="109">
        <v>15</v>
      </c>
      <c r="J333" s="110">
        <v>2950.95</v>
      </c>
    </row>
    <row r="334" spans="1:10" x14ac:dyDescent="0.25">
      <c r="A334" s="109" t="s">
        <v>370</v>
      </c>
      <c r="B334" s="112">
        <v>45985</v>
      </c>
      <c r="C334" s="109" t="s">
        <v>30</v>
      </c>
      <c r="D334" s="109" t="s">
        <v>26</v>
      </c>
      <c r="E334" s="109" t="s">
        <v>41</v>
      </c>
      <c r="F334" s="109" t="s">
        <v>42</v>
      </c>
      <c r="G334" s="109" t="s">
        <v>15</v>
      </c>
      <c r="H334" s="110">
        <v>33.17</v>
      </c>
      <c r="I334" s="109">
        <v>19</v>
      </c>
      <c r="J334" s="110">
        <v>630.23</v>
      </c>
    </row>
    <row r="335" spans="1:10" x14ac:dyDescent="0.25">
      <c r="A335" s="109" t="s">
        <v>371</v>
      </c>
      <c r="B335" s="112">
        <v>45721</v>
      </c>
      <c r="C335" s="109" t="s">
        <v>30</v>
      </c>
      <c r="D335" s="109" t="s">
        <v>35</v>
      </c>
      <c r="E335" s="109" t="s">
        <v>23</v>
      </c>
      <c r="F335" s="109" t="s">
        <v>14</v>
      </c>
      <c r="G335" s="109" t="s">
        <v>36</v>
      </c>
      <c r="H335" s="110">
        <v>55.54</v>
      </c>
      <c r="I335" s="109">
        <v>17</v>
      </c>
      <c r="J335" s="110">
        <v>944.18</v>
      </c>
    </row>
    <row r="336" spans="1:10" x14ac:dyDescent="0.25">
      <c r="A336" s="109" t="s">
        <v>372</v>
      </c>
      <c r="B336" s="112">
        <v>46021</v>
      </c>
      <c r="C336" s="109" t="s">
        <v>34</v>
      </c>
      <c r="D336" s="109" t="s">
        <v>55</v>
      </c>
      <c r="E336" s="109" t="s">
        <v>13</v>
      </c>
      <c r="F336" s="109" t="s">
        <v>39</v>
      </c>
      <c r="G336" s="109" t="s">
        <v>15</v>
      </c>
      <c r="H336" s="110">
        <v>40.119999999999997</v>
      </c>
      <c r="I336" s="109">
        <v>8</v>
      </c>
      <c r="J336" s="110">
        <v>320.95999999999998</v>
      </c>
    </row>
    <row r="337" spans="1:10" x14ac:dyDescent="0.25">
      <c r="A337" s="109" t="s">
        <v>373</v>
      </c>
      <c r="B337" s="112">
        <v>45786</v>
      </c>
      <c r="C337" s="109" t="s">
        <v>17</v>
      </c>
      <c r="D337" s="109" t="s">
        <v>55</v>
      </c>
      <c r="E337" s="109" t="s">
        <v>13</v>
      </c>
      <c r="F337" s="109" t="s">
        <v>14</v>
      </c>
      <c r="G337" s="109" t="s">
        <v>20</v>
      </c>
      <c r="H337" s="110">
        <v>38.96</v>
      </c>
      <c r="I337" s="109">
        <v>7</v>
      </c>
      <c r="J337" s="110">
        <v>272.72000000000003</v>
      </c>
    </row>
    <row r="338" spans="1:10" x14ac:dyDescent="0.25">
      <c r="A338" s="109" t="s">
        <v>374</v>
      </c>
      <c r="B338" s="112">
        <v>45813</v>
      </c>
      <c r="C338" s="109" t="s">
        <v>25</v>
      </c>
      <c r="D338" s="109" t="s">
        <v>22</v>
      </c>
      <c r="E338" s="109" t="s">
        <v>18</v>
      </c>
      <c r="F338" s="109" t="s">
        <v>28</v>
      </c>
      <c r="G338" s="109" t="s">
        <v>15</v>
      </c>
      <c r="H338" s="110">
        <v>218.2</v>
      </c>
      <c r="I338" s="109">
        <v>20</v>
      </c>
      <c r="J338" s="110">
        <v>4364</v>
      </c>
    </row>
    <row r="339" spans="1:10" x14ac:dyDescent="0.25">
      <c r="A339" s="109" t="s">
        <v>375</v>
      </c>
      <c r="B339" s="112">
        <v>45961</v>
      </c>
      <c r="C339" s="109" t="s">
        <v>30</v>
      </c>
      <c r="D339" s="109" t="s">
        <v>26</v>
      </c>
      <c r="E339" s="109" t="s">
        <v>27</v>
      </c>
      <c r="F339" s="109" t="s">
        <v>42</v>
      </c>
      <c r="G339" s="109" t="s">
        <v>20</v>
      </c>
      <c r="H339" s="110">
        <v>184.8</v>
      </c>
      <c r="I339" s="109">
        <v>19</v>
      </c>
      <c r="J339" s="110">
        <v>3511.2</v>
      </c>
    </row>
    <row r="340" spans="1:10" x14ac:dyDescent="0.25">
      <c r="A340" s="109" t="s">
        <v>376</v>
      </c>
      <c r="B340" s="112">
        <v>45967</v>
      </c>
      <c r="C340" s="109" t="s">
        <v>25</v>
      </c>
      <c r="D340" s="109" t="s">
        <v>22</v>
      </c>
      <c r="E340" s="109" t="s">
        <v>45</v>
      </c>
      <c r="F340" s="109" t="s">
        <v>19</v>
      </c>
      <c r="G340" s="109" t="s">
        <v>15</v>
      </c>
      <c r="H340" s="110">
        <v>134.32</v>
      </c>
      <c r="I340" s="109">
        <v>11</v>
      </c>
      <c r="J340" s="110">
        <v>1477.52</v>
      </c>
    </row>
    <row r="341" spans="1:10" x14ac:dyDescent="0.25">
      <c r="A341" s="109" t="s">
        <v>377</v>
      </c>
      <c r="B341" s="112">
        <v>45986</v>
      </c>
      <c r="C341" s="109" t="s">
        <v>34</v>
      </c>
      <c r="D341" s="109" t="s">
        <v>12</v>
      </c>
      <c r="E341" s="109" t="s">
        <v>23</v>
      </c>
      <c r="F341" s="109" t="s">
        <v>39</v>
      </c>
      <c r="G341" s="109" t="s">
        <v>20</v>
      </c>
      <c r="H341" s="110">
        <v>51.52</v>
      </c>
      <c r="I341" s="109">
        <v>19</v>
      </c>
      <c r="J341" s="110">
        <v>978.88</v>
      </c>
    </row>
    <row r="342" spans="1:10" x14ac:dyDescent="0.25">
      <c r="A342" s="109" t="s">
        <v>378</v>
      </c>
      <c r="B342" s="112">
        <v>45871</v>
      </c>
      <c r="C342" s="109" t="s">
        <v>17</v>
      </c>
      <c r="D342" s="109" t="s">
        <v>22</v>
      </c>
      <c r="E342" s="109" t="s">
        <v>41</v>
      </c>
      <c r="F342" s="109" t="s">
        <v>28</v>
      </c>
      <c r="G342" s="109" t="s">
        <v>20</v>
      </c>
      <c r="H342" s="110">
        <v>138.16</v>
      </c>
      <c r="I342" s="109">
        <v>20</v>
      </c>
      <c r="J342" s="110">
        <v>2763.2</v>
      </c>
    </row>
    <row r="343" spans="1:10" x14ac:dyDescent="0.25">
      <c r="A343" s="109" t="s">
        <v>379</v>
      </c>
      <c r="B343" s="112">
        <v>45806</v>
      </c>
      <c r="C343" s="109" t="s">
        <v>38</v>
      </c>
      <c r="D343" s="109" t="s">
        <v>26</v>
      </c>
      <c r="E343" s="109" t="s">
        <v>27</v>
      </c>
      <c r="F343" s="109" t="s">
        <v>61</v>
      </c>
      <c r="G343" s="109" t="s">
        <v>36</v>
      </c>
      <c r="H343" s="110">
        <v>134.16</v>
      </c>
      <c r="I343" s="109">
        <v>10</v>
      </c>
      <c r="J343" s="110">
        <v>1341.6</v>
      </c>
    </row>
    <row r="344" spans="1:10" x14ac:dyDescent="0.25">
      <c r="A344" s="109" t="s">
        <v>380</v>
      </c>
      <c r="B344" s="112">
        <v>45890</v>
      </c>
      <c r="C344" s="109" t="s">
        <v>17</v>
      </c>
      <c r="D344" s="109" t="s">
        <v>22</v>
      </c>
      <c r="E344" s="109" t="s">
        <v>23</v>
      </c>
      <c r="F344" s="109" t="s">
        <v>61</v>
      </c>
      <c r="G344" s="109" t="s">
        <v>36</v>
      </c>
      <c r="H344" s="110">
        <v>68.099999999999994</v>
      </c>
      <c r="I344" s="109">
        <v>3</v>
      </c>
      <c r="J344" s="110">
        <v>204.3</v>
      </c>
    </row>
    <row r="345" spans="1:10" x14ac:dyDescent="0.25">
      <c r="A345" s="109" t="s">
        <v>381</v>
      </c>
      <c r="B345" s="112">
        <v>45905</v>
      </c>
      <c r="C345" s="109" t="s">
        <v>30</v>
      </c>
      <c r="D345" s="109" t="s">
        <v>35</v>
      </c>
      <c r="E345" s="109" t="s">
        <v>18</v>
      </c>
      <c r="F345" s="109" t="s">
        <v>14</v>
      </c>
      <c r="G345" s="109" t="s">
        <v>36</v>
      </c>
      <c r="H345" s="110">
        <v>125.45</v>
      </c>
      <c r="I345" s="109">
        <v>15</v>
      </c>
      <c r="J345" s="110">
        <v>1881.75</v>
      </c>
    </row>
    <row r="346" spans="1:10" x14ac:dyDescent="0.25">
      <c r="A346" s="109" t="s">
        <v>382</v>
      </c>
      <c r="B346" s="112">
        <v>45821</v>
      </c>
      <c r="C346" s="109" t="s">
        <v>38</v>
      </c>
      <c r="D346" s="109" t="s">
        <v>26</v>
      </c>
      <c r="E346" s="109" t="s">
        <v>13</v>
      </c>
      <c r="F346" s="109" t="s">
        <v>42</v>
      </c>
      <c r="G346" s="109" t="s">
        <v>20</v>
      </c>
      <c r="H346" s="110">
        <v>117.67</v>
      </c>
      <c r="I346" s="109">
        <v>12</v>
      </c>
      <c r="J346" s="110">
        <v>1412.04</v>
      </c>
    </row>
    <row r="347" spans="1:10" x14ac:dyDescent="0.25">
      <c r="A347" s="109" t="s">
        <v>383</v>
      </c>
      <c r="B347" s="112">
        <v>45712</v>
      </c>
      <c r="C347" s="109" t="s">
        <v>30</v>
      </c>
      <c r="D347" s="109" t="s">
        <v>31</v>
      </c>
      <c r="E347" s="109" t="s">
        <v>45</v>
      </c>
      <c r="F347" s="109" t="s">
        <v>32</v>
      </c>
      <c r="G347" s="109" t="s">
        <v>36</v>
      </c>
      <c r="H347" s="110">
        <v>165.49</v>
      </c>
      <c r="I347" s="109">
        <v>11</v>
      </c>
      <c r="J347" s="110">
        <v>1820.39</v>
      </c>
    </row>
    <row r="348" spans="1:10" x14ac:dyDescent="0.25">
      <c r="A348" s="109" t="s">
        <v>384</v>
      </c>
      <c r="B348" s="112">
        <v>45784</v>
      </c>
      <c r="C348" s="109" t="s">
        <v>11</v>
      </c>
      <c r="D348" s="109" t="s">
        <v>22</v>
      </c>
      <c r="E348" s="109" t="s">
        <v>13</v>
      </c>
      <c r="F348" s="109" t="s">
        <v>61</v>
      </c>
      <c r="G348" s="109" t="s">
        <v>20</v>
      </c>
      <c r="H348" s="110">
        <v>169.72</v>
      </c>
      <c r="I348" s="109">
        <v>5</v>
      </c>
      <c r="J348" s="110">
        <v>848.6</v>
      </c>
    </row>
    <row r="349" spans="1:10" x14ac:dyDescent="0.25">
      <c r="A349" s="109" t="s">
        <v>385</v>
      </c>
      <c r="B349" s="112">
        <v>45872</v>
      </c>
      <c r="C349" s="109" t="s">
        <v>30</v>
      </c>
      <c r="D349" s="109" t="s">
        <v>35</v>
      </c>
      <c r="E349" s="109" t="s">
        <v>18</v>
      </c>
      <c r="F349" s="109" t="s">
        <v>28</v>
      </c>
      <c r="G349" s="109" t="s">
        <v>36</v>
      </c>
      <c r="H349" s="110">
        <v>39.97</v>
      </c>
      <c r="I349" s="109">
        <v>8</v>
      </c>
      <c r="J349" s="110">
        <v>319.76</v>
      </c>
    </row>
    <row r="350" spans="1:10" x14ac:dyDescent="0.25">
      <c r="A350" s="109" t="s">
        <v>386</v>
      </c>
      <c r="B350" s="112">
        <v>45755</v>
      </c>
      <c r="C350" s="109" t="s">
        <v>38</v>
      </c>
      <c r="D350" s="109" t="s">
        <v>55</v>
      </c>
      <c r="E350" s="109" t="s">
        <v>41</v>
      </c>
      <c r="F350" s="109" t="s">
        <v>61</v>
      </c>
      <c r="G350" s="109" t="s">
        <v>36</v>
      </c>
      <c r="H350" s="110">
        <v>112.41</v>
      </c>
      <c r="I350" s="109">
        <v>6</v>
      </c>
      <c r="J350" s="110">
        <v>674.46</v>
      </c>
    </row>
    <row r="351" spans="1:10" x14ac:dyDescent="0.25">
      <c r="A351" s="109" t="s">
        <v>387</v>
      </c>
      <c r="B351" s="112">
        <v>45912</v>
      </c>
      <c r="C351" s="109" t="s">
        <v>11</v>
      </c>
      <c r="D351" s="109" t="s">
        <v>31</v>
      </c>
      <c r="E351" s="109" t="s">
        <v>18</v>
      </c>
      <c r="F351" s="109" t="s">
        <v>61</v>
      </c>
      <c r="G351" s="109" t="s">
        <v>15</v>
      </c>
      <c r="H351" s="110">
        <v>167.69</v>
      </c>
      <c r="I351" s="109">
        <v>1</v>
      </c>
      <c r="J351" s="110">
        <v>167.69</v>
      </c>
    </row>
    <row r="352" spans="1:10" x14ac:dyDescent="0.25">
      <c r="A352" s="109" t="s">
        <v>388</v>
      </c>
      <c r="B352" s="112">
        <v>45768</v>
      </c>
      <c r="C352" s="109" t="s">
        <v>34</v>
      </c>
      <c r="D352" s="109" t="s">
        <v>22</v>
      </c>
      <c r="E352" s="109" t="s">
        <v>45</v>
      </c>
      <c r="F352" s="109" t="s">
        <v>32</v>
      </c>
      <c r="G352" s="109" t="s">
        <v>36</v>
      </c>
      <c r="H352" s="110">
        <v>140.69</v>
      </c>
      <c r="I352" s="109">
        <v>19</v>
      </c>
      <c r="J352" s="110">
        <v>2673.11</v>
      </c>
    </row>
    <row r="353" spans="1:10" x14ac:dyDescent="0.25">
      <c r="A353" s="109" t="s">
        <v>389</v>
      </c>
      <c r="B353" s="112">
        <v>45963</v>
      </c>
      <c r="C353" s="109" t="s">
        <v>34</v>
      </c>
      <c r="D353" s="109" t="s">
        <v>55</v>
      </c>
      <c r="E353" s="109" t="s">
        <v>45</v>
      </c>
      <c r="F353" s="109" t="s">
        <v>39</v>
      </c>
      <c r="G353" s="109" t="s">
        <v>15</v>
      </c>
      <c r="H353" s="110">
        <v>218.43</v>
      </c>
      <c r="I353" s="109">
        <v>16</v>
      </c>
      <c r="J353" s="110">
        <v>3494.88</v>
      </c>
    </row>
    <row r="354" spans="1:10" x14ac:dyDescent="0.25">
      <c r="A354" s="109" t="s">
        <v>390</v>
      </c>
      <c r="B354" s="112">
        <v>45878</v>
      </c>
      <c r="C354" s="109" t="s">
        <v>34</v>
      </c>
      <c r="D354" s="109" t="s">
        <v>12</v>
      </c>
      <c r="E354" s="109" t="s">
        <v>13</v>
      </c>
      <c r="F354" s="109" t="s">
        <v>39</v>
      </c>
      <c r="G354" s="109" t="s">
        <v>36</v>
      </c>
      <c r="H354" s="110">
        <v>174.91</v>
      </c>
      <c r="I354" s="109">
        <v>5</v>
      </c>
      <c r="J354" s="110">
        <v>874.55</v>
      </c>
    </row>
    <row r="355" spans="1:10" x14ac:dyDescent="0.25">
      <c r="A355" s="109" t="s">
        <v>391</v>
      </c>
      <c r="B355" s="112">
        <v>45845</v>
      </c>
      <c r="C355" s="109" t="s">
        <v>38</v>
      </c>
      <c r="D355" s="109" t="s">
        <v>22</v>
      </c>
      <c r="E355" s="109" t="s">
        <v>18</v>
      </c>
      <c r="F355" s="109" t="s">
        <v>42</v>
      </c>
      <c r="G355" s="109" t="s">
        <v>15</v>
      </c>
      <c r="H355" s="110">
        <v>65.849999999999994</v>
      </c>
      <c r="I355" s="109">
        <v>2</v>
      </c>
      <c r="J355" s="110">
        <v>131.69999999999999</v>
      </c>
    </row>
    <row r="356" spans="1:10" x14ac:dyDescent="0.25">
      <c r="A356" s="109" t="s">
        <v>392</v>
      </c>
      <c r="B356" s="112">
        <v>45843</v>
      </c>
      <c r="C356" s="109" t="s">
        <v>34</v>
      </c>
      <c r="D356" s="109" t="s">
        <v>22</v>
      </c>
      <c r="E356" s="109" t="s">
        <v>41</v>
      </c>
      <c r="F356" s="109" t="s">
        <v>42</v>
      </c>
      <c r="G356" s="109" t="s">
        <v>36</v>
      </c>
      <c r="H356" s="110">
        <v>45.53</v>
      </c>
      <c r="I356" s="109">
        <v>18</v>
      </c>
      <c r="J356" s="110">
        <v>819.54</v>
      </c>
    </row>
    <row r="357" spans="1:10" x14ac:dyDescent="0.25">
      <c r="A357" s="109" t="s">
        <v>393</v>
      </c>
      <c r="B357" s="112">
        <v>45939</v>
      </c>
      <c r="C357" s="109" t="s">
        <v>25</v>
      </c>
      <c r="D357" s="109" t="s">
        <v>12</v>
      </c>
      <c r="E357" s="109" t="s">
        <v>18</v>
      </c>
      <c r="F357" s="109" t="s">
        <v>19</v>
      </c>
      <c r="G357" s="109" t="s">
        <v>15</v>
      </c>
      <c r="H357" s="110">
        <v>171.33</v>
      </c>
      <c r="I357" s="109">
        <v>9</v>
      </c>
      <c r="J357" s="110">
        <v>1541.97</v>
      </c>
    </row>
    <row r="358" spans="1:10" x14ac:dyDescent="0.25">
      <c r="A358" s="109" t="s">
        <v>394</v>
      </c>
      <c r="B358" s="112">
        <v>45707</v>
      </c>
      <c r="C358" s="109" t="s">
        <v>34</v>
      </c>
      <c r="D358" s="109" t="s">
        <v>35</v>
      </c>
      <c r="E358" s="109" t="s">
        <v>18</v>
      </c>
      <c r="F358" s="109" t="s">
        <v>32</v>
      </c>
      <c r="G358" s="109" t="s">
        <v>15</v>
      </c>
      <c r="H358" s="110">
        <v>35.83</v>
      </c>
      <c r="I358" s="109">
        <v>13</v>
      </c>
      <c r="J358" s="110">
        <v>465.79</v>
      </c>
    </row>
    <row r="359" spans="1:10" x14ac:dyDescent="0.25">
      <c r="A359" s="109" t="s">
        <v>395</v>
      </c>
      <c r="B359" s="112">
        <v>45759</v>
      </c>
      <c r="C359" s="109" t="s">
        <v>25</v>
      </c>
      <c r="D359" s="109" t="s">
        <v>31</v>
      </c>
      <c r="E359" s="109" t="s">
        <v>18</v>
      </c>
      <c r="F359" s="109" t="s">
        <v>19</v>
      </c>
      <c r="G359" s="109" t="s">
        <v>15</v>
      </c>
      <c r="H359" s="110">
        <v>158.87</v>
      </c>
      <c r="I359" s="109">
        <v>20</v>
      </c>
      <c r="J359" s="110">
        <v>3177.4</v>
      </c>
    </row>
    <row r="360" spans="1:10" x14ac:dyDescent="0.25">
      <c r="A360" s="109" t="s">
        <v>396</v>
      </c>
      <c r="B360" s="112">
        <v>45677</v>
      </c>
      <c r="C360" s="109" t="s">
        <v>17</v>
      </c>
      <c r="D360" s="109" t="s">
        <v>35</v>
      </c>
      <c r="E360" s="109" t="s">
        <v>41</v>
      </c>
      <c r="F360" s="109" t="s">
        <v>42</v>
      </c>
      <c r="G360" s="109" t="s">
        <v>36</v>
      </c>
      <c r="H360" s="110">
        <v>236.85</v>
      </c>
      <c r="I360" s="109">
        <v>5</v>
      </c>
      <c r="J360" s="110">
        <v>1184.25</v>
      </c>
    </row>
    <row r="361" spans="1:10" x14ac:dyDescent="0.25">
      <c r="A361" s="109" t="s">
        <v>397</v>
      </c>
      <c r="B361" s="112">
        <v>45734</v>
      </c>
      <c r="C361" s="109" t="s">
        <v>25</v>
      </c>
      <c r="D361" s="109" t="s">
        <v>26</v>
      </c>
      <c r="E361" s="109" t="s">
        <v>13</v>
      </c>
      <c r="F361" s="109" t="s">
        <v>42</v>
      </c>
      <c r="G361" s="109" t="s">
        <v>36</v>
      </c>
      <c r="H361" s="110">
        <v>156.6</v>
      </c>
      <c r="I361" s="109">
        <v>20</v>
      </c>
      <c r="J361" s="110">
        <v>3132</v>
      </c>
    </row>
    <row r="362" spans="1:10" x14ac:dyDescent="0.25">
      <c r="A362" s="109" t="s">
        <v>398</v>
      </c>
      <c r="B362" s="112">
        <v>45741</v>
      </c>
      <c r="C362" s="109" t="s">
        <v>25</v>
      </c>
      <c r="D362" s="109" t="s">
        <v>12</v>
      </c>
      <c r="E362" s="109" t="s">
        <v>13</v>
      </c>
      <c r="F362" s="109" t="s">
        <v>42</v>
      </c>
      <c r="G362" s="109" t="s">
        <v>36</v>
      </c>
      <c r="H362" s="110">
        <v>115.4</v>
      </c>
      <c r="I362" s="109">
        <v>13</v>
      </c>
      <c r="J362" s="110">
        <v>1500.2</v>
      </c>
    </row>
    <row r="363" spans="1:10" x14ac:dyDescent="0.25">
      <c r="A363" s="109" t="s">
        <v>399</v>
      </c>
      <c r="B363" s="112">
        <v>45917</v>
      </c>
      <c r="C363" s="109" t="s">
        <v>25</v>
      </c>
      <c r="D363" s="109" t="s">
        <v>31</v>
      </c>
      <c r="E363" s="109" t="s">
        <v>27</v>
      </c>
      <c r="F363" s="109" t="s">
        <v>42</v>
      </c>
      <c r="G363" s="109" t="s">
        <v>36</v>
      </c>
      <c r="H363" s="110">
        <v>171.52</v>
      </c>
      <c r="I363" s="109">
        <v>17</v>
      </c>
      <c r="J363" s="110">
        <v>2915.84</v>
      </c>
    </row>
    <row r="364" spans="1:10" x14ac:dyDescent="0.25">
      <c r="A364" s="109" t="s">
        <v>400</v>
      </c>
      <c r="B364" s="112">
        <v>45901</v>
      </c>
      <c r="C364" s="109" t="s">
        <v>34</v>
      </c>
      <c r="D364" s="109" t="s">
        <v>35</v>
      </c>
      <c r="E364" s="109" t="s">
        <v>27</v>
      </c>
      <c r="F364" s="109" t="s">
        <v>19</v>
      </c>
      <c r="G364" s="109" t="s">
        <v>36</v>
      </c>
      <c r="H364" s="110">
        <v>130.82</v>
      </c>
      <c r="I364" s="109">
        <v>1</v>
      </c>
      <c r="J364" s="110">
        <v>130.82</v>
      </c>
    </row>
    <row r="365" spans="1:10" x14ac:dyDescent="0.25">
      <c r="A365" s="109" t="s">
        <v>401</v>
      </c>
      <c r="B365" s="112">
        <v>45956</v>
      </c>
      <c r="C365" s="109" t="s">
        <v>17</v>
      </c>
      <c r="D365" s="109" t="s">
        <v>12</v>
      </c>
      <c r="E365" s="109" t="s">
        <v>27</v>
      </c>
      <c r="F365" s="109" t="s">
        <v>19</v>
      </c>
      <c r="G365" s="109" t="s">
        <v>20</v>
      </c>
      <c r="H365" s="110">
        <v>150.04</v>
      </c>
      <c r="I365" s="109">
        <v>10</v>
      </c>
      <c r="J365" s="110">
        <v>1500.4</v>
      </c>
    </row>
    <row r="366" spans="1:10" x14ac:dyDescent="0.25">
      <c r="A366" s="109" t="s">
        <v>402</v>
      </c>
      <c r="B366" s="112">
        <v>45900</v>
      </c>
      <c r="C366" s="109" t="s">
        <v>17</v>
      </c>
      <c r="D366" s="109" t="s">
        <v>55</v>
      </c>
      <c r="E366" s="109" t="s">
        <v>18</v>
      </c>
      <c r="F366" s="109" t="s">
        <v>14</v>
      </c>
      <c r="G366" s="109" t="s">
        <v>20</v>
      </c>
      <c r="H366" s="110">
        <v>237.12</v>
      </c>
      <c r="I366" s="109">
        <v>9</v>
      </c>
      <c r="J366" s="110">
        <v>2134.08</v>
      </c>
    </row>
    <row r="367" spans="1:10" x14ac:dyDescent="0.25">
      <c r="A367" s="109" t="s">
        <v>403</v>
      </c>
      <c r="B367" s="112">
        <v>45684</v>
      </c>
      <c r="C367" s="109" t="s">
        <v>38</v>
      </c>
      <c r="D367" s="109" t="s">
        <v>26</v>
      </c>
      <c r="E367" s="109" t="s">
        <v>18</v>
      </c>
      <c r="F367" s="109" t="s">
        <v>28</v>
      </c>
      <c r="G367" s="109" t="s">
        <v>20</v>
      </c>
      <c r="H367" s="110">
        <v>114.94</v>
      </c>
      <c r="I367" s="109">
        <v>19</v>
      </c>
      <c r="J367" s="110">
        <v>2183.86</v>
      </c>
    </row>
    <row r="368" spans="1:10" x14ac:dyDescent="0.25">
      <c r="A368" s="109" t="s">
        <v>404</v>
      </c>
      <c r="B368" s="112">
        <v>45975</v>
      </c>
      <c r="C368" s="109" t="s">
        <v>30</v>
      </c>
      <c r="D368" s="109" t="s">
        <v>12</v>
      </c>
      <c r="E368" s="109" t="s">
        <v>23</v>
      </c>
      <c r="F368" s="109" t="s">
        <v>19</v>
      </c>
      <c r="G368" s="109" t="s">
        <v>20</v>
      </c>
      <c r="H368" s="110">
        <v>241.46</v>
      </c>
      <c r="I368" s="109">
        <v>13</v>
      </c>
      <c r="J368" s="110">
        <v>3138.98</v>
      </c>
    </row>
    <row r="369" spans="1:10" x14ac:dyDescent="0.25">
      <c r="A369" s="109" t="s">
        <v>405</v>
      </c>
      <c r="B369" s="112">
        <v>46016</v>
      </c>
      <c r="C369" s="109" t="s">
        <v>30</v>
      </c>
      <c r="D369" s="109" t="s">
        <v>22</v>
      </c>
      <c r="E369" s="109" t="s">
        <v>41</v>
      </c>
      <c r="F369" s="109" t="s">
        <v>32</v>
      </c>
      <c r="G369" s="109" t="s">
        <v>36</v>
      </c>
      <c r="H369" s="110">
        <v>229.18</v>
      </c>
      <c r="I369" s="109">
        <v>4</v>
      </c>
      <c r="J369" s="110">
        <v>916.72</v>
      </c>
    </row>
    <row r="370" spans="1:10" x14ac:dyDescent="0.25">
      <c r="A370" s="109" t="s">
        <v>406</v>
      </c>
      <c r="B370" s="112">
        <v>45735</v>
      </c>
      <c r="C370" s="109" t="s">
        <v>17</v>
      </c>
      <c r="D370" s="109" t="s">
        <v>26</v>
      </c>
      <c r="E370" s="109" t="s">
        <v>41</v>
      </c>
      <c r="F370" s="109" t="s">
        <v>42</v>
      </c>
      <c r="G370" s="109" t="s">
        <v>20</v>
      </c>
      <c r="H370" s="110">
        <v>73.069999999999993</v>
      </c>
      <c r="I370" s="109">
        <v>14</v>
      </c>
      <c r="J370" s="110">
        <v>1022.98</v>
      </c>
    </row>
    <row r="371" spans="1:10" x14ac:dyDescent="0.25">
      <c r="A371" s="109" t="s">
        <v>407</v>
      </c>
      <c r="B371" s="112">
        <v>45899</v>
      </c>
      <c r="C371" s="109" t="s">
        <v>17</v>
      </c>
      <c r="D371" s="109" t="s">
        <v>26</v>
      </c>
      <c r="E371" s="109" t="s">
        <v>18</v>
      </c>
      <c r="F371" s="109" t="s">
        <v>14</v>
      </c>
      <c r="G371" s="109" t="s">
        <v>20</v>
      </c>
      <c r="H371" s="110">
        <v>45.26</v>
      </c>
      <c r="I371" s="109">
        <v>2</v>
      </c>
      <c r="J371" s="110">
        <v>90.52</v>
      </c>
    </row>
    <row r="372" spans="1:10" x14ac:dyDescent="0.25">
      <c r="A372" s="109" t="s">
        <v>408</v>
      </c>
      <c r="B372" s="112">
        <v>45824</v>
      </c>
      <c r="C372" s="109" t="s">
        <v>25</v>
      </c>
      <c r="D372" s="109" t="s">
        <v>31</v>
      </c>
      <c r="E372" s="109" t="s">
        <v>13</v>
      </c>
      <c r="F372" s="109" t="s">
        <v>14</v>
      </c>
      <c r="G372" s="109" t="s">
        <v>36</v>
      </c>
      <c r="H372" s="110">
        <v>52.17</v>
      </c>
      <c r="I372" s="109">
        <v>16</v>
      </c>
      <c r="J372" s="110">
        <v>834.72</v>
      </c>
    </row>
    <row r="373" spans="1:10" x14ac:dyDescent="0.25">
      <c r="A373" s="109" t="s">
        <v>409</v>
      </c>
      <c r="B373" s="112">
        <v>45930</v>
      </c>
      <c r="C373" s="109" t="s">
        <v>25</v>
      </c>
      <c r="D373" s="109" t="s">
        <v>35</v>
      </c>
      <c r="E373" s="109" t="s">
        <v>27</v>
      </c>
      <c r="F373" s="109" t="s">
        <v>39</v>
      </c>
      <c r="G373" s="109" t="s">
        <v>20</v>
      </c>
      <c r="H373" s="110">
        <v>34.01</v>
      </c>
      <c r="I373" s="109">
        <v>11</v>
      </c>
      <c r="J373" s="110">
        <v>374.11</v>
      </c>
    </row>
    <row r="374" spans="1:10" x14ac:dyDescent="0.25">
      <c r="A374" s="109" t="s">
        <v>410</v>
      </c>
      <c r="B374" s="112">
        <v>46006</v>
      </c>
      <c r="C374" s="109" t="s">
        <v>25</v>
      </c>
      <c r="D374" s="109" t="s">
        <v>31</v>
      </c>
      <c r="E374" s="109" t="s">
        <v>23</v>
      </c>
      <c r="F374" s="109" t="s">
        <v>14</v>
      </c>
      <c r="G374" s="109" t="s">
        <v>36</v>
      </c>
      <c r="H374" s="110">
        <v>50.78</v>
      </c>
      <c r="I374" s="109">
        <v>9</v>
      </c>
      <c r="J374" s="110">
        <v>457.02</v>
      </c>
    </row>
    <row r="375" spans="1:10" x14ac:dyDescent="0.25">
      <c r="A375" s="109" t="s">
        <v>411</v>
      </c>
      <c r="B375" s="112">
        <v>45943</v>
      </c>
      <c r="C375" s="109" t="s">
        <v>30</v>
      </c>
      <c r="D375" s="109" t="s">
        <v>35</v>
      </c>
      <c r="E375" s="109" t="s">
        <v>13</v>
      </c>
      <c r="F375" s="109" t="s">
        <v>28</v>
      </c>
      <c r="G375" s="109" t="s">
        <v>15</v>
      </c>
      <c r="H375" s="110">
        <v>180.26</v>
      </c>
      <c r="I375" s="109">
        <v>10</v>
      </c>
      <c r="J375" s="110">
        <v>1802.6</v>
      </c>
    </row>
    <row r="376" spans="1:10" x14ac:dyDescent="0.25">
      <c r="A376" s="109" t="s">
        <v>412</v>
      </c>
      <c r="B376" s="112">
        <v>46011</v>
      </c>
      <c r="C376" s="109" t="s">
        <v>34</v>
      </c>
      <c r="D376" s="109" t="s">
        <v>31</v>
      </c>
      <c r="E376" s="109" t="s">
        <v>13</v>
      </c>
      <c r="F376" s="109" t="s">
        <v>42</v>
      </c>
      <c r="G376" s="109" t="s">
        <v>20</v>
      </c>
      <c r="H376" s="110">
        <v>45.66</v>
      </c>
      <c r="I376" s="109">
        <v>16</v>
      </c>
      <c r="J376" s="110">
        <v>730.56</v>
      </c>
    </row>
    <row r="377" spans="1:10" x14ac:dyDescent="0.25">
      <c r="A377" s="109" t="s">
        <v>413</v>
      </c>
      <c r="B377" s="112">
        <v>45798</v>
      </c>
      <c r="C377" s="109" t="s">
        <v>11</v>
      </c>
      <c r="D377" s="109" t="s">
        <v>55</v>
      </c>
      <c r="E377" s="109" t="s">
        <v>27</v>
      </c>
      <c r="F377" s="109" t="s">
        <v>42</v>
      </c>
      <c r="G377" s="109" t="s">
        <v>36</v>
      </c>
      <c r="H377" s="110">
        <v>100.17</v>
      </c>
      <c r="I377" s="109">
        <v>10</v>
      </c>
      <c r="J377" s="110">
        <v>1001.7</v>
      </c>
    </row>
    <row r="378" spans="1:10" x14ac:dyDescent="0.25">
      <c r="A378" s="109" t="s">
        <v>414</v>
      </c>
      <c r="B378" s="112">
        <v>45860</v>
      </c>
      <c r="C378" s="109" t="s">
        <v>30</v>
      </c>
      <c r="D378" s="109" t="s">
        <v>35</v>
      </c>
      <c r="E378" s="109" t="s">
        <v>45</v>
      </c>
      <c r="F378" s="109" t="s">
        <v>32</v>
      </c>
      <c r="G378" s="109" t="s">
        <v>20</v>
      </c>
      <c r="H378" s="110">
        <v>215.87</v>
      </c>
      <c r="I378" s="109">
        <v>12</v>
      </c>
      <c r="J378" s="110">
        <v>2590.44</v>
      </c>
    </row>
    <row r="379" spans="1:10" x14ac:dyDescent="0.25">
      <c r="A379" s="109" t="s">
        <v>415</v>
      </c>
      <c r="B379" s="112">
        <v>45698</v>
      </c>
      <c r="C379" s="109" t="s">
        <v>38</v>
      </c>
      <c r="D379" s="109" t="s">
        <v>12</v>
      </c>
      <c r="E379" s="109" t="s">
        <v>13</v>
      </c>
      <c r="F379" s="109" t="s">
        <v>28</v>
      </c>
      <c r="G379" s="109" t="s">
        <v>36</v>
      </c>
      <c r="H379" s="110">
        <v>35.119999999999997</v>
      </c>
      <c r="I379" s="109">
        <v>12</v>
      </c>
      <c r="J379" s="110">
        <v>421.44</v>
      </c>
    </row>
    <row r="380" spans="1:10" x14ac:dyDescent="0.25">
      <c r="A380" s="109" t="s">
        <v>416</v>
      </c>
      <c r="B380" s="112">
        <v>45767</v>
      </c>
      <c r="C380" s="109" t="s">
        <v>25</v>
      </c>
      <c r="D380" s="109" t="s">
        <v>35</v>
      </c>
      <c r="E380" s="109" t="s">
        <v>18</v>
      </c>
      <c r="F380" s="109" t="s">
        <v>28</v>
      </c>
      <c r="G380" s="109" t="s">
        <v>36</v>
      </c>
      <c r="H380" s="110">
        <v>209.18</v>
      </c>
      <c r="I380" s="109">
        <v>7</v>
      </c>
      <c r="J380" s="110">
        <v>1464.26</v>
      </c>
    </row>
    <row r="381" spans="1:10" x14ac:dyDescent="0.25">
      <c r="A381" s="109" t="s">
        <v>417</v>
      </c>
      <c r="B381" s="112">
        <v>45728</v>
      </c>
      <c r="C381" s="109" t="s">
        <v>25</v>
      </c>
      <c r="D381" s="109" t="s">
        <v>12</v>
      </c>
      <c r="E381" s="109" t="s">
        <v>18</v>
      </c>
      <c r="F381" s="109" t="s">
        <v>14</v>
      </c>
      <c r="G381" s="109" t="s">
        <v>15</v>
      </c>
      <c r="H381" s="110">
        <v>92.01</v>
      </c>
      <c r="I381" s="109">
        <v>4</v>
      </c>
      <c r="J381" s="110">
        <v>368.04</v>
      </c>
    </row>
    <row r="382" spans="1:10" x14ac:dyDescent="0.25">
      <c r="A382" s="109" t="s">
        <v>418</v>
      </c>
      <c r="B382" s="112">
        <v>45683</v>
      </c>
      <c r="C382" s="109" t="s">
        <v>30</v>
      </c>
      <c r="D382" s="109" t="s">
        <v>12</v>
      </c>
      <c r="E382" s="109" t="s">
        <v>23</v>
      </c>
      <c r="F382" s="109" t="s">
        <v>19</v>
      </c>
      <c r="G382" s="109" t="s">
        <v>15</v>
      </c>
      <c r="H382" s="110">
        <v>56</v>
      </c>
      <c r="I382" s="109">
        <v>17</v>
      </c>
      <c r="J382" s="110">
        <v>952</v>
      </c>
    </row>
    <row r="383" spans="1:10" x14ac:dyDescent="0.25">
      <c r="A383" s="109" t="s">
        <v>419</v>
      </c>
      <c r="B383" s="112">
        <v>45869</v>
      </c>
      <c r="C383" s="109" t="s">
        <v>17</v>
      </c>
      <c r="D383" s="109" t="s">
        <v>31</v>
      </c>
      <c r="E383" s="109" t="s">
        <v>45</v>
      </c>
      <c r="F383" s="109" t="s">
        <v>28</v>
      </c>
      <c r="G383" s="109" t="s">
        <v>15</v>
      </c>
      <c r="H383" s="110">
        <v>183.28</v>
      </c>
      <c r="I383" s="109">
        <v>11</v>
      </c>
      <c r="J383" s="110">
        <v>2016.08</v>
      </c>
    </row>
    <row r="384" spans="1:10" x14ac:dyDescent="0.25">
      <c r="A384" s="109" t="s">
        <v>420</v>
      </c>
      <c r="B384" s="112">
        <v>45660</v>
      </c>
      <c r="C384" s="109" t="s">
        <v>30</v>
      </c>
      <c r="D384" s="109" t="s">
        <v>31</v>
      </c>
      <c r="E384" s="109" t="s">
        <v>27</v>
      </c>
      <c r="F384" s="109" t="s">
        <v>61</v>
      </c>
      <c r="G384" s="109" t="s">
        <v>36</v>
      </c>
      <c r="H384" s="110">
        <v>168.37</v>
      </c>
      <c r="I384" s="109">
        <v>18</v>
      </c>
      <c r="J384" s="110">
        <v>3030.66</v>
      </c>
    </row>
    <row r="385" spans="1:10" x14ac:dyDescent="0.25">
      <c r="A385" s="109" t="s">
        <v>421</v>
      </c>
      <c r="B385" s="112">
        <v>45991</v>
      </c>
      <c r="C385" s="109" t="s">
        <v>34</v>
      </c>
      <c r="D385" s="109" t="s">
        <v>35</v>
      </c>
      <c r="E385" s="109" t="s">
        <v>13</v>
      </c>
      <c r="F385" s="109" t="s">
        <v>28</v>
      </c>
      <c r="G385" s="109" t="s">
        <v>15</v>
      </c>
      <c r="H385" s="110">
        <v>223.04</v>
      </c>
      <c r="I385" s="109">
        <v>7</v>
      </c>
      <c r="J385" s="110">
        <v>1561.28</v>
      </c>
    </row>
    <row r="386" spans="1:10" x14ac:dyDescent="0.25">
      <c r="A386" s="109" t="s">
        <v>422</v>
      </c>
      <c r="B386" s="112">
        <v>45703</v>
      </c>
      <c r="C386" s="109" t="s">
        <v>30</v>
      </c>
      <c r="D386" s="109" t="s">
        <v>55</v>
      </c>
      <c r="E386" s="109" t="s">
        <v>27</v>
      </c>
      <c r="F386" s="109" t="s">
        <v>28</v>
      </c>
      <c r="G386" s="109" t="s">
        <v>15</v>
      </c>
      <c r="H386" s="110">
        <v>191.72</v>
      </c>
      <c r="I386" s="109">
        <v>19</v>
      </c>
      <c r="J386" s="110">
        <v>3642.68</v>
      </c>
    </row>
    <row r="387" spans="1:10" x14ac:dyDescent="0.25">
      <c r="A387" s="109" t="s">
        <v>423</v>
      </c>
      <c r="B387" s="112">
        <v>45747</v>
      </c>
      <c r="C387" s="109" t="s">
        <v>30</v>
      </c>
      <c r="D387" s="109" t="s">
        <v>22</v>
      </c>
      <c r="E387" s="109" t="s">
        <v>41</v>
      </c>
      <c r="F387" s="109" t="s">
        <v>39</v>
      </c>
      <c r="G387" s="109" t="s">
        <v>36</v>
      </c>
      <c r="H387" s="110">
        <v>206.77</v>
      </c>
      <c r="I387" s="109">
        <v>14</v>
      </c>
      <c r="J387" s="110">
        <v>2894.78</v>
      </c>
    </row>
    <row r="388" spans="1:10" x14ac:dyDescent="0.25">
      <c r="A388" s="109" t="s">
        <v>424</v>
      </c>
      <c r="B388" s="112">
        <v>45753</v>
      </c>
      <c r="C388" s="109" t="s">
        <v>11</v>
      </c>
      <c r="D388" s="109" t="s">
        <v>22</v>
      </c>
      <c r="E388" s="109" t="s">
        <v>13</v>
      </c>
      <c r="F388" s="109" t="s">
        <v>42</v>
      </c>
      <c r="G388" s="109" t="s">
        <v>20</v>
      </c>
      <c r="H388" s="110">
        <v>92.05</v>
      </c>
      <c r="I388" s="109">
        <v>10</v>
      </c>
      <c r="J388" s="110">
        <v>920.5</v>
      </c>
    </row>
    <row r="389" spans="1:10" x14ac:dyDescent="0.25">
      <c r="A389" s="109" t="s">
        <v>425</v>
      </c>
      <c r="B389" s="112">
        <v>45712</v>
      </c>
      <c r="C389" s="109" t="s">
        <v>34</v>
      </c>
      <c r="D389" s="109" t="s">
        <v>31</v>
      </c>
      <c r="E389" s="109" t="s">
        <v>27</v>
      </c>
      <c r="F389" s="109" t="s">
        <v>42</v>
      </c>
      <c r="G389" s="109" t="s">
        <v>20</v>
      </c>
      <c r="H389" s="110">
        <v>69.040000000000006</v>
      </c>
      <c r="I389" s="109">
        <v>11</v>
      </c>
      <c r="J389" s="110">
        <v>759.44</v>
      </c>
    </row>
    <row r="390" spans="1:10" x14ac:dyDescent="0.25">
      <c r="A390" s="109" t="s">
        <v>426</v>
      </c>
      <c r="B390" s="112">
        <v>45910</v>
      </c>
      <c r="C390" s="109" t="s">
        <v>25</v>
      </c>
      <c r="D390" s="109" t="s">
        <v>31</v>
      </c>
      <c r="E390" s="109" t="s">
        <v>13</v>
      </c>
      <c r="F390" s="109" t="s">
        <v>14</v>
      </c>
      <c r="G390" s="109" t="s">
        <v>15</v>
      </c>
      <c r="H390" s="110">
        <v>195.14</v>
      </c>
      <c r="I390" s="109">
        <v>5</v>
      </c>
      <c r="J390" s="110">
        <v>975.7</v>
      </c>
    </row>
    <row r="391" spans="1:10" x14ac:dyDescent="0.25">
      <c r="A391" s="109" t="s">
        <v>427</v>
      </c>
      <c r="B391" s="112">
        <v>45827</v>
      </c>
      <c r="C391" s="109" t="s">
        <v>17</v>
      </c>
      <c r="D391" s="109" t="s">
        <v>31</v>
      </c>
      <c r="E391" s="109" t="s">
        <v>27</v>
      </c>
      <c r="F391" s="109" t="s">
        <v>32</v>
      </c>
      <c r="G391" s="109" t="s">
        <v>20</v>
      </c>
      <c r="H391" s="110">
        <v>207.5</v>
      </c>
      <c r="I391" s="109">
        <v>6</v>
      </c>
      <c r="J391" s="110">
        <v>1245</v>
      </c>
    </row>
    <row r="392" spans="1:10" x14ac:dyDescent="0.25">
      <c r="A392" s="109" t="s">
        <v>428</v>
      </c>
      <c r="B392" s="112">
        <v>45753</v>
      </c>
      <c r="C392" s="109" t="s">
        <v>17</v>
      </c>
      <c r="D392" s="109" t="s">
        <v>35</v>
      </c>
      <c r="E392" s="109" t="s">
        <v>13</v>
      </c>
      <c r="F392" s="109" t="s">
        <v>42</v>
      </c>
      <c r="G392" s="109" t="s">
        <v>20</v>
      </c>
      <c r="H392" s="110">
        <v>247.91</v>
      </c>
      <c r="I392" s="109">
        <v>1</v>
      </c>
      <c r="J392" s="110">
        <v>247.91</v>
      </c>
    </row>
    <row r="393" spans="1:10" x14ac:dyDescent="0.25">
      <c r="A393" s="109" t="s">
        <v>429</v>
      </c>
      <c r="B393" s="112">
        <v>45756</v>
      </c>
      <c r="C393" s="109" t="s">
        <v>25</v>
      </c>
      <c r="D393" s="109" t="s">
        <v>12</v>
      </c>
      <c r="E393" s="109" t="s">
        <v>41</v>
      </c>
      <c r="F393" s="109" t="s">
        <v>39</v>
      </c>
      <c r="G393" s="109" t="s">
        <v>36</v>
      </c>
      <c r="H393" s="110">
        <v>120.78</v>
      </c>
      <c r="I393" s="109">
        <v>6</v>
      </c>
      <c r="J393" s="110">
        <v>724.68</v>
      </c>
    </row>
    <row r="394" spans="1:10" x14ac:dyDescent="0.25">
      <c r="A394" s="109" t="s">
        <v>430</v>
      </c>
      <c r="B394" s="112">
        <v>45921</v>
      </c>
      <c r="C394" s="109" t="s">
        <v>11</v>
      </c>
      <c r="D394" s="109" t="s">
        <v>31</v>
      </c>
      <c r="E394" s="109" t="s">
        <v>27</v>
      </c>
      <c r="F394" s="109" t="s">
        <v>19</v>
      </c>
      <c r="G394" s="109" t="s">
        <v>15</v>
      </c>
      <c r="H394" s="110">
        <v>111.84</v>
      </c>
      <c r="I394" s="109">
        <v>11</v>
      </c>
      <c r="J394" s="110">
        <v>1230.24</v>
      </c>
    </row>
    <row r="395" spans="1:10" x14ac:dyDescent="0.25">
      <c r="A395" s="109" t="s">
        <v>431</v>
      </c>
      <c r="B395" s="112">
        <v>45729</v>
      </c>
      <c r="C395" s="109" t="s">
        <v>34</v>
      </c>
      <c r="D395" s="109" t="s">
        <v>26</v>
      </c>
      <c r="E395" s="109" t="s">
        <v>45</v>
      </c>
      <c r="F395" s="109" t="s">
        <v>32</v>
      </c>
      <c r="G395" s="109" t="s">
        <v>36</v>
      </c>
      <c r="H395" s="110">
        <v>200.81</v>
      </c>
      <c r="I395" s="109">
        <v>16</v>
      </c>
      <c r="J395" s="110">
        <v>3212.96</v>
      </c>
    </row>
    <row r="396" spans="1:10" x14ac:dyDescent="0.25">
      <c r="A396" s="109" t="s">
        <v>432</v>
      </c>
      <c r="B396" s="112">
        <v>45778</v>
      </c>
      <c r="C396" s="109" t="s">
        <v>34</v>
      </c>
      <c r="D396" s="109" t="s">
        <v>35</v>
      </c>
      <c r="E396" s="109" t="s">
        <v>13</v>
      </c>
      <c r="F396" s="109" t="s">
        <v>42</v>
      </c>
      <c r="G396" s="109" t="s">
        <v>20</v>
      </c>
      <c r="H396" s="110">
        <v>104.98</v>
      </c>
      <c r="I396" s="109">
        <v>15</v>
      </c>
      <c r="J396" s="110">
        <v>1574.7</v>
      </c>
    </row>
    <row r="397" spans="1:10" x14ac:dyDescent="0.25">
      <c r="A397" s="109" t="s">
        <v>433</v>
      </c>
      <c r="B397" s="112">
        <v>45951</v>
      </c>
      <c r="C397" s="109" t="s">
        <v>34</v>
      </c>
      <c r="D397" s="109" t="s">
        <v>12</v>
      </c>
      <c r="E397" s="109" t="s">
        <v>13</v>
      </c>
      <c r="F397" s="109" t="s">
        <v>28</v>
      </c>
      <c r="G397" s="109" t="s">
        <v>15</v>
      </c>
      <c r="H397" s="110">
        <v>234.77</v>
      </c>
      <c r="I397" s="109">
        <v>1</v>
      </c>
      <c r="J397" s="110">
        <v>234.77</v>
      </c>
    </row>
    <row r="398" spans="1:10" x14ac:dyDescent="0.25">
      <c r="A398" s="109" t="s">
        <v>434</v>
      </c>
      <c r="B398" s="112">
        <v>45689</v>
      </c>
      <c r="C398" s="109" t="s">
        <v>38</v>
      </c>
      <c r="D398" s="109" t="s">
        <v>35</v>
      </c>
      <c r="E398" s="109" t="s">
        <v>23</v>
      </c>
      <c r="F398" s="109" t="s">
        <v>61</v>
      </c>
      <c r="G398" s="109" t="s">
        <v>20</v>
      </c>
      <c r="H398" s="110">
        <v>218.85</v>
      </c>
      <c r="I398" s="109">
        <v>4</v>
      </c>
      <c r="J398" s="110">
        <v>875.4</v>
      </c>
    </row>
    <row r="399" spans="1:10" x14ac:dyDescent="0.25">
      <c r="A399" s="109" t="s">
        <v>435</v>
      </c>
      <c r="B399" s="112">
        <v>45915</v>
      </c>
      <c r="C399" s="109" t="s">
        <v>17</v>
      </c>
      <c r="D399" s="109" t="s">
        <v>22</v>
      </c>
      <c r="E399" s="109" t="s">
        <v>27</v>
      </c>
      <c r="F399" s="109" t="s">
        <v>32</v>
      </c>
      <c r="G399" s="109" t="s">
        <v>36</v>
      </c>
      <c r="H399" s="110">
        <v>124.38</v>
      </c>
      <c r="I399" s="109">
        <v>10</v>
      </c>
      <c r="J399" s="110">
        <v>1243.8</v>
      </c>
    </row>
    <row r="400" spans="1:10" x14ac:dyDescent="0.25">
      <c r="A400" s="109" t="s">
        <v>436</v>
      </c>
      <c r="B400" s="112">
        <v>45972</v>
      </c>
      <c r="C400" s="109" t="s">
        <v>30</v>
      </c>
      <c r="D400" s="109" t="s">
        <v>26</v>
      </c>
      <c r="E400" s="109" t="s">
        <v>41</v>
      </c>
      <c r="F400" s="109" t="s">
        <v>14</v>
      </c>
      <c r="G400" s="109" t="s">
        <v>36</v>
      </c>
      <c r="H400" s="110">
        <v>195.19</v>
      </c>
      <c r="I400" s="109">
        <v>8</v>
      </c>
      <c r="J400" s="110">
        <v>1561.52</v>
      </c>
    </row>
    <row r="401" spans="1:10" x14ac:dyDescent="0.25">
      <c r="A401" s="109" t="s">
        <v>437</v>
      </c>
      <c r="B401" s="112">
        <v>45968</v>
      </c>
      <c r="C401" s="109" t="s">
        <v>38</v>
      </c>
      <c r="D401" s="109" t="s">
        <v>12</v>
      </c>
      <c r="E401" s="109" t="s">
        <v>18</v>
      </c>
      <c r="F401" s="109" t="s">
        <v>61</v>
      </c>
      <c r="G401" s="109" t="s">
        <v>20</v>
      </c>
      <c r="H401" s="110">
        <v>196</v>
      </c>
      <c r="I401" s="109">
        <v>12</v>
      </c>
      <c r="J401" s="110">
        <v>2352</v>
      </c>
    </row>
    <row r="402" spans="1:10" x14ac:dyDescent="0.25">
      <c r="A402" s="109" t="s">
        <v>438</v>
      </c>
      <c r="B402" s="112">
        <v>45998</v>
      </c>
      <c r="C402" s="109" t="s">
        <v>30</v>
      </c>
      <c r="D402" s="109" t="s">
        <v>12</v>
      </c>
      <c r="E402" s="109" t="s">
        <v>18</v>
      </c>
      <c r="F402" s="109" t="s">
        <v>39</v>
      </c>
      <c r="G402" s="109" t="s">
        <v>15</v>
      </c>
      <c r="H402" s="110">
        <v>52.69</v>
      </c>
      <c r="I402" s="109">
        <v>7</v>
      </c>
      <c r="J402" s="110">
        <v>368.83</v>
      </c>
    </row>
    <row r="403" spans="1:10" x14ac:dyDescent="0.25">
      <c r="A403" s="109" t="s">
        <v>439</v>
      </c>
      <c r="B403" s="112">
        <v>45927</v>
      </c>
      <c r="C403" s="109" t="s">
        <v>25</v>
      </c>
      <c r="D403" s="109" t="s">
        <v>12</v>
      </c>
      <c r="E403" s="109" t="s">
        <v>13</v>
      </c>
      <c r="F403" s="109" t="s">
        <v>19</v>
      </c>
      <c r="G403" s="109" t="s">
        <v>20</v>
      </c>
      <c r="H403" s="110">
        <v>228.56</v>
      </c>
      <c r="I403" s="109">
        <v>15</v>
      </c>
      <c r="J403" s="110">
        <v>3428.4</v>
      </c>
    </row>
    <row r="404" spans="1:10" x14ac:dyDescent="0.25">
      <c r="A404" s="109" t="s">
        <v>440</v>
      </c>
      <c r="B404" s="112">
        <v>45715</v>
      </c>
      <c r="C404" s="109" t="s">
        <v>25</v>
      </c>
      <c r="D404" s="109" t="s">
        <v>55</v>
      </c>
      <c r="E404" s="109" t="s">
        <v>23</v>
      </c>
      <c r="F404" s="109" t="s">
        <v>42</v>
      </c>
      <c r="G404" s="109" t="s">
        <v>20</v>
      </c>
      <c r="H404" s="110">
        <v>141.16</v>
      </c>
      <c r="I404" s="109">
        <v>2</v>
      </c>
      <c r="J404" s="110">
        <v>282.32</v>
      </c>
    </row>
    <row r="405" spans="1:10" x14ac:dyDescent="0.25">
      <c r="A405" s="109" t="s">
        <v>441</v>
      </c>
      <c r="B405" s="112">
        <v>45734</v>
      </c>
      <c r="C405" s="109" t="s">
        <v>34</v>
      </c>
      <c r="D405" s="109" t="s">
        <v>55</v>
      </c>
      <c r="E405" s="109" t="s">
        <v>41</v>
      </c>
      <c r="F405" s="109" t="s">
        <v>19</v>
      </c>
      <c r="G405" s="109" t="s">
        <v>20</v>
      </c>
      <c r="H405" s="110">
        <v>211.82</v>
      </c>
      <c r="I405" s="109">
        <v>6</v>
      </c>
      <c r="J405" s="110">
        <v>1270.92</v>
      </c>
    </row>
    <row r="406" spans="1:10" x14ac:dyDescent="0.25">
      <c r="A406" s="109" t="s">
        <v>442</v>
      </c>
      <c r="B406" s="112">
        <v>45763</v>
      </c>
      <c r="C406" s="109" t="s">
        <v>38</v>
      </c>
      <c r="D406" s="109" t="s">
        <v>22</v>
      </c>
      <c r="E406" s="109" t="s">
        <v>18</v>
      </c>
      <c r="F406" s="109" t="s">
        <v>61</v>
      </c>
      <c r="G406" s="109" t="s">
        <v>15</v>
      </c>
      <c r="H406" s="110">
        <v>100.41</v>
      </c>
      <c r="I406" s="109">
        <v>19</v>
      </c>
      <c r="J406" s="110">
        <v>1907.79</v>
      </c>
    </row>
    <row r="407" spans="1:10" x14ac:dyDescent="0.25">
      <c r="A407" s="109" t="s">
        <v>443</v>
      </c>
      <c r="B407" s="112">
        <v>45890</v>
      </c>
      <c r="C407" s="109" t="s">
        <v>25</v>
      </c>
      <c r="D407" s="109" t="s">
        <v>31</v>
      </c>
      <c r="E407" s="109" t="s">
        <v>41</v>
      </c>
      <c r="F407" s="109" t="s">
        <v>42</v>
      </c>
      <c r="G407" s="109" t="s">
        <v>15</v>
      </c>
      <c r="H407" s="110">
        <v>227.02</v>
      </c>
      <c r="I407" s="109">
        <v>5</v>
      </c>
      <c r="J407" s="110">
        <v>1135.0999999999999</v>
      </c>
    </row>
    <row r="408" spans="1:10" x14ac:dyDescent="0.25">
      <c r="A408" s="109" t="s">
        <v>444</v>
      </c>
      <c r="B408" s="112">
        <v>45944</v>
      </c>
      <c r="C408" s="109" t="s">
        <v>17</v>
      </c>
      <c r="D408" s="109" t="s">
        <v>35</v>
      </c>
      <c r="E408" s="109" t="s">
        <v>27</v>
      </c>
      <c r="F408" s="109" t="s">
        <v>19</v>
      </c>
      <c r="G408" s="109" t="s">
        <v>36</v>
      </c>
      <c r="H408" s="110">
        <v>115.62</v>
      </c>
      <c r="I408" s="109">
        <v>15</v>
      </c>
      <c r="J408" s="110">
        <v>1734.3</v>
      </c>
    </row>
    <row r="409" spans="1:10" x14ac:dyDescent="0.25">
      <c r="A409" s="109" t="s">
        <v>445</v>
      </c>
      <c r="B409" s="112">
        <v>45788</v>
      </c>
      <c r="C409" s="109" t="s">
        <v>17</v>
      </c>
      <c r="D409" s="109" t="s">
        <v>26</v>
      </c>
      <c r="E409" s="109" t="s">
        <v>18</v>
      </c>
      <c r="F409" s="109" t="s">
        <v>19</v>
      </c>
      <c r="G409" s="109" t="s">
        <v>15</v>
      </c>
      <c r="H409" s="110">
        <v>32.380000000000003</v>
      </c>
      <c r="I409" s="109">
        <v>1</v>
      </c>
      <c r="J409" s="110">
        <v>32.380000000000003</v>
      </c>
    </row>
    <row r="410" spans="1:10" x14ac:dyDescent="0.25">
      <c r="A410" s="109" t="s">
        <v>446</v>
      </c>
      <c r="B410" s="112">
        <v>45874</v>
      </c>
      <c r="C410" s="109" t="s">
        <v>17</v>
      </c>
      <c r="D410" s="109" t="s">
        <v>22</v>
      </c>
      <c r="E410" s="109" t="s">
        <v>18</v>
      </c>
      <c r="F410" s="109" t="s">
        <v>19</v>
      </c>
      <c r="G410" s="109" t="s">
        <v>15</v>
      </c>
      <c r="H410" s="110">
        <v>229.18</v>
      </c>
      <c r="I410" s="109">
        <v>12</v>
      </c>
      <c r="J410" s="110">
        <v>2750.16</v>
      </c>
    </row>
    <row r="411" spans="1:10" x14ac:dyDescent="0.25">
      <c r="A411" s="109" t="s">
        <v>447</v>
      </c>
      <c r="B411" s="112">
        <v>45899</v>
      </c>
      <c r="C411" s="109" t="s">
        <v>34</v>
      </c>
      <c r="D411" s="109" t="s">
        <v>31</v>
      </c>
      <c r="E411" s="109" t="s">
        <v>23</v>
      </c>
      <c r="F411" s="109" t="s">
        <v>39</v>
      </c>
      <c r="G411" s="109" t="s">
        <v>15</v>
      </c>
      <c r="H411" s="110">
        <v>50.08</v>
      </c>
      <c r="I411" s="109">
        <v>2</v>
      </c>
      <c r="J411" s="110">
        <v>100.16</v>
      </c>
    </row>
    <row r="412" spans="1:10" x14ac:dyDescent="0.25">
      <c r="A412" s="109" t="s">
        <v>448</v>
      </c>
      <c r="B412" s="112">
        <v>45986</v>
      </c>
      <c r="C412" s="109" t="s">
        <v>34</v>
      </c>
      <c r="D412" s="109" t="s">
        <v>31</v>
      </c>
      <c r="E412" s="109" t="s">
        <v>41</v>
      </c>
      <c r="F412" s="109" t="s">
        <v>39</v>
      </c>
      <c r="G412" s="109" t="s">
        <v>36</v>
      </c>
      <c r="H412" s="110">
        <v>100.25</v>
      </c>
      <c r="I412" s="109">
        <v>14</v>
      </c>
      <c r="J412" s="110">
        <v>1403.5</v>
      </c>
    </row>
    <row r="413" spans="1:10" x14ac:dyDescent="0.25">
      <c r="A413" s="109" t="s">
        <v>449</v>
      </c>
      <c r="B413" s="112">
        <v>45850</v>
      </c>
      <c r="C413" s="109" t="s">
        <v>17</v>
      </c>
      <c r="D413" s="109" t="s">
        <v>12</v>
      </c>
      <c r="E413" s="109" t="s">
        <v>18</v>
      </c>
      <c r="F413" s="109" t="s">
        <v>14</v>
      </c>
      <c r="G413" s="109" t="s">
        <v>20</v>
      </c>
      <c r="H413" s="110">
        <v>239.01</v>
      </c>
      <c r="I413" s="109">
        <v>3</v>
      </c>
      <c r="J413" s="110">
        <v>717.03</v>
      </c>
    </row>
    <row r="414" spans="1:10" x14ac:dyDescent="0.25">
      <c r="A414" s="109" t="s">
        <v>450</v>
      </c>
      <c r="B414" s="112">
        <v>45836</v>
      </c>
      <c r="C414" s="109" t="s">
        <v>30</v>
      </c>
      <c r="D414" s="109" t="s">
        <v>55</v>
      </c>
      <c r="E414" s="109" t="s">
        <v>41</v>
      </c>
      <c r="F414" s="109" t="s">
        <v>42</v>
      </c>
      <c r="G414" s="109" t="s">
        <v>15</v>
      </c>
      <c r="H414" s="110">
        <v>239.13</v>
      </c>
      <c r="I414" s="109">
        <v>4</v>
      </c>
      <c r="J414" s="110">
        <v>956.52</v>
      </c>
    </row>
    <row r="415" spans="1:10" x14ac:dyDescent="0.25">
      <c r="A415" s="109" t="s">
        <v>451</v>
      </c>
      <c r="B415" s="112">
        <v>45772</v>
      </c>
      <c r="C415" s="109" t="s">
        <v>11</v>
      </c>
      <c r="D415" s="109" t="s">
        <v>35</v>
      </c>
      <c r="E415" s="109" t="s">
        <v>41</v>
      </c>
      <c r="F415" s="109" t="s">
        <v>28</v>
      </c>
      <c r="G415" s="109" t="s">
        <v>20</v>
      </c>
      <c r="H415" s="110">
        <v>156.16</v>
      </c>
      <c r="I415" s="109">
        <v>1</v>
      </c>
      <c r="J415" s="110">
        <v>156.16</v>
      </c>
    </row>
    <row r="416" spans="1:10" x14ac:dyDescent="0.25">
      <c r="A416" s="109" t="s">
        <v>452</v>
      </c>
      <c r="B416" s="112">
        <v>45936</v>
      </c>
      <c r="C416" s="109" t="s">
        <v>25</v>
      </c>
      <c r="D416" s="109" t="s">
        <v>31</v>
      </c>
      <c r="E416" s="109" t="s">
        <v>23</v>
      </c>
      <c r="F416" s="109" t="s">
        <v>14</v>
      </c>
      <c r="G416" s="109" t="s">
        <v>36</v>
      </c>
      <c r="H416" s="110">
        <v>169</v>
      </c>
      <c r="I416" s="109">
        <v>14</v>
      </c>
      <c r="J416" s="110">
        <v>2366</v>
      </c>
    </row>
    <row r="417" spans="1:10" x14ac:dyDescent="0.25">
      <c r="A417" s="109" t="s">
        <v>453</v>
      </c>
      <c r="B417" s="112">
        <v>45835</v>
      </c>
      <c r="C417" s="109" t="s">
        <v>34</v>
      </c>
      <c r="D417" s="109" t="s">
        <v>26</v>
      </c>
      <c r="E417" s="109" t="s">
        <v>27</v>
      </c>
      <c r="F417" s="109" t="s">
        <v>39</v>
      </c>
      <c r="G417" s="109" t="s">
        <v>15</v>
      </c>
      <c r="H417" s="110">
        <v>128.66</v>
      </c>
      <c r="I417" s="109">
        <v>5</v>
      </c>
      <c r="J417" s="110">
        <v>643.29999999999995</v>
      </c>
    </row>
    <row r="418" spans="1:10" x14ac:dyDescent="0.25">
      <c r="A418" s="109" t="s">
        <v>454</v>
      </c>
      <c r="B418" s="112">
        <v>45674</v>
      </c>
      <c r="C418" s="109" t="s">
        <v>25</v>
      </c>
      <c r="D418" s="109" t="s">
        <v>22</v>
      </c>
      <c r="E418" s="109" t="s">
        <v>23</v>
      </c>
      <c r="F418" s="109" t="s">
        <v>14</v>
      </c>
      <c r="G418" s="109" t="s">
        <v>15</v>
      </c>
      <c r="H418" s="110">
        <v>94.51</v>
      </c>
      <c r="I418" s="109">
        <v>14</v>
      </c>
      <c r="J418" s="110">
        <v>1323.14</v>
      </c>
    </row>
    <row r="419" spans="1:10" x14ac:dyDescent="0.25">
      <c r="A419" s="109" t="s">
        <v>455</v>
      </c>
      <c r="B419" s="112">
        <v>45709</v>
      </c>
      <c r="C419" s="109" t="s">
        <v>11</v>
      </c>
      <c r="D419" s="109" t="s">
        <v>31</v>
      </c>
      <c r="E419" s="109" t="s">
        <v>18</v>
      </c>
      <c r="F419" s="109" t="s">
        <v>28</v>
      </c>
      <c r="G419" s="109" t="s">
        <v>20</v>
      </c>
      <c r="H419" s="110">
        <v>102.31</v>
      </c>
      <c r="I419" s="109">
        <v>20</v>
      </c>
      <c r="J419" s="110">
        <v>2046.2</v>
      </c>
    </row>
    <row r="420" spans="1:10" x14ac:dyDescent="0.25">
      <c r="A420" s="109" t="s">
        <v>456</v>
      </c>
      <c r="B420" s="112">
        <v>45682</v>
      </c>
      <c r="C420" s="109" t="s">
        <v>17</v>
      </c>
      <c r="D420" s="109" t="s">
        <v>22</v>
      </c>
      <c r="E420" s="109" t="s">
        <v>41</v>
      </c>
      <c r="F420" s="109" t="s">
        <v>61</v>
      </c>
      <c r="G420" s="109" t="s">
        <v>15</v>
      </c>
      <c r="H420" s="110">
        <v>177.95</v>
      </c>
      <c r="I420" s="109">
        <v>8</v>
      </c>
      <c r="J420" s="110">
        <v>1423.6</v>
      </c>
    </row>
    <row r="421" spans="1:10" x14ac:dyDescent="0.25">
      <c r="A421" s="109" t="s">
        <v>457</v>
      </c>
      <c r="B421" s="112">
        <v>45934</v>
      </c>
      <c r="C421" s="109" t="s">
        <v>11</v>
      </c>
      <c r="D421" s="109" t="s">
        <v>26</v>
      </c>
      <c r="E421" s="109" t="s">
        <v>18</v>
      </c>
      <c r="F421" s="109" t="s">
        <v>32</v>
      </c>
      <c r="G421" s="109" t="s">
        <v>15</v>
      </c>
      <c r="H421" s="110">
        <v>195.52</v>
      </c>
      <c r="I421" s="109">
        <v>7</v>
      </c>
      <c r="J421" s="110">
        <v>1368.64</v>
      </c>
    </row>
    <row r="422" spans="1:10" x14ac:dyDescent="0.25">
      <c r="A422" s="109" t="s">
        <v>458</v>
      </c>
      <c r="B422" s="112">
        <v>45952</v>
      </c>
      <c r="C422" s="109" t="s">
        <v>25</v>
      </c>
      <c r="D422" s="109" t="s">
        <v>55</v>
      </c>
      <c r="E422" s="109" t="s">
        <v>27</v>
      </c>
      <c r="F422" s="109" t="s">
        <v>39</v>
      </c>
      <c r="G422" s="109" t="s">
        <v>36</v>
      </c>
      <c r="H422" s="110">
        <v>204.15</v>
      </c>
      <c r="I422" s="109">
        <v>11</v>
      </c>
      <c r="J422" s="110">
        <v>2245.65</v>
      </c>
    </row>
    <row r="423" spans="1:10" x14ac:dyDescent="0.25">
      <c r="A423" s="109" t="s">
        <v>459</v>
      </c>
      <c r="B423" s="112">
        <v>45779</v>
      </c>
      <c r="C423" s="109" t="s">
        <v>30</v>
      </c>
      <c r="D423" s="109" t="s">
        <v>12</v>
      </c>
      <c r="E423" s="109" t="s">
        <v>18</v>
      </c>
      <c r="F423" s="109" t="s">
        <v>14</v>
      </c>
      <c r="G423" s="109" t="s">
        <v>36</v>
      </c>
      <c r="H423" s="110">
        <v>203.72</v>
      </c>
      <c r="I423" s="109">
        <v>10</v>
      </c>
      <c r="J423" s="110">
        <v>2037.2</v>
      </c>
    </row>
    <row r="424" spans="1:10" x14ac:dyDescent="0.25">
      <c r="A424" s="109" t="s">
        <v>460</v>
      </c>
      <c r="B424" s="112">
        <v>45811</v>
      </c>
      <c r="C424" s="109" t="s">
        <v>11</v>
      </c>
      <c r="D424" s="109" t="s">
        <v>55</v>
      </c>
      <c r="E424" s="109" t="s">
        <v>18</v>
      </c>
      <c r="F424" s="109" t="s">
        <v>28</v>
      </c>
      <c r="G424" s="109" t="s">
        <v>15</v>
      </c>
      <c r="H424" s="110">
        <v>50.07</v>
      </c>
      <c r="I424" s="109">
        <v>9</v>
      </c>
      <c r="J424" s="110">
        <v>450.63</v>
      </c>
    </row>
    <row r="425" spans="1:10" x14ac:dyDescent="0.25">
      <c r="A425" s="109" t="s">
        <v>461</v>
      </c>
      <c r="B425" s="112">
        <v>45978</v>
      </c>
      <c r="C425" s="109" t="s">
        <v>25</v>
      </c>
      <c r="D425" s="109" t="s">
        <v>31</v>
      </c>
      <c r="E425" s="109" t="s">
        <v>45</v>
      </c>
      <c r="F425" s="109" t="s">
        <v>32</v>
      </c>
      <c r="G425" s="109" t="s">
        <v>20</v>
      </c>
      <c r="H425" s="110">
        <v>138.77000000000001</v>
      </c>
      <c r="I425" s="109">
        <v>14</v>
      </c>
      <c r="J425" s="110">
        <v>1942.78</v>
      </c>
    </row>
    <row r="426" spans="1:10" x14ac:dyDescent="0.25">
      <c r="A426" s="109" t="s">
        <v>462</v>
      </c>
      <c r="B426" s="112">
        <v>46001</v>
      </c>
      <c r="C426" s="109" t="s">
        <v>25</v>
      </c>
      <c r="D426" s="109" t="s">
        <v>35</v>
      </c>
      <c r="E426" s="109" t="s">
        <v>27</v>
      </c>
      <c r="F426" s="109" t="s">
        <v>61</v>
      </c>
      <c r="G426" s="109" t="s">
        <v>36</v>
      </c>
      <c r="H426" s="110">
        <v>42.66</v>
      </c>
      <c r="I426" s="109">
        <v>13</v>
      </c>
      <c r="J426" s="110">
        <v>554.58000000000004</v>
      </c>
    </row>
    <row r="427" spans="1:10" x14ac:dyDescent="0.25">
      <c r="A427" s="109" t="s">
        <v>463</v>
      </c>
      <c r="B427" s="112">
        <v>45734</v>
      </c>
      <c r="C427" s="109" t="s">
        <v>38</v>
      </c>
      <c r="D427" s="109" t="s">
        <v>26</v>
      </c>
      <c r="E427" s="109" t="s">
        <v>18</v>
      </c>
      <c r="F427" s="109" t="s">
        <v>61</v>
      </c>
      <c r="G427" s="109" t="s">
        <v>15</v>
      </c>
      <c r="H427" s="110">
        <v>150.9</v>
      </c>
      <c r="I427" s="109">
        <v>10</v>
      </c>
      <c r="J427" s="110">
        <v>1509</v>
      </c>
    </row>
    <row r="428" spans="1:10" x14ac:dyDescent="0.25">
      <c r="A428" s="109" t="s">
        <v>464</v>
      </c>
      <c r="B428" s="112">
        <v>45773</v>
      </c>
      <c r="C428" s="109" t="s">
        <v>17</v>
      </c>
      <c r="D428" s="109" t="s">
        <v>26</v>
      </c>
      <c r="E428" s="109" t="s">
        <v>41</v>
      </c>
      <c r="F428" s="109" t="s">
        <v>19</v>
      </c>
      <c r="G428" s="109" t="s">
        <v>20</v>
      </c>
      <c r="H428" s="110">
        <v>127.14</v>
      </c>
      <c r="I428" s="109">
        <v>10</v>
      </c>
      <c r="J428" s="110">
        <v>1271.4000000000001</v>
      </c>
    </row>
    <row r="429" spans="1:10" x14ac:dyDescent="0.25">
      <c r="A429" s="109" t="s">
        <v>465</v>
      </c>
      <c r="B429" s="112">
        <v>45869</v>
      </c>
      <c r="C429" s="109" t="s">
        <v>25</v>
      </c>
      <c r="D429" s="109" t="s">
        <v>55</v>
      </c>
      <c r="E429" s="109" t="s">
        <v>23</v>
      </c>
      <c r="F429" s="109" t="s">
        <v>61</v>
      </c>
      <c r="G429" s="109" t="s">
        <v>15</v>
      </c>
      <c r="H429" s="110">
        <v>225.29</v>
      </c>
      <c r="I429" s="109">
        <v>14</v>
      </c>
      <c r="J429" s="110">
        <v>3154.06</v>
      </c>
    </row>
    <row r="430" spans="1:10" x14ac:dyDescent="0.25">
      <c r="A430" s="109" t="s">
        <v>466</v>
      </c>
      <c r="B430" s="112">
        <v>45788</v>
      </c>
      <c r="C430" s="109" t="s">
        <v>34</v>
      </c>
      <c r="D430" s="109" t="s">
        <v>12</v>
      </c>
      <c r="E430" s="109" t="s">
        <v>45</v>
      </c>
      <c r="F430" s="109" t="s">
        <v>61</v>
      </c>
      <c r="G430" s="109" t="s">
        <v>36</v>
      </c>
      <c r="H430" s="110">
        <v>107.2</v>
      </c>
      <c r="I430" s="109">
        <v>7</v>
      </c>
      <c r="J430" s="110">
        <v>750.4</v>
      </c>
    </row>
    <row r="431" spans="1:10" x14ac:dyDescent="0.25">
      <c r="A431" s="109" t="s">
        <v>467</v>
      </c>
      <c r="B431" s="112">
        <v>45705</v>
      </c>
      <c r="C431" s="109" t="s">
        <v>17</v>
      </c>
      <c r="D431" s="109" t="s">
        <v>26</v>
      </c>
      <c r="E431" s="109" t="s">
        <v>45</v>
      </c>
      <c r="F431" s="109" t="s">
        <v>32</v>
      </c>
      <c r="G431" s="109" t="s">
        <v>36</v>
      </c>
      <c r="H431" s="110">
        <v>55.75</v>
      </c>
      <c r="I431" s="109">
        <v>18</v>
      </c>
      <c r="J431" s="110">
        <v>1003.5</v>
      </c>
    </row>
    <row r="432" spans="1:10" x14ac:dyDescent="0.25">
      <c r="A432" s="109" t="s">
        <v>468</v>
      </c>
      <c r="B432" s="112">
        <v>46002</v>
      </c>
      <c r="C432" s="109" t="s">
        <v>25</v>
      </c>
      <c r="D432" s="109" t="s">
        <v>22</v>
      </c>
      <c r="E432" s="109" t="s">
        <v>45</v>
      </c>
      <c r="F432" s="109" t="s">
        <v>14</v>
      </c>
      <c r="G432" s="109" t="s">
        <v>20</v>
      </c>
      <c r="H432" s="110">
        <v>61.46</v>
      </c>
      <c r="I432" s="109">
        <v>20</v>
      </c>
      <c r="J432" s="110">
        <v>1229.2</v>
      </c>
    </row>
    <row r="433" spans="1:10" x14ac:dyDescent="0.25">
      <c r="A433" s="109" t="s">
        <v>469</v>
      </c>
      <c r="B433" s="112">
        <v>46001</v>
      </c>
      <c r="C433" s="109" t="s">
        <v>30</v>
      </c>
      <c r="D433" s="109" t="s">
        <v>31</v>
      </c>
      <c r="E433" s="109" t="s">
        <v>23</v>
      </c>
      <c r="F433" s="109" t="s">
        <v>39</v>
      </c>
      <c r="G433" s="109" t="s">
        <v>36</v>
      </c>
      <c r="H433" s="110">
        <v>197.53</v>
      </c>
      <c r="I433" s="109">
        <v>18</v>
      </c>
      <c r="J433" s="110">
        <v>3555.54</v>
      </c>
    </row>
    <row r="434" spans="1:10" x14ac:dyDescent="0.25">
      <c r="A434" s="109" t="s">
        <v>470</v>
      </c>
      <c r="B434" s="112">
        <v>45813</v>
      </c>
      <c r="C434" s="109" t="s">
        <v>30</v>
      </c>
      <c r="D434" s="109" t="s">
        <v>26</v>
      </c>
      <c r="E434" s="109" t="s">
        <v>27</v>
      </c>
      <c r="F434" s="109" t="s">
        <v>19</v>
      </c>
      <c r="G434" s="109" t="s">
        <v>20</v>
      </c>
      <c r="H434" s="110">
        <v>166.01</v>
      </c>
      <c r="I434" s="109">
        <v>1</v>
      </c>
      <c r="J434" s="110">
        <v>166.01</v>
      </c>
    </row>
    <row r="435" spans="1:10" x14ac:dyDescent="0.25">
      <c r="A435" s="109" t="s">
        <v>471</v>
      </c>
      <c r="B435" s="112">
        <v>45903</v>
      </c>
      <c r="C435" s="109" t="s">
        <v>17</v>
      </c>
      <c r="D435" s="109" t="s">
        <v>55</v>
      </c>
      <c r="E435" s="109" t="s">
        <v>27</v>
      </c>
      <c r="F435" s="109" t="s">
        <v>14</v>
      </c>
      <c r="G435" s="109" t="s">
        <v>36</v>
      </c>
      <c r="H435" s="110">
        <v>52.25</v>
      </c>
      <c r="I435" s="109">
        <v>8</v>
      </c>
      <c r="J435" s="110">
        <v>418</v>
      </c>
    </row>
    <row r="436" spans="1:10" x14ac:dyDescent="0.25">
      <c r="A436" s="109" t="s">
        <v>472</v>
      </c>
      <c r="B436" s="112">
        <v>45780</v>
      </c>
      <c r="C436" s="109" t="s">
        <v>34</v>
      </c>
      <c r="D436" s="109" t="s">
        <v>35</v>
      </c>
      <c r="E436" s="109" t="s">
        <v>41</v>
      </c>
      <c r="F436" s="109" t="s">
        <v>61</v>
      </c>
      <c r="G436" s="109" t="s">
        <v>20</v>
      </c>
      <c r="H436" s="110">
        <v>48.5</v>
      </c>
      <c r="I436" s="109">
        <v>18</v>
      </c>
      <c r="J436" s="110">
        <v>873</v>
      </c>
    </row>
    <row r="437" spans="1:10" x14ac:dyDescent="0.25">
      <c r="A437" s="109" t="s">
        <v>473</v>
      </c>
      <c r="B437" s="112">
        <v>45990</v>
      </c>
      <c r="C437" s="109" t="s">
        <v>34</v>
      </c>
      <c r="D437" s="109" t="s">
        <v>35</v>
      </c>
      <c r="E437" s="109" t="s">
        <v>13</v>
      </c>
      <c r="F437" s="109" t="s">
        <v>42</v>
      </c>
      <c r="G437" s="109" t="s">
        <v>36</v>
      </c>
      <c r="H437" s="110">
        <v>184.21</v>
      </c>
      <c r="I437" s="109">
        <v>12</v>
      </c>
      <c r="J437" s="110">
        <v>2210.52</v>
      </c>
    </row>
    <row r="438" spans="1:10" x14ac:dyDescent="0.25">
      <c r="A438" s="109" t="s">
        <v>474</v>
      </c>
      <c r="B438" s="112">
        <v>45896</v>
      </c>
      <c r="C438" s="109" t="s">
        <v>17</v>
      </c>
      <c r="D438" s="109" t="s">
        <v>31</v>
      </c>
      <c r="E438" s="109" t="s">
        <v>13</v>
      </c>
      <c r="F438" s="109" t="s">
        <v>14</v>
      </c>
      <c r="G438" s="109" t="s">
        <v>36</v>
      </c>
      <c r="H438" s="110">
        <v>46.01</v>
      </c>
      <c r="I438" s="109">
        <v>4</v>
      </c>
      <c r="J438" s="110">
        <v>184.04</v>
      </c>
    </row>
    <row r="439" spans="1:10" x14ac:dyDescent="0.25">
      <c r="A439" s="109" t="s">
        <v>475</v>
      </c>
      <c r="B439" s="112">
        <v>45818</v>
      </c>
      <c r="C439" s="109" t="s">
        <v>11</v>
      </c>
      <c r="D439" s="109" t="s">
        <v>55</v>
      </c>
      <c r="E439" s="109" t="s">
        <v>23</v>
      </c>
      <c r="F439" s="109" t="s">
        <v>28</v>
      </c>
      <c r="G439" s="109" t="s">
        <v>15</v>
      </c>
      <c r="H439" s="110">
        <v>210.81</v>
      </c>
      <c r="I439" s="109">
        <v>14</v>
      </c>
      <c r="J439" s="110">
        <v>2951.34</v>
      </c>
    </row>
    <row r="440" spans="1:10" x14ac:dyDescent="0.25">
      <c r="A440" s="109" t="s">
        <v>476</v>
      </c>
      <c r="B440" s="112">
        <v>45666</v>
      </c>
      <c r="C440" s="109" t="s">
        <v>25</v>
      </c>
      <c r="D440" s="109" t="s">
        <v>55</v>
      </c>
      <c r="E440" s="109" t="s">
        <v>18</v>
      </c>
      <c r="F440" s="109" t="s">
        <v>28</v>
      </c>
      <c r="G440" s="109" t="s">
        <v>36</v>
      </c>
      <c r="H440" s="110">
        <v>185.37</v>
      </c>
      <c r="I440" s="109">
        <v>9</v>
      </c>
      <c r="J440" s="110">
        <v>1668.33</v>
      </c>
    </row>
    <row r="441" spans="1:10" x14ac:dyDescent="0.25">
      <c r="A441" s="109" t="s">
        <v>477</v>
      </c>
      <c r="B441" s="112">
        <v>45809</v>
      </c>
      <c r="C441" s="109" t="s">
        <v>30</v>
      </c>
      <c r="D441" s="109" t="s">
        <v>35</v>
      </c>
      <c r="E441" s="109" t="s">
        <v>23</v>
      </c>
      <c r="F441" s="109" t="s">
        <v>61</v>
      </c>
      <c r="G441" s="109" t="s">
        <v>20</v>
      </c>
      <c r="H441" s="110">
        <v>47.9</v>
      </c>
      <c r="I441" s="109">
        <v>5</v>
      </c>
      <c r="J441" s="110">
        <v>239.5</v>
      </c>
    </row>
    <row r="442" spans="1:10" x14ac:dyDescent="0.25">
      <c r="A442" s="109" t="s">
        <v>478</v>
      </c>
      <c r="B442" s="112">
        <v>45783</v>
      </c>
      <c r="C442" s="109" t="s">
        <v>25</v>
      </c>
      <c r="D442" s="109" t="s">
        <v>12</v>
      </c>
      <c r="E442" s="109" t="s">
        <v>27</v>
      </c>
      <c r="F442" s="109" t="s">
        <v>32</v>
      </c>
      <c r="G442" s="109" t="s">
        <v>36</v>
      </c>
      <c r="H442" s="110">
        <v>48.66</v>
      </c>
      <c r="I442" s="109">
        <v>16</v>
      </c>
      <c r="J442" s="110">
        <v>778.56</v>
      </c>
    </row>
    <row r="443" spans="1:10" x14ac:dyDescent="0.25">
      <c r="A443" s="109" t="s">
        <v>479</v>
      </c>
      <c r="B443" s="112">
        <v>45908</v>
      </c>
      <c r="C443" s="109" t="s">
        <v>38</v>
      </c>
      <c r="D443" s="109" t="s">
        <v>26</v>
      </c>
      <c r="E443" s="109" t="s">
        <v>27</v>
      </c>
      <c r="F443" s="109" t="s">
        <v>39</v>
      </c>
      <c r="G443" s="109" t="s">
        <v>36</v>
      </c>
      <c r="H443" s="110">
        <v>247.06</v>
      </c>
      <c r="I443" s="109">
        <v>16</v>
      </c>
      <c r="J443" s="110">
        <v>3952.96</v>
      </c>
    </row>
    <row r="444" spans="1:10" x14ac:dyDescent="0.25">
      <c r="A444" s="109" t="s">
        <v>480</v>
      </c>
      <c r="B444" s="112">
        <v>45744</v>
      </c>
      <c r="C444" s="109" t="s">
        <v>17</v>
      </c>
      <c r="D444" s="109" t="s">
        <v>55</v>
      </c>
      <c r="E444" s="109" t="s">
        <v>41</v>
      </c>
      <c r="F444" s="109" t="s">
        <v>14</v>
      </c>
      <c r="G444" s="109" t="s">
        <v>20</v>
      </c>
      <c r="H444" s="110">
        <v>112.34</v>
      </c>
      <c r="I444" s="109">
        <v>5</v>
      </c>
      <c r="J444" s="110">
        <v>561.70000000000005</v>
      </c>
    </row>
    <row r="445" spans="1:10" x14ac:dyDescent="0.25">
      <c r="A445" s="109" t="s">
        <v>481</v>
      </c>
      <c r="B445" s="112">
        <v>45986</v>
      </c>
      <c r="C445" s="109" t="s">
        <v>25</v>
      </c>
      <c r="D445" s="109" t="s">
        <v>22</v>
      </c>
      <c r="E445" s="109" t="s">
        <v>45</v>
      </c>
      <c r="F445" s="109" t="s">
        <v>39</v>
      </c>
      <c r="G445" s="109" t="s">
        <v>20</v>
      </c>
      <c r="H445" s="110">
        <v>111.54</v>
      </c>
      <c r="I445" s="109">
        <v>2</v>
      </c>
      <c r="J445" s="110">
        <v>223.08</v>
      </c>
    </row>
    <row r="446" spans="1:10" x14ac:dyDescent="0.25">
      <c r="A446" s="109" t="s">
        <v>482</v>
      </c>
      <c r="B446" s="112">
        <v>45682</v>
      </c>
      <c r="C446" s="109" t="s">
        <v>38</v>
      </c>
      <c r="D446" s="109" t="s">
        <v>26</v>
      </c>
      <c r="E446" s="109" t="s">
        <v>27</v>
      </c>
      <c r="F446" s="109" t="s">
        <v>14</v>
      </c>
      <c r="G446" s="109" t="s">
        <v>15</v>
      </c>
      <c r="H446" s="110">
        <v>208.82</v>
      </c>
      <c r="I446" s="109">
        <v>1</v>
      </c>
      <c r="J446" s="110">
        <v>208.82</v>
      </c>
    </row>
    <row r="447" spans="1:10" x14ac:dyDescent="0.25">
      <c r="A447" s="109" t="s">
        <v>483</v>
      </c>
      <c r="B447" s="112">
        <v>46020</v>
      </c>
      <c r="C447" s="109" t="s">
        <v>11</v>
      </c>
      <c r="D447" s="109" t="s">
        <v>26</v>
      </c>
      <c r="E447" s="109" t="s">
        <v>18</v>
      </c>
      <c r="F447" s="109" t="s">
        <v>61</v>
      </c>
      <c r="G447" s="109" t="s">
        <v>36</v>
      </c>
      <c r="H447" s="110">
        <v>238.39</v>
      </c>
      <c r="I447" s="109">
        <v>5</v>
      </c>
      <c r="J447" s="110">
        <v>1191.95</v>
      </c>
    </row>
    <row r="448" spans="1:10" x14ac:dyDescent="0.25">
      <c r="A448" s="109" t="s">
        <v>484</v>
      </c>
      <c r="B448" s="112">
        <v>45688</v>
      </c>
      <c r="C448" s="109" t="s">
        <v>17</v>
      </c>
      <c r="D448" s="109" t="s">
        <v>12</v>
      </c>
      <c r="E448" s="109" t="s">
        <v>18</v>
      </c>
      <c r="F448" s="109" t="s">
        <v>61</v>
      </c>
      <c r="G448" s="109" t="s">
        <v>20</v>
      </c>
      <c r="H448" s="110">
        <v>246.92</v>
      </c>
      <c r="I448" s="109">
        <v>20</v>
      </c>
      <c r="J448" s="110">
        <v>4938.3999999999996</v>
      </c>
    </row>
    <row r="449" spans="1:10" x14ac:dyDescent="0.25">
      <c r="A449" s="109" t="s">
        <v>485</v>
      </c>
      <c r="B449" s="112">
        <v>45907</v>
      </c>
      <c r="C449" s="109" t="s">
        <v>11</v>
      </c>
      <c r="D449" s="109" t="s">
        <v>55</v>
      </c>
      <c r="E449" s="109" t="s">
        <v>18</v>
      </c>
      <c r="F449" s="109" t="s">
        <v>61</v>
      </c>
      <c r="G449" s="109" t="s">
        <v>15</v>
      </c>
      <c r="H449" s="110">
        <v>195.74</v>
      </c>
      <c r="I449" s="109">
        <v>1</v>
      </c>
      <c r="J449" s="110">
        <v>195.74</v>
      </c>
    </row>
    <row r="450" spans="1:10" x14ac:dyDescent="0.25">
      <c r="A450" s="109" t="s">
        <v>486</v>
      </c>
      <c r="B450" s="112">
        <v>45666</v>
      </c>
      <c r="C450" s="109" t="s">
        <v>17</v>
      </c>
      <c r="D450" s="109" t="s">
        <v>35</v>
      </c>
      <c r="E450" s="109" t="s">
        <v>18</v>
      </c>
      <c r="F450" s="109" t="s">
        <v>32</v>
      </c>
      <c r="G450" s="109" t="s">
        <v>15</v>
      </c>
      <c r="H450" s="110">
        <v>112.78</v>
      </c>
      <c r="I450" s="109">
        <v>17</v>
      </c>
      <c r="J450" s="110">
        <v>1917.26</v>
      </c>
    </row>
    <row r="451" spans="1:10" x14ac:dyDescent="0.25">
      <c r="A451" s="109" t="s">
        <v>487</v>
      </c>
      <c r="B451" s="112">
        <v>45915</v>
      </c>
      <c r="C451" s="109" t="s">
        <v>30</v>
      </c>
      <c r="D451" s="109" t="s">
        <v>22</v>
      </c>
      <c r="E451" s="109" t="s">
        <v>45</v>
      </c>
      <c r="F451" s="109" t="s">
        <v>42</v>
      </c>
      <c r="G451" s="109" t="s">
        <v>15</v>
      </c>
      <c r="H451" s="110">
        <v>48.37</v>
      </c>
      <c r="I451" s="109">
        <v>14</v>
      </c>
      <c r="J451" s="110">
        <v>677.18</v>
      </c>
    </row>
    <row r="452" spans="1:10" x14ac:dyDescent="0.25">
      <c r="A452" s="109" t="s">
        <v>488</v>
      </c>
      <c r="B452" s="112">
        <v>45781</v>
      </c>
      <c r="C452" s="109" t="s">
        <v>25</v>
      </c>
      <c r="D452" s="109" t="s">
        <v>55</v>
      </c>
      <c r="E452" s="109" t="s">
        <v>13</v>
      </c>
      <c r="F452" s="109" t="s">
        <v>39</v>
      </c>
      <c r="G452" s="109" t="s">
        <v>36</v>
      </c>
      <c r="H452" s="110">
        <v>200.97</v>
      </c>
      <c r="I452" s="109">
        <v>7</v>
      </c>
      <c r="J452" s="110">
        <v>1406.79</v>
      </c>
    </row>
    <row r="453" spans="1:10" x14ac:dyDescent="0.25">
      <c r="A453" s="109" t="s">
        <v>489</v>
      </c>
      <c r="B453" s="112">
        <v>45794</v>
      </c>
      <c r="C453" s="109" t="s">
        <v>11</v>
      </c>
      <c r="D453" s="109" t="s">
        <v>35</v>
      </c>
      <c r="E453" s="109" t="s">
        <v>41</v>
      </c>
      <c r="F453" s="109" t="s">
        <v>61</v>
      </c>
      <c r="G453" s="109" t="s">
        <v>20</v>
      </c>
      <c r="H453" s="110">
        <v>152.85</v>
      </c>
      <c r="I453" s="109">
        <v>13</v>
      </c>
      <c r="J453" s="110">
        <v>1987.05</v>
      </c>
    </row>
    <row r="454" spans="1:10" x14ac:dyDescent="0.25">
      <c r="A454" s="109" t="s">
        <v>490</v>
      </c>
      <c r="B454" s="112">
        <v>45782</v>
      </c>
      <c r="C454" s="109" t="s">
        <v>34</v>
      </c>
      <c r="D454" s="109" t="s">
        <v>12</v>
      </c>
      <c r="E454" s="109" t="s">
        <v>45</v>
      </c>
      <c r="F454" s="109" t="s">
        <v>28</v>
      </c>
      <c r="G454" s="109" t="s">
        <v>20</v>
      </c>
      <c r="H454" s="110">
        <v>123.33</v>
      </c>
      <c r="I454" s="109">
        <v>8</v>
      </c>
      <c r="J454" s="110">
        <v>986.64</v>
      </c>
    </row>
    <row r="455" spans="1:10" x14ac:dyDescent="0.25">
      <c r="A455" s="109" t="s">
        <v>491</v>
      </c>
      <c r="B455" s="112">
        <v>45674</v>
      </c>
      <c r="C455" s="109" t="s">
        <v>38</v>
      </c>
      <c r="D455" s="109" t="s">
        <v>31</v>
      </c>
      <c r="E455" s="109" t="s">
        <v>41</v>
      </c>
      <c r="F455" s="109" t="s">
        <v>42</v>
      </c>
      <c r="G455" s="109" t="s">
        <v>36</v>
      </c>
      <c r="H455" s="110">
        <v>229.4</v>
      </c>
      <c r="I455" s="109">
        <v>3</v>
      </c>
      <c r="J455" s="110">
        <v>688.2</v>
      </c>
    </row>
    <row r="456" spans="1:10" x14ac:dyDescent="0.25">
      <c r="A456" s="109" t="s">
        <v>492</v>
      </c>
      <c r="B456" s="112">
        <v>45686</v>
      </c>
      <c r="C456" s="109" t="s">
        <v>17</v>
      </c>
      <c r="D456" s="109" t="s">
        <v>26</v>
      </c>
      <c r="E456" s="109" t="s">
        <v>45</v>
      </c>
      <c r="F456" s="109" t="s">
        <v>61</v>
      </c>
      <c r="G456" s="109" t="s">
        <v>36</v>
      </c>
      <c r="H456" s="110">
        <v>54.46</v>
      </c>
      <c r="I456" s="109">
        <v>1</v>
      </c>
      <c r="J456" s="110">
        <v>54.46</v>
      </c>
    </row>
    <row r="457" spans="1:10" x14ac:dyDescent="0.25">
      <c r="A457" s="109" t="s">
        <v>493</v>
      </c>
      <c r="B457" s="112">
        <v>45988</v>
      </c>
      <c r="C457" s="109" t="s">
        <v>25</v>
      </c>
      <c r="D457" s="109" t="s">
        <v>22</v>
      </c>
      <c r="E457" s="109" t="s">
        <v>18</v>
      </c>
      <c r="F457" s="109" t="s">
        <v>19</v>
      </c>
      <c r="G457" s="109" t="s">
        <v>15</v>
      </c>
      <c r="H457" s="110">
        <v>138.38</v>
      </c>
      <c r="I457" s="109">
        <v>11</v>
      </c>
      <c r="J457" s="110">
        <v>1522.18</v>
      </c>
    </row>
    <row r="458" spans="1:10" x14ac:dyDescent="0.25">
      <c r="A458" s="109" t="s">
        <v>494</v>
      </c>
      <c r="B458" s="112">
        <v>45766</v>
      </c>
      <c r="C458" s="109" t="s">
        <v>38</v>
      </c>
      <c r="D458" s="109" t="s">
        <v>35</v>
      </c>
      <c r="E458" s="109" t="s">
        <v>45</v>
      </c>
      <c r="F458" s="109" t="s">
        <v>19</v>
      </c>
      <c r="G458" s="109" t="s">
        <v>20</v>
      </c>
      <c r="H458" s="110">
        <v>32.5</v>
      </c>
      <c r="I458" s="109">
        <v>19</v>
      </c>
      <c r="J458" s="110">
        <v>617.5</v>
      </c>
    </row>
    <row r="459" spans="1:10" x14ac:dyDescent="0.25">
      <c r="A459" s="109" t="s">
        <v>495</v>
      </c>
      <c r="B459" s="112">
        <v>45801</v>
      </c>
      <c r="C459" s="109" t="s">
        <v>25</v>
      </c>
      <c r="D459" s="109" t="s">
        <v>12</v>
      </c>
      <c r="E459" s="109" t="s">
        <v>45</v>
      </c>
      <c r="F459" s="109" t="s">
        <v>14</v>
      </c>
      <c r="G459" s="109" t="s">
        <v>36</v>
      </c>
      <c r="H459" s="110">
        <v>133.11000000000001</v>
      </c>
      <c r="I459" s="109">
        <v>18</v>
      </c>
      <c r="J459" s="110">
        <v>2395.98</v>
      </c>
    </row>
    <row r="460" spans="1:10" x14ac:dyDescent="0.25">
      <c r="A460" s="109" t="s">
        <v>496</v>
      </c>
      <c r="B460" s="112">
        <v>45666</v>
      </c>
      <c r="C460" s="109" t="s">
        <v>25</v>
      </c>
      <c r="D460" s="109" t="s">
        <v>26</v>
      </c>
      <c r="E460" s="109" t="s">
        <v>27</v>
      </c>
      <c r="F460" s="109" t="s">
        <v>39</v>
      </c>
      <c r="G460" s="109" t="s">
        <v>36</v>
      </c>
      <c r="H460" s="110">
        <v>42.39</v>
      </c>
      <c r="I460" s="109">
        <v>7</v>
      </c>
      <c r="J460" s="110">
        <v>296.73</v>
      </c>
    </row>
    <row r="461" spans="1:10" x14ac:dyDescent="0.25">
      <c r="A461" s="109" t="s">
        <v>497</v>
      </c>
      <c r="B461" s="112">
        <v>45697</v>
      </c>
      <c r="C461" s="109" t="s">
        <v>30</v>
      </c>
      <c r="D461" s="109" t="s">
        <v>55</v>
      </c>
      <c r="E461" s="109" t="s">
        <v>23</v>
      </c>
      <c r="F461" s="109" t="s">
        <v>42</v>
      </c>
      <c r="G461" s="109" t="s">
        <v>36</v>
      </c>
      <c r="H461" s="110">
        <v>56.14</v>
      </c>
      <c r="I461" s="109">
        <v>10</v>
      </c>
      <c r="J461" s="110">
        <v>561.4</v>
      </c>
    </row>
    <row r="462" spans="1:10" x14ac:dyDescent="0.25">
      <c r="A462" s="109" t="s">
        <v>498</v>
      </c>
      <c r="B462" s="112">
        <v>46004</v>
      </c>
      <c r="C462" s="109" t="s">
        <v>34</v>
      </c>
      <c r="D462" s="109" t="s">
        <v>31</v>
      </c>
      <c r="E462" s="109" t="s">
        <v>27</v>
      </c>
      <c r="F462" s="109" t="s">
        <v>14</v>
      </c>
      <c r="G462" s="109" t="s">
        <v>20</v>
      </c>
      <c r="H462" s="110">
        <v>55.86</v>
      </c>
      <c r="I462" s="109">
        <v>18</v>
      </c>
      <c r="J462" s="110">
        <v>1005.48</v>
      </c>
    </row>
    <row r="463" spans="1:10" x14ac:dyDescent="0.25">
      <c r="A463" s="109" t="s">
        <v>499</v>
      </c>
      <c r="B463" s="112">
        <v>45698</v>
      </c>
      <c r="C463" s="109" t="s">
        <v>17</v>
      </c>
      <c r="D463" s="109" t="s">
        <v>35</v>
      </c>
      <c r="E463" s="109" t="s">
        <v>45</v>
      </c>
      <c r="F463" s="109" t="s">
        <v>19</v>
      </c>
      <c r="G463" s="109" t="s">
        <v>36</v>
      </c>
      <c r="H463" s="110">
        <v>172.83</v>
      </c>
      <c r="I463" s="109">
        <v>17</v>
      </c>
      <c r="J463" s="110">
        <v>2938.11</v>
      </c>
    </row>
    <row r="464" spans="1:10" x14ac:dyDescent="0.25">
      <c r="A464" s="109" t="s">
        <v>500</v>
      </c>
      <c r="B464" s="112">
        <v>45776</v>
      </c>
      <c r="C464" s="109" t="s">
        <v>34</v>
      </c>
      <c r="D464" s="109" t="s">
        <v>55</v>
      </c>
      <c r="E464" s="109" t="s">
        <v>18</v>
      </c>
      <c r="F464" s="109" t="s">
        <v>42</v>
      </c>
      <c r="G464" s="109" t="s">
        <v>36</v>
      </c>
      <c r="H464" s="110">
        <v>194.13</v>
      </c>
      <c r="I464" s="109">
        <v>3</v>
      </c>
      <c r="J464" s="110">
        <v>582.39</v>
      </c>
    </row>
    <row r="465" spans="1:10" x14ac:dyDescent="0.25">
      <c r="A465" s="109" t="s">
        <v>501</v>
      </c>
      <c r="B465" s="112">
        <v>45825</v>
      </c>
      <c r="C465" s="109" t="s">
        <v>17</v>
      </c>
      <c r="D465" s="109" t="s">
        <v>35</v>
      </c>
      <c r="E465" s="109" t="s">
        <v>41</v>
      </c>
      <c r="F465" s="109" t="s">
        <v>61</v>
      </c>
      <c r="G465" s="109" t="s">
        <v>15</v>
      </c>
      <c r="H465" s="110">
        <v>158.34</v>
      </c>
      <c r="I465" s="109">
        <v>1</v>
      </c>
      <c r="J465" s="110">
        <v>158.34</v>
      </c>
    </row>
    <row r="466" spans="1:10" x14ac:dyDescent="0.25">
      <c r="A466" s="109" t="s">
        <v>502</v>
      </c>
      <c r="B466" s="112">
        <v>45840</v>
      </c>
      <c r="C466" s="109" t="s">
        <v>38</v>
      </c>
      <c r="D466" s="109" t="s">
        <v>31</v>
      </c>
      <c r="E466" s="109" t="s">
        <v>23</v>
      </c>
      <c r="F466" s="109" t="s">
        <v>28</v>
      </c>
      <c r="G466" s="109" t="s">
        <v>20</v>
      </c>
      <c r="H466" s="110">
        <v>241.68</v>
      </c>
      <c r="I466" s="109">
        <v>18</v>
      </c>
      <c r="J466" s="110">
        <v>4350.24</v>
      </c>
    </row>
    <row r="467" spans="1:10" x14ac:dyDescent="0.25">
      <c r="A467" s="109" t="s">
        <v>503</v>
      </c>
      <c r="B467" s="112">
        <v>45996</v>
      </c>
      <c r="C467" s="109" t="s">
        <v>11</v>
      </c>
      <c r="D467" s="109" t="s">
        <v>55</v>
      </c>
      <c r="E467" s="109" t="s">
        <v>13</v>
      </c>
      <c r="F467" s="109" t="s">
        <v>39</v>
      </c>
      <c r="G467" s="109" t="s">
        <v>15</v>
      </c>
      <c r="H467" s="110">
        <v>112.47</v>
      </c>
      <c r="I467" s="109">
        <v>13</v>
      </c>
      <c r="J467" s="110">
        <v>1462.11</v>
      </c>
    </row>
    <row r="468" spans="1:10" x14ac:dyDescent="0.25">
      <c r="A468" s="109" t="s">
        <v>504</v>
      </c>
      <c r="B468" s="112">
        <v>45695</v>
      </c>
      <c r="C468" s="109" t="s">
        <v>34</v>
      </c>
      <c r="D468" s="109" t="s">
        <v>26</v>
      </c>
      <c r="E468" s="109" t="s">
        <v>41</v>
      </c>
      <c r="F468" s="109" t="s">
        <v>28</v>
      </c>
      <c r="G468" s="109" t="s">
        <v>20</v>
      </c>
      <c r="H468" s="110">
        <v>92.86</v>
      </c>
      <c r="I468" s="109">
        <v>3</v>
      </c>
      <c r="J468" s="110">
        <v>278.58</v>
      </c>
    </row>
    <row r="469" spans="1:10" x14ac:dyDescent="0.25">
      <c r="A469" s="109" t="s">
        <v>505</v>
      </c>
      <c r="B469" s="112">
        <v>45736</v>
      </c>
      <c r="C469" s="109" t="s">
        <v>34</v>
      </c>
      <c r="D469" s="109" t="s">
        <v>35</v>
      </c>
      <c r="E469" s="109" t="s">
        <v>45</v>
      </c>
      <c r="F469" s="109" t="s">
        <v>19</v>
      </c>
      <c r="G469" s="109" t="s">
        <v>15</v>
      </c>
      <c r="H469" s="110">
        <v>221.09</v>
      </c>
      <c r="I469" s="109">
        <v>13</v>
      </c>
      <c r="J469" s="110">
        <v>2874.17</v>
      </c>
    </row>
    <row r="470" spans="1:10" x14ac:dyDescent="0.25">
      <c r="A470" s="109" t="s">
        <v>506</v>
      </c>
      <c r="B470" s="112">
        <v>45815</v>
      </c>
      <c r="C470" s="109" t="s">
        <v>34</v>
      </c>
      <c r="D470" s="109" t="s">
        <v>35</v>
      </c>
      <c r="E470" s="109" t="s">
        <v>45</v>
      </c>
      <c r="F470" s="109" t="s">
        <v>14</v>
      </c>
      <c r="G470" s="109" t="s">
        <v>15</v>
      </c>
      <c r="H470" s="110">
        <v>79.19</v>
      </c>
      <c r="I470" s="109">
        <v>15</v>
      </c>
      <c r="J470" s="110">
        <v>1187.8499999999999</v>
      </c>
    </row>
    <row r="471" spans="1:10" x14ac:dyDescent="0.25">
      <c r="A471" s="109" t="s">
        <v>507</v>
      </c>
      <c r="B471" s="112">
        <v>45753</v>
      </c>
      <c r="C471" s="109" t="s">
        <v>38</v>
      </c>
      <c r="D471" s="109" t="s">
        <v>55</v>
      </c>
      <c r="E471" s="109" t="s">
        <v>18</v>
      </c>
      <c r="F471" s="109" t="s">
        <v>42</v>
      </c>
      <c r="G471" s="109" t="s">
        <v>36</v>
      </c>
      <c r="H471" s="110">
        <v>241.91</v>
      </c>
      <c r="I471" s="109">
        <v>14</v>
      </c>
      <c r="J471" s="110">
        <v>3386.74</v>
      </c>
    </row>
    <row r="472" spans="1:10" x14ac:dyDescent="0.25">
      <c r="A472" s="109" t="s">
        <v>508</v>
      </c>
      <c r="B472" s="112">
        <v>45710</v>
      </c>
      <c r="C472" s="109" t="s">
        <v>11</v>
      </c>
      <c r="D472" s="109" t="s">
        <v>35</v>
      </c>
      <c r="E472" s="109" t="s">
        <v>18</v>
      </c>
      <c r="F472" s="109" t="s">
        <v>19</v>
      </c>
      <c r="G472" s="109" t="s">
        <v>20</v>
      </c>
      <c r="H472" s="110">
        <v>32.67</v>
      </c>
      <c r="I472" s="109">
        <v>1</v>
      </c>
      <c r="J472" s="110">
        <v>32.67</v>
      </c>
    </row>
    <row r="473" spans="1:10" x14ac:dyDescent="0.25">
      <c r="A473" s="109" t="s">
        <v>509</v>
      </c>
      <c r="B473" s="112">
        <v>45964</v>
      </c>
      <c r="C473" s="109" t="s">
        <v>38</v>
      </c>
      <c r="D473" s="109" t="s">
        <v>22</v>
      </c>
      <c r="E473" s="109" t="s">
        <v>13</v>
      </c>
      <c r="F473" s="109" t="s">
        <v>61</v>
      </c>
      <c r="G473" s="109" t="s">
        <v>36</v>
      </c>
      <c r="H473" s="110">
        <v>243.37</v>
      </c>
      <c r="I473" s="109">
        <v>11</v>
      </c>
      <c r="J473" s="110">
        <v>2677.07</v>
      </c>
    </row>
    <row r="474" spans="1:10" x14ac:dyDescent="0.25">
      <c r="A474" s="109" t="s">
        <v>510</v>
      </c>
      <c r="B474" s="112">
        <v>45701</v>
      </c>
      <c r="C474" s="109" t="s">
        <v>30</v>
      </c>
      <c r="D474" s="109" t="s">
        <v>55</v>
      </c>
      <c r="E474" s="109" t="s">
        <v>18</v>
      </c>
      <c r="F474" s="109" t="s">
        <v>14</v>
      </c>
      <c r="G474" s="109" t="s">
        <v>20</v>
      </c>
      <c r="H474" s="110">
        <v>39.5</v>
      </c>
      <c r="I474" s="109">
        <v>18</v>
      </c>
      <c r="J474" s="110">
        <v>711</v>
      </c>
    </row>
    <row r="475" spans="1:10" x14ac:dyDescent="0.25">
      <c r="A475" s="109" t="s">
        <v>511</v>
      </c>
      <c r="B475" s="112">
        <v>45852</v>
      </c>
      <c r="C475" s="109" t="s">
        <v>30</v>
      </c>
      <c r="D475" s="109" t="s">
        <v>35</v>
      </c>
      <c r="E475" s="109" t="s">
        <v>13</v>
      </c>
      <c r="F475" s="109" t="s">
        <v>32</v>
      </c>
      <c r="G475" s="109" t="s">
        <v>36</v>
      </c>
      <c r="H475" s="110">
        <v>226.05</v>
      </c>
      <c r="I475" s="109">
        <v>6</v>
      </c>
      <c r="J475" s="110">
        <v>1356.3</v>
      </c>
    </row>
    <row r="476" spans="1:10" x14ac:dyDescent="0.25">
      <c r="A476" s="109" t="s">
        <v>512</v>
      </c>
      <c r="B476" s="112">
        <v>45732</v>
      </c>
      <c r="C476" s="109" t="s">
        <v>30</v>
      </c>
      <c r="D476" s="109" t="s">
        <v>31</v>
      </c>
      <c r="E476" s="109" t="s">
        <v>13</v>
      </c>
      <c r="F476" s="109" t="s">
        <v>61</v>
      </c>
      <c r="G476" s="109" t="s">
        <v>36</v>
      </c>
      <c r="H476" s="110">
        <v>146.09</v>
      </c>
      <c r="I476" s="109">
        <v>3</v>
      </c>
      <c r="J476" s="110">
        <v>438.27</v>
      </c>
    </row>
    <row r="477" spans="1:10" x14ac:dyDescent="0.25">
      <c r="A477" s="109" t="s">
        <v>513</v>
      </c>
      <c r="B477" s="112">
        <v>45905</v>
      </c>
      <c r="C477" s="109" t="s">
        <v>34</v>
      </c>
      <c r="D477" s="109" t="s">
        <v>35</v>
      </c>
      <c r="E477" s="109" t="s">
        <v>23</v>
      </c>
      <c r="F477" s="109" t="s">
        <v>28</v>
      </c>
      <c r="G477" s="109" t="s">
        <v>20</v>
      </c>
      <c r="H477" s="110">
        <v>248.45</v>
      </c>
      <c r="I477" s="109">
        <v>3</v>
      </c>
      <c r="J477" s="110">
        <v>745.35</v>
      </c>
    </row>
    <row r="478" spans="1:10" x14ac:dyDescent="0.25">
      <c r="A478" s="109" t="s">
        <v>514</v>
      </c>
      <c r="B478" s="112">
        <v>45911</v>
      </c>
      <c r="C478" s="109" t="s">
        <v>25</v>
      </c>
      <c r="D478" s="109" t="s">
        <v>26</v>
      </c>
      <c r="E478" s="109" t="s">
        <v>41</v>
      </c>
      <c r="F478" s="109" t="s">
        <v>19</v>
      </c>
      <c r="G478" s="109" t="s">
        <v>15</v>
      </c>
      <c r="H478" s="110">
        <v>46.24</v>
      </c>
      <c r="I478" s="109">
        <v>20</v>
      </c>
      <c r="J478" s="110">
        <v>924.8</v>
      </c>
    </row>
    <row r="479" spans="1:10" x14ac:dyDescent="0.25">
      <c r="A479" s="109" t="s">
        <v>515</v>
      </c>
      <c r="B479" s="112">
        <v>45813</v>
      </c>
      <c r="C479" s="109" t="s">
        <v>38</v>
      </c>
      <c r="D479" s="109" t="s">
        <v>35</v>
      </c>
      <c r="E479" s="109" t="s">
        <v>18</v>
      </c>
      <c r="F479" s="109" t="s">
        <v>61</v>
      </c>
      <c r="G479" s="109" t="s">
        <v>36</v>
      </c>
      <c r="H479" s="110">
        <v>151.85</v>
      </c>
      <c r="I479" s="109">
        <v>1</v>
      </c>
      <c r="J479" s="110">
        <v>151.85</v>
      </c>
    </row>
    <row r="480" spans="1:10" x14ac:dyDescent="0.25">
      <c r="A480" s="109" t="s">
        <v>516</v>
      </c>
      <c r="B480" s="112">
        <v>45883</v>
      </c>
      <c r="C480" s="109" t="s">
        <v>38</v>
      </c>
      <c r="D480" s="109" t="s">
        <v>12</v>
      </c>
      <c r="E480" s="109" t="s">
        <v>18</v>
      </c>
      <c r="F480" s="109" t="s">
        <v>14</v>
      </c>
      <c r="G480" s="109" t="s">
        <v>36</v>
      </c>
      <c r="H480" s="110">
        <v>243.25</v>
      </c>
      <c r="I480" s="109">
        <v>11</v>
      </c>
      <c r="J480" s="110">
        <v>2675.75</v>
      </c>
    </row>
    <row r="481" spans="1:10" x14ac:dyDescent="0.25">
      <c r="A481" s="109" t="s">
        <v>517</v>
      </c>
      <c r="B481" s="112">
        <v>45822</v>
      </c>
      <c r="C481" s="109" t="s">
        <v>17</v>
      </c>
      <c r="D481" s="109" t="s">
        <v>26</v>
      </c>
      <c r="E481" s="109" t="s">
        <v>41</v>
      </c>
      <c r="F481" s="109" t="s">
        <v>32</v>
      </c>
      <c r="G481" s="109" t="s">
        <v>15</v>
      </c>
      <c r="H481" s="110">
        <v>145.08000000000001</v>
      </c>
      <c r="I481" s="109">
        <v>20</v>
      </c>
      <c r="J481" s="110">
        <v>2901.6</v>
      </c>
    </row>
    <row r="482" spans="1:10" x14ac:dyDescent="0.25">
      <c r="A482" s="109" t="s">
        <v>518</v>
      </c>
      <c r="B482" s="112">
        <v>45861</v>
      </c>
      <c r="C482" s="109" t="s">
        <v>34</v>
      </c>
      <c r="D482" s="109" t="s">
        <v>12</v>
      </c>
      <c r="E482" s="109" t="s">
        <v>27</v>
      </c>
      <c r="F482" s="109" t="s">
        <v>28</v>
      </c>
      <c r="G482" s="109" t="s">
        <v>36</v>
      </c>
      <c r="H482" s="110">
        <v>168.47</v>
      </c>
      <c r="I482" s="109">
        <v>11</v>
      </c>
      <c r="J482" s="110">
        <v>1853.17</v>
      </c>
    </row>
    <row r="483" spans="1:10" x14ac:dyDescent="0.25">
      <c r="A483" s="109" t="s">
        <v>519</v>
      </c>
      <c r="B483" s="112">
        <v>45952</v>
      </c>
      <c r="C483" s="109" t="s">
        <v>34</v>
      </c>
      <c r="D483" s="109" t="s">
        <v>31</v>
      </c>
      <c r="E483" s="109" t="s">
        <v>13</v>
      </c>
      <c r="F483" s="109" t="s">
        <v>39</v>
      </c>
      <c r="G483" s="109" t="s">
        <v>36</v>
      </c>
      <c r="H483" s="110">
        <v>183.06</v>
      </c>
      <c r="I483" s="109">
        <v>8</v>
      </c>
      <c r="J483" s="110">
        <v>1464.48</v>
      </c>
    </row>
    <row r="484" spans="1:10" x14ac:dyDescent="0.25">
      <c r="A484" s="109" t="s">
        <v>520</v>
      </c>
      <c r="B484" s="112">
        <v>45844</v>
      </c>
      <c r="C484" s="109" t="s">
        <v>25</v>
      </c>
      <c r="D484" s="109" t="s">
        <v>26</v>
      </c>
      <c r="E484" s="109" t="s">
        <v>18</v>
      </c>
      <c r="F484" s="109" t="s">
        <v>42</v>
      </c>
      <c r="G484" s="109" t="s">
        <v>15</v>
      </c>
      <c r="H484" s="110">
        <v>130</v>
      </c>
      <c r="I484" s="109">
        <v>4</v>
      </c>
      <c r="J484" s="110">
        <v>520</v>
      </c>
    </row>
    <row r="485" spans="1:10" x14ac:dyDescent="0.25">
      <c r="A485" s="109" t="s">
        <v>521</v>
      </c>
      <c r="B485" s="112">
        <v>46007</v>
      </c>
      <c r="C485" s="109" t="s">
        <v>11</v>
      </c>
      <c r="D485" s="109" t="s">
        <v>12</v>
      </c>
      <c r="E485" s="109" t="s">
        <v>41</v>
      </c>
      <c r="F485" s="109" t="s">
        <v>28</v>
      </c>
      <c r="G485" s="109" t="s">
        <v>15</v>
      </c>
      <c r="H485" s="110">
        <v>168.06</v>
      </c>
      <c r="I485" s="109">
        <v>18</v>
      </c>
      <c r="J485" s="110">
        <v>3025.08</v>
      </c>
    </row>
    <row r="486" spans="1:10" x14ac:dyDescent="0.25">
      <c r="A486" s="109" t="s">
        <v>522</v>
      </c>
      <c r="B486" s="112">
        <v>45882</v>
      </c>
      <c r="C486" s="109" t="s">
        <v>17</v>
      </c>
      <c r="D486" s="109" t="s">
        <v>22</v>
      </c>
      <c r="E486" s="109" t="s">
        <v>41</v>
      </c>
      <c r="F486" s="109" t="s">
        <v>28</v>
      </c>
      <c r="G486" s="109" t="s">
        <v>36</v>
      </c>
      <c r="H486" s="110">
        <v>158.55000000000001</v>
      </c>
      <c r="I486" s="109">
        <v>10</v>
      </c>
      <c r="J486" s="110">
        <v>1585.5</v>
      </c>
    </row>
    <row r="487" spans="1:10" x14ac:dyDescent="0.25">
      <c r="A487" s="109" t="s">
        <v>523</v>
      </c>
      <c r="B487" s="112">
        <v>45729</v>
      </c>
      <c r="C487" s="109" t="s">
        <v>30</v>
      </c>
      <c r="D487" s="109" t="s">
        <v>35</v>
      </c>
      <c r="E487" s="109" t="s">
        <v>27</v>
      </c>
      <c r="F487" s="109" t="s">
        <v>14</v>
      </c>
      <c r="G487" s="109" t="s">
        <v>20</v>
      </c>
      <c r="H487" s="110">
        <v>228.25</v>
      </c>
      <c r="I487" s="109">
        <v>10</v>
      </c>
      <c r="J487" s="110">
        <v>2282.5</v>
      </c>
    </row>
    <row r="488" spans="1:10" x14ac:dyDescent="0.25">
      <c r="A488" s="109" t="s">
        <v>524</v>
      </c>
      <c r="B488" s="112">
        <v>45874</v>
      </c>
      <c r="C488" s="109" t="s">
        <v>11</v>
      </c>
      <c r="D488" s="109" t="s">
        <v>31</v>
      </c>
      <c r="E488" s="109" t="s">
        <v>18</v>
      </c>
      <c r="F488" s="109" t="s">
        <v>61</v>
      </c>
      <c r="G488" s="109" t="s">
        <v>20</v>
      </c>
      <c r="H488" s="110">
        <v>40</v>
      </c>
      <c r="I488" s="109">
        <v>13</v>
      </c>
      <c r="J488" s="110">
        <v>520</v>
      </c>
    </row>
    <row r="489" spans="1:10" x14ac:dyDescent="0.25">
      <c r="A489" s="109" t="s">
        <v>525</v>
      </c>
      <c r="B489" s="112">
        <v>45863</v>
      </c>
      <c r="C489" s="109" t="s">
        <v>25</v>
      </c>
      <c r="D489" s="109" t="s">
        <v>12</v>
      </c>
      <c r="E489" s="109" t="s">
        <v>41</v>
      </c>
      <c r="F489" s="109" t="s">
        <v>42</v>
      </c>
      <c r="G489" s="109" t="s">
        <v>15</v>
      </c>
      <c r="H489" s="110">
        <v>91.81</v>
      </c>
      <c r="I489" s="109">
        <v>18</v>
      </c>
      <c r="J489" s="110">
        <v>1652.58</v>
      </c>
    </row>
    <row r="490" spans="1:10" x14ac:dyDescent="0.25">
      <c r="A490" s="109" t="s">
        <v>526</v>
      </c>
      <c r="B490" s="112">
        <v>45842</v>
      </c>
      <c r="C490" s="109" t="s">
        <v>25</v>
      </c>
      <c r="D490" s="109" t="s">
        <v>12</v>
      </c>
      <c r="E490" s="109" t="s">
        <v>45</v>
      </c>
      <c r="F490" s="109" t="s">
        <v>19</v>
      </c>
      <c r="G490" s="109" t="s">
        <v>15</v>
      </c>
      <c r="H490" s="110">
        <v>239.09</v>
      </c>
      <c r="I490" s="109">
        <v>18</v>
      </c>
      <c r="J490" s="110">
        <v>4303.62</v>
      </c>
    </row>
    <row r="491" spans="1:10" x14ac:dyDescent="0.25">
      <c r="A491" s="109" t="s">
        <v>527</v>
      </c>
      <c r="B491" s="112">
        <v>45994</v>
      </c>
      <c r="C491" s="109" t="s">
        <v>30</v>
      </c>
      <c r="D491" s="109" t="s">
        <v>12</v>
      </c>
      <c r="E491" s="109" t="s">
        <v>18</v>
      </c>
      <c r="F491" s="109" t="s">
        <v>19</v>
      </c>
      <c r="G491" s="109" t="s">
        <v>20</v>
      </c>
      <c r="H491" s="110">
        <v>225.86</v>
      </c>
      <c r="I491" s="109">
        <v>12</v>
      </c>
      <c r="J491" s="110">
        <v>2710.32</v>
      </c>
    </row>
    <row r="492" spans="1:10" x14ac:dyDescent="0.25">
      <c r="A492" s="109" t="s">
        <v>528</v>
      </c>
      <c r="B492" s="112">
        <v>45988</v>
      </c>
      <c r="C492" s="109" t="s">
        <v>34</v>
      </c>
      <c r="D492" s="109" t="s">
        <v>31</v>
      </c>
      <c r="E492" s="109" t="s">
        <v>45</v>
      </c>
      <c r="F492" s="109" t="s">
        <v>19</v>
      </c>
      <c r="G492" s="109" t="s">
        <v>15</v>
      </c>
      <c r="H492" s="110">
        <v>130.24</v>
      </c>
      <c r="I492" s="109">
        <v>13</v>
      </c>
      <c r="J492" s="110">
        <v>1693.12</v>
      </c>
    </row>
    <row r="493" spans="1:10" x14ac:dyDescent="0.25">
      <c r="A493" s="109" t="s">
        <v>529</v>
      </c>
      <c r="B493" s="112">
        <v>45790</v>
      </c>
      <c r="C493" s="109" t="s">
        <v>25</v>
      </c>
      <c r="D493" s="109" t="s">
        <v>12</v>
      </c>
      <c r="E493" s="109" t="s">
        <v>18</v>
      </c>
      <c r="F493" s="109" t="s">
        <v>42</v>
      </c>
      <c r="G493" s="109" t="s">
        <v>20</v>
      </c>
      <c r="H493" s="110">
        <v>166.43</v>
      </c>
      <c r="I493" s="109">
        <v>8</v>
      </c>
      <c r="J493" s="110">
        <v>1331.44</v>
      </c>
    </row>
    <row r="494" spans="1:10" x14ac:dyDescent="0.25">
      <c r="A494" s="109" t="s">
        <v>530</v>
      </c>
      <c r="B494" s="112">
        <v>46010</v>
      </c>
      <c r="C494" s="109" t="s">
        <v>30</v>
      </c>
      <c r="D494" s="109" t="s">
        <v>31</v>
      </c>
      <c r="E494" s="109" t="s">
        <v>13</v>
      </c>
      <c r="F494" s="109" t="s">
        <v>61</v>
      </c>
      <c r="G494" s="109" t="s">
        <v>36</v>
      </c>
      <c r="H494" s="110">
        <v>91.02</v>
      </c>
      <c r="I494" s="109">
        <v>19</v>
      </c>
      <c r="J494" s="110">
        <v>1729.38</v>
      </c>
    </row>
    <row r="495" spans="1:10" x14ac:dyDescent="0.25">
      <c r="A495" s="109" t="s">
        <v>531</v>
      </c>
      <c r="B495" s="112">
        <v>46005</v>
      </c>
      <c r="C495" s="109" t="s">
        <v>17</v>
      </c>
      <c r="D495" s="109" t="s">
        <v>55</v>
      </c>
      <c r="E495" s="109" t="s">
        <v>23</v>
      </c>
      <c r="F495" s="109" t="s">
        <v>32</v>
      </c>
      <c r="G495" s="109" t="s">
        <v>15</v>
      </c>
      <c r="H495" s="110">
        <v>71.39</v>
      </c>
      <c r="I495" s="109">
        <v>19</v>
      </c>
      <c r="J495" s="110">
        <v>1356.41</v>
      </c>
    </row>
    <row r="496" spans="1:10" x14ac:dyDescent="0.25">
      <c r="A496" s="109" t="s">
        <v>532</v>
      </c>
      <c r="B496" s="112">
        <v>45905</v>
      </c>
      <c r="C496" s="109" t="s">
        <v>34</v>
      </c>
      <c r="D496" s="109" t="s">
        <v>31</v>
      </c>
      <c r="E496" s="109" t="s">
        <v>45</v>
      </c>
      <c r="F496" s="109" t="s">
        <v>19</v>
      </c>
      <c r="G496" s="109" t="s">
        <v>20</v>
      </c>
      <c r="H496" s="110">
        <v>132.01</v>
      </c>
      <c r="I496" s="109">
        <v>4</v>
      </c>
      <c r="J496" s="110">
        <v>528.04</v>
      </c>
    </row>
    <row r="497" spans="1:10" x14ac:dyDescent="0.25">
      <c r="A497" s="109" t="s">
        <v>533</v>
      </c>
      <c r="B497" s="112">
        <v>45730</v>
      </c>
      <c r="C497" s="109" t="s">
        <v>34</v>
      </c>
      <c r="D497" s="109" t="s">
        <v>35</v>
      </c>
      <c r="E497" s="109" t="s">
        <v>41</v>
      </c>
      <c r="F497" s="109" t="s">
        <v>39</v>
      </c>
      <c r="G497" s="109" t="s">
        <v>15</v>
      </c>
      <c r="H497" s="110">
        <v>107.74</v>
      </c>
      <c r="I497" s="109">
        <v>12</v>
      </c>
      <c r="J497" s="110">
        <v>1292.8800000000001</v>
      </c>
    </row>
    <row r="498" spans="1:10" x14ac:dyDescent="0.25">
      <c r="A498" s="109" t="s">
        <v>534</v>
      </c>
      <c r="B498" s="112">
        <v>45924</v>
      </c>
      <c r="C498" s="109" t="s">
        <v>34</v>
      </c>
      <c r="D498" s="109" t="s">
        <v>31</v>
      </c>
      <c r="E498" s="109" t="s">
        <v>45</v>
      </c>
      <c r="F498" s="109" t="s">
        <v>61</v>
      </c>
      <c r="G498" s="109" t="s">
        <v>20</v>
      </c>
      <c r="H498" s="110">
        <v>158.4</v>
      </c>
      <c r="I498" s="109">
        <v>16</v>
      </c>
      <c r="J498" s="110">
        <v>2534.4</v>
      </c>
    </row>
    <row r="499" spans="1:10" x14ac:dyDescent="0.25">
      <c r="A499" s="109" t="s">
        <v>535</v>
      </c>
      <c r="B499" s="112">
        <v>46014</v>
      </c>
      <c r="C499" s="109" t="s">
        <v>34</v>
      </c>
      <c r="D499" s="109" t="s">
        <v>22</v>
      </c>
      <c r="E499" s="109" t="s">
        <v>13</v>
      </c>
      <c r="F499" s="109" t="s">
        <v>19</v>
      </c>
      <c r="G499" s="109" t="s">
        <v>20</v>
      </c>
      <c r="H499" s="110">
        <v>47.1</v>
      </c>
      <c r="I499" s="109">
        <v>15</v>
      </c>
      <c r="J499" s="110">
        <v>706.5</v>
      </c>
    </row>
    <row r="500" spans="1:10" x14ac:dyDescent="0.25">
      <c r="A500" s="109" t="s">
        <v>536</v>
      </c>
      <c r="B500" s="112">
        <v>45716</v>
      </c>
      <c r="C500" s="109" t="s">
        <v>34</v>
      </c>
      <c r="D500" s="109" t="s">
        <v>12</v>
      </c>
      <c r="E500" s="109" t="s">
        <v>45</v>
      </c>
      <c r="F500" s="109" t="s">
        <v>28</v>
      </c>
      <c r="G500" s="109" t="s">
        <v>15</v>
      </c>
      <c r="H500" s="110">
        <v>244.37</v>
      </c>
      <c r="I500" s="109">
        <v>1</v>
      </c>
      <c r="J500" s="110">
        <v>244.37</v>
      </c>
    </row>
    <row r="501" spans="1:10" x14ac:dyDescent="0.25">
      <c r="A501" s="109" t="s">
        <v>531</v>
      </c>
      <c r="B501" s="112">
        <v>46005</v>
      </c>
      <c r="C501" s="109" t="s">
        <v>17</v>
      </c>
      <c r="D501" s="109" t="s">
        <v>55</v>
      </c>
      <c r="E501" s="109" t="s">
        <v>23</v>
      </c>
      <c r="F501" s="109" t="s">
        <v>32</v>
      </c>
      <c r="G501" s="109" t="s">
        <v>15</v>
      </c>
      <c r="H501" s="110">
        <v>71.39</v>
      </c>
      <c r="I501" s="109">
        <v>19</v>
      </c>
      <c r="J501" s="110">
        <v>1356.41</v>
      </c>
    </row>
    <row r="502" spans="1:10" x14ac:dyDescent="0.25">
      <c r="A502" s="109" t="s">
        <v>532</v>
      </c>
      <c r="B502" s="112">
        <v>45905</v>
      </c>
      <c r="C502" s="109" t="s">
        <v>34</v>
      </c>
      <c r="D502" s="109" t="s">
        <v>31</v>
      </c>
      <c r="E502" s="109" t="s">
        <v>45</v>
      </c>
      <c r="F502" s="109" t="s">
        <v>19</v>
      </c>
      <c r="G502" s="109" t="s">
        <v>20</v>
      </c>
      <c r="H502" s="110">
        <v>132.01</v>
      </c>
      <c r="I502" s="109">
        <v>4</v>
      </c>
      <c r="J502" s="110">
        <v>528.04</v>
      </c>
    </row>
    <row r="503" spans="1:10" x14ac:dyDescent="0.25">
      <c r="A503" s="109" t="s">
        <v>533</v>
      </c>
      <c r="B503" s="112">
        <v>45730</v>
      </c>
      <c r="C503" s="109" t="s">
        <v>34</v>
      </c>
      <c r="D503" s="109" t="s">
        <v>35</v>
      </c>
      <c r="E503" s="109" t="s">
        <v>41</v>
      </c>
      <c r="F503" s="109" t="s">
        <v>39</v>
      </c>
      <c r="G503" s="109" t="s">
        <v>15</v>
      </c>
      <c r="H503" s="110">
        <v>107.74</v>
      </c>
      <c r="I503" s="109">
        <v>12</v>
      </c>
      <c r="J503" s="110">
        <v>1292.8800000000001</v>
      </c>
    </row>
    <row r="504" spans="1:10" x14ac:dyDescent="0.25">
      <c r="A504" s="109" t="s">
        <v>534</v>
      </c>
      <c r="B504" s="112">
        <v>45924</v>
      </c>
      <c r="C504" s="109" t="s">
        <v>34</v>
      </c>
      <c r="D504" s="109" t="s">
        <v>31</v>
      </c>
      <c r="E504" s="109" t="s">
        <v>45</v>
      </c>
      <c r="F504" s="109" t="s">
        <v>61</v>
      </c>
      <c r="G504" s="109" t="s">
        <v>20</v>
      </c>
      <c r="H504" s="110">
        <v>158.4</v>
      </c>
      <c r="I504" s="109">
        <v>16</v>
      </c>
      <c r="J504" s="110">
        <v>2534.4</v>
      </c>
    </row>
    <row r="505" spans="1:10" x14ac:dyDescent="0.25">
      <c r="A505" s="109" t="s">
        <v>535</v>
      </c>
      <c r="B505" s="112">
        <v>46014</v>
      </c>
      <c r="C505" s="109" t="s">
        <v>34</v>
      </c>
      <c r="D505" s="109" t="s">
        <v>22</v>
      </c>
      <c r="E505" s="109" t="s">
        <v>13</v>
      </c>
      <c r="F505" s="109" t="s">
        <v>19</v>
      </c>
      <c r="G505" s="109" t="s">
        <v>20</v>
      </c>
      <c r="H505" s="110">
        <v>47.1</v>
      </c>
      <c r="I505" s="109">
        <v>15</v>
      </c>
      <c r="J505" s="110">
        <v>706.5</v>
      </c>
    </row>
    <row r="506" spans="1:10" x14ac:dyDescent="0.25">
      <c r="A506" s="109" t="s">
        <v>536</v>
      </c>
      <c r="B506" s="112">
        <v>45716</v>
      </c>
      <c r="C506" s="109" t="s">
        <v>34</v>
      </c>
      <c r="D506" s="109" t="s">
        <v>12</v>
      </c>
      <c r="E506" s="109" t="s">
        <v>45</v>
      </c>
      <c r="F506" s="109" t="s">
        <v>28</v>
      </c>
      <c r="G506" s="109" t="s">
        <v>15</v>
      </c>
      <c r="H506" s="110">
        <v>244.37</v>
      </c>
      <c r="I506" s="109">
        <v>1</v>
      </c>
      <c r="J506" s="110">
        <v>244.37</v>
      </c>
    </row>
    <row r="507" spans="1:10" x14ac:dyDescent="0.25">
      <c r="A507" s="109" t="s">
        <v>562</v>
      </c>
      <c r="B507" s="112">
        <v>45782</v>
      </c>
      <c r="C507" s="109" t="s">
        <v>30</v>
      </c>
      <c r="D507" s="109" t="s">
        <v>55</v>
      </c>
      <c r="E507" s="109" t="s">
        <v>23</v>
      </c>
      <c r="F507" s="109" t="s">
        <v>32</v>
      </c>
      <c r="G507" s="109" t="s">
        <v>20</v>
      </c>
      <c r="H507" s="110">
        <v>246.97</v>
      </c>
      <c r="I507" s="109">
        <v>17</v>
      </c>
      <c r="J507" s="110">
        <v>4198.49</v>
      </c>
    </row>
    <row r="508" spans="1:10" x14ac:dyDescent="0.25">
      <c r="A508" s="109" t="s">
        <v>563</v>
      </c>
      <c r="B508" s="112">
        <v>45876</v>
      </c>
      <c r="C508" s="109" t="s">
        <v>30</v>
      </c>
      <c r="D508" s="109" t="s">
        <v>31</v>
      </c>
      <c r="E508" s="109" t="s">
        <v>27</v>
      </c>
      <c r="F508" s="109" t="s">
        <v>14</v>
      </c>
      <c r="G508" s="109" t="s">
        <v>15</v>
      </c>
      <c r="H508" s="110">
        <v>183.6</v>
      </c>
      <c r="I508" s="109">
        <v>15</v>
      </c>
      <c r="J508" s="110">
        <v>2754</v>
      </c>
    </row>
    <row r="509" spans="1:10" x14ac:dyDescent="0.25">
      <c r="A509" s="109" t="s">
        <v>564</v>
      </c>
      <c r="B509" s="112">
        <v>45985</v>
      </c>
      <c r="C509" s="109" t="s">
        <v>38</v>
      </c>
      <c r="D509" s="109" t="s">
        <v>22</v>
      </c>
      <c r="E509" s="109" t="s">
        <v>27</v>
      </c>
      <c r="F509" s="109" t="s">
        <v>42</v>
      </c>
      <c r="G509" s="109" t="s">
        <v>15</v>
      </c>
      <c r="H509" s="110">
        <v>147.94</v>
      </c>
      <c r="I509" s="109">
        <v>14</v>
      </c>
      <c r="J509" s="110">
        <v>2071.16</v>
      </c>
    </row>
    <row r="510" spans="1:10" x14ac:dyDescent="0.25">
      <c r="A510" s="109" t="s">
        <v>565</v>
      </c>
      <c r="B510" s="112">
        <v>45888</v>
      </c>
      <c r="C510" s="109" t="s">
        <v>38</v>
      </c>
      <c r="D510" s="109" t="s">
        <v>31</v>
      </c>
      <c r="E510" s="109" t="s">
        <v>45</v>
      </c>
      <c r="F510" s="109" t="s">
        <v>28</v>
      </c>
      <c r="G510" s="109" t="s">
        <v>15</v>
      </c>
      <c r="H510" s="110">
        <v>98.1</v>
      </c>
      <c r="I510" s="109">
        <v>19</v>
      </c>
      <c r="J510" s="110">
        <v>1863.9</v>
      </c>
    </row>
    <row r="511" spans="1:10" x14ac:dyDescent="0.25">
      <c r="A511" s="109" t="s">
        <v>566</v>
      </c>
      <c r="B511" s="112">
        <v>45763</v>
      </c>
      <c r="C511" s="109" t="s">
        <v>17</v>
      </c>
      <c r="D511" s="109" t="s">
        <v>22</v>
      </c>
      <c r="E511" s="109" t="s">
        <v>18</v>
      </c>
      <c r="F511" s="109" t="s">
        <v>19</v>
      </c>
      <c r="G511" s="109" t="s">
        <v>20</v>
      </c>
      <c r="H511" s="110">
        <v>209.03</v>
      </c>
      <c r="I511" s="109">
        <v>9</v>
      </c>
      <c r="J511" s="110">
        <v>1881.27</v>
      </c>
    </row>
    <row r="512" spans="1:10" x14ac:dyDescent="0.25">
      <c r="A512" s="109" t="s">
        <v>567</v>
      </c>
      <c r="B512" s="112">
        <v>45753</v>
      </c>
      <c r="C512" s="109" t="s">
        <v>34</v>
      </c>
      <c r="D512" s="109" t="s">
        <v>26</v>
      </c>
      <c r="E512" s="109" t="s">
        <v>41</v>
      </c>
      <c r="F512" s="109" t="s">
        <v>19</v>
      </c>
      <c r="G512" s="109" t="s">
        <v>36</v>
      </c>
      <c r="H512" s="110">
        <v>180.64</v>
      </c>
      <c r="I512" s="109">
        <v>12</v>
      </c>
      <c r="J512" s="110">
        <v>2167.6799999999998</v>
      </c>
    </row>
    <row r="513" spans="1:10" x14ac:dyDescent="0.25">
      <c r="A513" s="109" t="s">
        <v>568</v>
      </c>
      <c r="B513" s="112">
        <v>46001</v>
      </c>
      <c r="C513" s="109" t="s">
        <v>25</v>
      </c>
      <c r="D513" s="109" t="s">
        <v>12</v>
      </c>
      <c r="E513" s="109" t="s">
        <v>13</v>
      </c>
      <c r="F513" s="109" t="s">
        <v>42</v>
      </c>
      <c r="G513" s="109" t="s">
        <v>36</v>
      </c>
      <c r="H513" s="110">
        <v>65.78</v>
      </c>
      <c r="I513" s="109">
        <v>16</v>
      </c>
      <c r="J513" s="110">
        <v>1052.48</v>
      </c>
    </row>
    <row r="514" spans="1:10" x14ac:dyDescent="0.25">
      <c r="A514" s="109" t="s">
        <v>569</v>
      </c>
      <c r="B514" s="112">
        <v>45970</v>
      </c>
      <c r="C514" s="109" t="s">
        <v>25</v>
      </c>
      <c r="D514" s="109" t="s">
        <v>22</v>
      </c>
      <c r="E514" s="109" t="s">
        <v>13</v>
      </c>
      <c r="F514" s="109" t="s">
        <v>32</v>
      </c>
      <c r="G514" s="109" t="s">
        <v>36</v>
      </c>
      <c r="H514" s="110">
        <v>230.4</v>
      </c>
      <c r="I514" s="109">
        <v>13</v>
      </c>
      <c r="J514" s="110">
        <v>2995.2</v>
      </c>
    </row>
    <row r="515" spans="1:10" x14ac:dyDescent="0.25">
      <c r="A515" s="109" t="s">
        <v>570</v>
      </c>
      <c r="B515" s="112">
        <v>45974</v>
      </c>
      <c r="C515" s="109" t="s">
        <v>17</v>
      </c>
      <c r="D515" s="109" t="s">
        <v>12</v>
      </c>
      <c r="E515" s="109" t="s">
        <v>13</v>
      </c>
      <c r="F515" s="109" t="s">
        <v>42</v>
      </c>
      <c r="G515" s="109" t="s">
        <v>20</v>
      </c>
      <c r="H515" s="110">
        <v>210.96</v>
      </c>
      <c r="I515" s="109">
        <v>6</v>
      </c>
      <c r="J515" s="110">
        <v>1265.76</v>
      </c>
    </row>
    <row r="516" spans="1:10" x14ac:dyDescent="0.25">
      <c r="A516" s="109" t="s">
        <v>571</v>
      </c>
      <c r="B516" s="112">
        <v>45701</v>
      </c>
      <c r="C516" s="109" t="s">
        <v>34</v>
      </c>
      <c r="D516" s="109" t="s">
        <v>22</v>
      </c>
      <c r="E516" s="109" t="s">
        <v>23</v>
      </c>
      <c r="F516" s="109" t="s">
        <v>32</v>
      </c>
      <c r="G516" s="109" t="s">
        <v>15</v>
      </c>
      <c r="H516" s="110">
        <v>238.96</v>
      </c>
      <c r="I516" s="109">
        <v>5</v>
      </c>
      <c r="J516" s="110">
        <v>1194.8</v>
      </c>
    </row>
    <row r="517" spans="1:10" x14ac:dyDescent="0.25">
      <c r="A517" s="109" t="s">
        <v>572</v>
      </c>
      <c r="B517" s="112">
        <v>45751</v>
      </c>
      <c r="C517" s="109" t="s">
        <v>17</v>
      </c>
      <c r="D517" s="109" t="s">
        <v>26</v>
      </c>
      <c r="E517" s="109" t="s">
        <v>18</v>
      </c>
      <c r="F517" s="109" t="s">
        <v>61</v>
      </c>
      <c r="G517" s="109" t="s">
        <v>36</v>
      </c>
      <c r="H517" s="110">
        <v>189.66</v>
      </c>
      <c r="I517" s="109">
        <v>12</v>
      </c>
      <c r="J517" s="110">
        <v>2275.92</v>
      </c>
    </row>
    <row r="518" spans="1:10" x14ac:dyDescent="0.25">
      <c r="A518" s="109" t="s">
        <v>573</v>
      </c>
      <c r="B518" s="112">
        <v>45963</v>
      </c>
      <c r="C518" s="109" t="s">
        <v>25</v>
      </c>
      <c r="D518" s="109" t="s">
        <v>31</v>
      </c>
      <c r="E518" s="109" t="s">
        <v>41</v>
      </c>
      <c r="F518" s="109" t="s">
        <v>14</v>
      </c>
      <c r="G518" s="109" t="s">
        <v>36</v>
      </c>
      <c r="H518" s="110">
        <v>164.95</v>
      </c>
      <c r="I518" s="109">
        <v>5</v>
      </c>
      <c r="J518" s="110">
        <v>824.75</v>
      </c>
    </row>
    <row r="519" spans="1:10" x14ac:dyDescent="0.25">
      <c r="A519" s="109" t="s">
        <v>574</v>
      </c>
      <c r="B519" s="112">
        <v>45983</v>
      </c>
      <c r="C519" s="109" t="s">
        <v>17</v>
      </c>
      <c r="D519" s="109" t="s">
        <v>12</v>
      </c>
      <c r="E519" s="109" t="s">
        <v>23</v>
      </c>
      <c r="F519" s="109" t="s">
        <v>42</v>
      </c>
      <c r="G519" s="109" t="s">
        <v>15</v>
      </c>
      <c r="H519" s="110">
        <v>122.01</v>
      </c>
      <c r="I519" s="109">
        <v>18</v>
      </c>
      <c r="J519" s="110">
        <v>2196.1799999999998</v>
      </c>
    </row>
    <row r="520" spans="1:10" x14ac:dyDescent="0.25">
      <c r="A520" s="109" t="s">
        <v>575</v>
      </c>
      <c r="B520" s="112">
        <v>45908</v>
      </c>
      <c r="C520" s="109" t="s">
        <v>30</v>
      </c>
      <c r="D520" s="109" t="s">
        <v>26</v>
      </c>
      <c r="E520" s="109" t="s">
        <v>13</v>
      </c>
      <c r="F520" s="109" t="s">
        <v>39</v>
      </c>
      <c r="G520" s="109" t="s">
        <v>36</v>
      </c>
      <c r="H520" s="110">
        <v>235.2</v>
      </c>
      <c r="I520" s="109">
        <v>10</v>
      </c>
      <c r="J520" s="110">
        <v>2352</v>
      </c>
    </row>
    <row r="521" spans="1:10" x14ac:dyDescent="0.25">
      <c r="A521" s="109" t="s">
        <v>576</v>
      </c>
      <c r="B521" s="112">
        <v>45975</v>
      </c>
      <c r="C521" s="109" t="s">
        <v>34</v>
      </c>
      <c r="D521" s="109" t="s">
        <v>22</v>
      </c>
      <c r="E521" s="109" t="s">
        <v>41</v>
      </c>
      <c r="F521" s="109" t="s">
        <v>14</v>
      </c>
      <c r="G521" s="109" t="s">
        <v>15</v>
      </c>
      <c r="H521" s="110">
        <v>220.53</v>
      </c>
      <c r="I521" s="109">
        <v>2</v>
      </c>
      <c r="J521" s="110">
        <v>441.06</v>
      </c>
    </row>
    <row r="522" spans="1:10" x14ac:dyDescent="0.25">
      <c r="A522" s="109" t="s">
        <v>577</v>
      </c>
      <c r="B522" s="112">
        <v>45854</v>
      </c>
      <c r="C522" s="109" t="s">
        <v>25</v>
      </c>
      <c r="D522" s="109" t="s">
        <v>12</v>
      </c>
      <c r="E522" s="109" t="s">
        <v>41</v>
      </c>
      <c r="F522" s="109" t="s">
        <v>61</v>
      </c>
      <c r="G522" s="109" t="s">
        <v>20</v>
      </c>
      <c r="H522" s="110">
        <v>39.950000000000003</v>
      </c>
      <c r="I522" s="109">
        <v>18</v>
      </c>
      <c r="J522" s="110">
        <v>719.1</v>
      </c>
    </row>
    <row r="523" spans="1:10" x14ac:dyDescent="0.25">
      <c r="A523" s="109" t="s">
        <v>578</v>
      </c>
      <c r="B523" s="112">
        <v>45909</v>
      </c>
      <c r="C523" s="109" t="s">
        <v>17</v>
      </c>
      <c r="D523" s="109" t="s">
        <v>31</v>
      </c>
      <c r="E523" s="109" t="s">
        <v>41</v>
      </c>
      <c r="F523" s="109" t="s">
        <v>14</v>
      </c>
      <c r="G523" s="109" t="s">
        <v>15</v>
      </c>
      <c r="H523" s="110">
        <v>35.799999999999997</v>
      </c>
      <c r="I523" s="109">
        <v>14</v>
      </c>
      <c r="J523" s="110">
        <v>501.2</v>
      </c>
    </row>
    <row r="524" spans="1:10" x14ac:dyDescent="0.25">
      <c r="A524" s="109" t="s">
        <v>579</v>
      </c>
      <c r="B524" s="112">
        <v>45947</v>
      </c>
      <c r="C524" s="109" t="s">
        <v>30</v>
      </c>
      <c r="D524" s="109" t="s">
        <v>35</v>
      </c>
      <c r="E524" s="109" t="s">
        <v>45</v>
      </c>
      <c r="F524" s="109" t="s">
        <v>32</v>
      </c>
      <c r="G524" s="109" t="s">
        <v>15</v>
      </c>
      <c r="H524" s="110">
        <v>112.82</v>
      </c>
      <c r="I524" s="109">
        <v>1</v>
      </c>
      <c r="J524" s="110">
        <v>112.82</v>
      </c>
    </row>
    <row r="525" spans="1:10" x14ac:dyDescent="0.25">
      <c r="A525" s="109" t="s">
        <v>580</v>
      </c>
      <c r="B525" s="112">
        <v>45933</v>
      </c>
      <c r="C525" s="109" t="s">
        <v>30</v>
      </c>
      <c r="D525" s="109" t="s">
        <v>31</v>
      </c>
      <c r="E525" s="109" t="s">
        <v>18</v>
      </c>
      <c r="F525" s="109" t="s">
        <v>28</v>
      </c>
      <c r="G525" s="109" t="s">
        <v>36</v>
      </c>
      <c r="H525" s="110">
        <v>208.32</v>
      </c>
      <c r="I525" s="109">
        <v>10</v>
      </c>
      <c r="J525" s="110">
        <v>2083.1999999999998</v>
      </c>
    </row>
    <row r="526" spans="1:10" x14ac:dyDescent="0.25">
      <c r="A526" s="109" t="s">
        <v>581</v>
      </c>
      <c r="B526" s="112">
        <v>45939</v>
      </c>
      <c r="C526" s="109" t="s">
        <v>11</v>
      </c>
      <c r="D526" s="109" t="s">
        <v>55</v>
      </c>
      <c r="E526" s="109" t="s">
        <v>45</v>
      </c>
      <c r="F526" s="109" t="s">
        <v>32</v>
      </c>
      <c r="G526" s="109" t="s">
        <v>20</v>
      </c>
      <c r="H526" s="110">
        <v>247.2</v>
      </c>
      <c r="I526" s="109">
        <v>17</v>
      </c>
      <c r="J526" s="110">
        <v>4202.3999999999996</v>
      </c>
    </row>
    <row r="527" spans="1:10" x14ac:dyDescent="0.25">
      <c r="A527" s="109" t="s">
        <v>582</v>
      </c>
      <c r="B527" s="112">
        <v>45845</v>
      </c>
      <c r="C527" s="109" t="s">
        <v>11</v>
      </c>
      <c r="D527" s="109" t="s">
        <v>12</v>
      </c>
      <c r="E527" s="109" t="s">
        <v>41</v>
      </c>
      <c r="F527" s="109" t="s">
        <v>42</v>
      </c>
      <c r="G527" s="109" t="s">
        <v>15</v>
      </c>
      <c r="H527" s="110">
        <v>63.09</v>
      </c>
      <c r="I527" s="109">
        <v>18</v>
      </c>
      <c r="J527" s="110">
        <v>1135.6199999999999</v>
      </c>
    </row>
    <row r="528" spans="1:10" x14ac:dyDescent="0.25">
      <c r="A528" s="109" t="s">
        <v>583</v>
      </c>
      <c r="B528" s="112">
        <v>45875</v>
      </c>
      <c r="C528" s="109" t="s">
        <v>17</v>
      </c>
      <c r="D528" s="109" t="s">
        <v>12</v>
      </c>
      <c r="E528" s="109" t="s">
        <v>23</v>
      </c>
      <c r="F528" s="109" t="s">
        <v>32</v>
      </c>
      <c r="G528" s="109" t="s">
        <v>15</v>
      </c>
      <c r="H528" s="110">
        <v>160.71</v>
      </c>
      <c r="I528" s="109">
        <v>4</v>
      </c>
      <c r="J528" s="110">
        <v>642.84</v>
      </c>
    </row>
    <row r="529" spans="1:10" x14ac:dyDescent="0.25">
      <c r="A529" s="109" t="s">
        <v>584</v>
      </c>
      <c r="B529" s="112">
        <v>45888</v>
      </c>
      <c r="C529" s="109" t="s">
        <v>34</v>
      </c>
      <c r="D529" s="109" t="s">
        <v>22</v>
      </c>
      <c r="E529" s="109" t="s">
        <v>41</v>
      </c>
      <c r="F529" s="109" t="s">
        <v>39</v>
      </c>
      <c r="G529" s="109" t="s">
        <v>15</v>
      </c>
      <c r="H529" s="110">
        <v>113.8</v>
      </c>
      <c r="I529" s="109">
        <v>9</v>
      </c>
      <c r="J529" s="110">
        <v>1024.2</v>
      </c>
    </row>
    <row r="530" spans="1:10" x14ac:dyDescent="0.25">
      <c r="A530" s="109" t="s">
        <v>585</v>
      </c>
      <c r="B530" s="112">
        <v>45779</v>
      </c>
      <c r="C530" s="109" t="s">
        <v>17</v>
      </c>
      <c r="D530" s="109" t="s">
        <v>55</v>
      </c>
      <c r="E530" s="109" t="s">
        <v>27</v>
      </c>
      <c r="F530" s="109" t="s">
        <v>32</v>
      </c>
      <c r="G530" s="109" t="s">
        <v>20</v>
      </c>
      <c r="H530" s="110">
        <v>243.38</v>
      </c>
      <c r="I530" s="109">
        <v>7</v>
      </c>
      <c r="J530" s="110">
        <v>1703.66</v>
      </c>
    </row>
    <row r="531" spans="1:10" x14ac:dyDescent="0.25">
      <c r="A531" s="109" t="s">
        <v>586</v>
      </c>
      <c r="B531" s="112">
        <v>45970</v>
      </c>
      <c r="C531" s="109" t="s">
        <v>30</v>
      </c>
      <c r="D531" s="109" t="s">
        <v>55</v>
      </c>
      <c r="E531" s="109" t="s">
        <v>23</v>
      </c>
      <c r="F531" s="109" t="s">
        <v>39</v>
      </c>
      <c r="G531" s="109" t="s">
        <v>15</v>
      </c>
      <c r="H531" s="110">
        <v>215.27</v>
      </c>
      <c r="I531" s="109">
        <v>14</v>
      </c>
      <c r="J531" s="110">
        <v>3013.78</v>
      </c>
    </row>
    <row r="532" spans="1:10" x14ac:dyDescent="0.25">
      <c r="A532" s="109" t="s">
        <v>587</v>
      </c>
      <c r="B532" s="112">
        <v>45763</v>
      </c>
      <c r="C532" s="109" t="s">
        <v>25</v>
      </c>
      <c r="D532" s="109" t="s">
        <v>35</v>
      </c>
      <c r="E532" s="109" t="s">
        <v>18</v>
      </c>
      <c r="F532" s="109" t="s">
        <v>32</v>
      </c>
      <c r="G532" s="109" t="s">
        <v>20</v>
      </c>
      <c r="H532" s="110">
        <v>214.43</v>
      </c>
      <c r="I532" s="109">
        <v>2</v>
      </c>
      <c r="J532" s="110">
        <v>428.86</v>
      </c>
    </row>
    <row r="533" spans="1:10" x14ac:dyDescent="0.25">
      <c r="A533" s="109" t="s">
        <v>588</v>
      </c>
      <c r="B533" s="112">
        <v>45933</v>
      </c>
      <c r="C533" s="109" t="s">
        <v>34</v>
      </c>
      <c r="D533" s="109" t="s">
        <v>12</v>
      </c>
      <c r="E533" s="109" t="s">
        <v>13</v>
      </c>
      <c r="F533" s="109" t="s">
        <v>32</v>
      </c>
      <c r="G533" s="109" t="s">
        <v>20</v>
      </c>
      <c r="H533" s="110">
        <v>133.11000000000001</v>
      </c>
      <c r="I533" s="109">
        <v>6</v>
      </c>
      <c r="J533" s="110">
        <v>798.66</v>
      </c>
    </row>
    <row r="534" spans="1:10" x14ac:dyDescent="0.25">
      <c r="A534" s="109" t="s">
        <v>589</v>
      </c>
      <c r="B534" s="112">
        <v>45794</v>
      </c>
      <c r="C534" s="109" t="s">
        <v>17</v>
      </c>
      <c r="D534" s="109" t="s">
        <v>22</v>
      </c>
      <c r="E534" s="109" t="s">
        <v>23</v>
      </c>
      <c r="F534" s="109" t="s">
        <v>39</v>
      </c>
      <c r="G534" s="109" t="s">
        <v>36</v>
      </c>
      <c r="H534" s="110">
        <v>121.26</v>
      </c>
      <c r="I534" s="109">
        <v>17</v>
      </c>
      <c r="J534" s="110">
        <v>2061.42</v>
      </c>
    </row>
    <row r="535" spans="1:10" x14ac:dyDescent="0.25">
      <c r="A535" s="109" t="s">
        <v>590</v>
      </c>
      <c r="B535" s="112">
        <v>45688</v>
      </c>
      <c r="C535" s="109" t="s">
        <v>17</v>
      </c>
      <c r="D535" s="109" t="s">
        <v>26</v>
      </c>
      <c r="E535" s="109" t="s">
        <v>27</v>
      </c>
      <c r="F535" s="109" t="s">
        <v>39</v>
      </c>
      <c r="G535" s="109" t="s">
        <v>15</v>
      </c>
      <c r="H535" s="110">
        <v>90.15</v>
      </c>
      <c r="I535" s="109">
        <v>9</v>
      </c>
      <c r="J535" s="110">
        <v>811.35</v>
      </c>
    </row>
    <row r="536" spans="1:10" x14ac:dyDescent="0.25">
      <c r="A536" s="109" t="s">
        <v>591</v>
      </c>
      <c r="B536" s="112">
        <v>45785</v>
      </c>
      <c r="C536" s="109" t="s">
        <v>17</v>
      </c>
      <c r="D536" s="109" t="s">
        <v>35</v>
      </c>
      <c r="E536" s="109" t="s">
        <v>23</v>
      </c>
      <c r="F536" s="109" t="s">
        <v>39</v>
      </c>
      <c r="G536" s="109" t="s">
        <v>20</v>
      </c>
      <c r="H536" s="110">
        <v>42.4</v>
      </c>
      <c r="I536" s="109">
        <v>5</v>
      </c>
      <c r="J536" s="110">
        <v>212</v>
      </c>
    </row>
    <row r="537" spans="1:10" x14ac:dyDescent="0.25">
      <c r="A537" s="109" t="s">
        <v>592</v>
      </c>
      <c r="B537" s="112">
        <v>45859</v>
      </c>
      <c r="C537" s="109" t="s">
        <v>30</v>
      </c>
      <c r="D537" s="109" t="s">
        <v>55</v>
      </c>
      <c r="E537" s="109" t="s">
        <v>27</v>
      </c>
      <c r="F537" s="109" t="s">
        <v>32</v>
      </c>
      <c r="G537" s="109" t="s">
        <v>20</v>
      </c>
      <c r="H537" s="110">
        <v>220.24</v>
      </c>
      <c r="I537" s="109">
        <v>16</v>
      </c>
      <c r="J537" s="110">
        <v>3523.84</v>
      </c>
    </row>
    <row r="538" spans="1:10" x14ac:dyDescent="0.25">
      <c r="A538" s="109" t="s">
        <v>593</v>
      </c>
      <c r="B538" s="112">
        <v>45870</v>
      </c>
      <c r="C538" s="109" t="s">
        <v>38</v>
      </c>
      <c r="D538" s="109" t="s">
        <v>22</v>
      </c>
      <c r="E538" s="109" t="s">
        <v>27</v>
      </c>
      <c r="F538" s="109" t="s">
        <v>39</v>
      </c>
      <c r="G538" s="109" t="s">
        <v>15</v>
      </c>
      <c r="H538" s="110">
        <v>208.84</v>
      </c>
      <c r="I538" s="109">
        <v>13</v>
      </c>
      <c r="J538" s="110">
        <v>2714.92</v>
      </c>
    </row>
    <row r="539" spans="1:10" x14ac:dyDescent="0.25">
      <c r="A539" s="109" t="s">
        <v>594</v>
      </c>
      <c r="B539" s="112">
        <v>45864</v>
      </c>
      <c r="C539" s="109" t="s">
        <v>17</v>
      </c>
      <c r="D539" s="109" t="s">
        <v>35</v>
      </c>
      <c r="E539" s="109" t="s">
        <v>27</v>
      </c>
      <c r="F539" s="109" t="s">
        <v>32</v>
      </c>
      <c r="G539" s="109" t="s">
        <v>36</v>
      </c>
      <c r="H539" s="110">
        <v>249.94</v>
      </c>
      <c r="I539" s="109">
        <v>17</v>
      </c>
      <c r="J539" s="110">
        <v>4248.9799999999996</v>
      </c>
    </row>
    <row r="540" spans="1:10" x14ac:dyDescent="0.25">
      <c r="A540" s="109" t="s">
        <v>595</v>
      </c>
      <c r="B540" s="112">
        <v>45907</v>
      </c>
      <c r="C540" s="109" t="s">
        <v>25</v>
      </c>
      <c r="D540" s="109" t="s">
        <v>22</v>
      </c>
      <c r="E540" s="109" t="s">
        <v>27</v>
      </c>
      <c r="F540" s="109" t="s">
        <v>19</v>
      </c>
      <c r="G540" s="109" t="s">
        <v>20</v>
      </c>
      <c r="H540" s="110">
        <v>249.26</v>
      </c>
      <c r="I540" s="109">
        <v>11</v>
      </c>
      <c r="J540" s="110">
        <v>2741.86</v>
      </c>
    </row>
    <row r="541" spans="1:10" x14ac:dyDescent="0.25">
      <c r="A541" s="109" t="s">
        <v>596</v>
      </c>
      <c r="B541" s="112">
        <v>45892</v>
      </c>
      <c r="C541" s="109" t="s">
        <v>11</v>
      </c>
      <c r="D541" s="109" t="s">
        <v>55</v>
      </c>
      <c r="E541" s="109" t="s">
        <v>41</v>
      </c>
      <c r="F541" s="109" t="s">
        <v>14</v>
      </c>
      <c r="G541" s="109" t="s">
        <v>36</v>
      </c>
      <c r="H541" s="110">
        <v>152.19</v>
      </c>
      <c r="I541" s="109">
        <v>12</v>
      </c>
      <c r="J541" s="110">
        <v>1826.28</v>
      </c>
    </row>
    <row r="542" spans="1:10" x14ac:dyDescent="0.25">
      <c r="A542" s="109" t="s">
        <v>597</v>
      </c>
      <c r="B542" s="112">
        <v>45766</v>
      </c>
      <c r="C542" s="109" t="s">
        <v>34</v>
      </c>
      <c r="D542" s="109" t="s">
        <v>35</v>
      </c>
      <c r="E542" s="109" t="s">
        <v>13</v>
      </c>
      <c r="F542" s="109" t="s">
        <v>32</v>
      </c>
      <c r="G542" s="109" t="s">
        <v>20</v>
      </c>
      <c r="H542" s="110">
        <v>199.18</v>
      </c>
      <c r="I542" s="109">
        <v>16</v>
      </c>
      <c r="J542" s="110">
        <v>3186.88</v>
      </c>
    </row>
    <row r="543" spans="1:10" x14ac:dyDescent="0.25">
      <c r="A543" s="109" t="s">
        <v>598</v>
      </c>
      <c r="B543" s="112">
        <v>45953</v>
      </c>
      <c r="C543" s="109" t="s">
        <v>25</v>
      </c>
      <c r="D543" s="109" t="s">
        <v>31</v>
      </c>
      <c r="E543" s="109" t="s">
        <v>13</v>
      </c>
      <c r="F543" s="109" t="s">
        <v>28</v>
      </c>
      <c r="G543" s="109" t="s">
        <v>15</v>
      </c>
      <c r="H543" s="110">
        <v>237.85</v>
      </c>
      <c r="I543" s="109">
        <v>5</v>
      </c>
      <c r="J543" s="110">
        <v>1189.25</v>
      </c>
    </row>
    <row r="544" spans="1:10" x14ac:dyDescent="0.25">
      <c r="A544" s="109" t="s">
        <v>599</v>
      </c>
      <c r="B544" s="112">
        <v>45681</v>
      </c>
      <c r="C544" s="109" t="s">
        <v>17</v>
      </c>
      <c r="D544" s="109" t="s">
        <v>31</v>
      </c>
      <c r="E544" s="109" t="s">
        <v>45</v>
      </c>
      <c r="F544" s="109" t="s">
        <v>19</v>
      </c>
      <c r="G544" s="109" t="s">
        <v>15</v>
      </c>
      <c r="H544" s="110">
        <v>216.92</v>
      </c>
      <c r="I544" s="109">
        <v>4</v>
      </c>
      <c r="J544" s="110">
        <v>867.68</v>
      </c>
    </row>
    <row r="545" spans="1:10" x14ac:dyDescent="0.25">
      <c r="A545" s="109" t="s">
        <v>600</v>
      </c>
      <c r="B545" s="112">
        <v>45883</v>
      </c>
      <c r="C545" s="109" t="s">
        <v>11</v>
      </c>
      <c r="D545" s="109" t="s">
        <v>31</v>
      </c>
      <c r="E545" s="109" t="s">
        <v>23</v>
      </c>
      <c r="F545" s="109" t="s">
        <v>28</v>
      </c>
      <c r="G545" s="109" t="s">
        <v>15</v>
      </c>
      <c r="H545" s="110">
        <v>84.42</v>
      </c>
      <c r="I545" s="109">
        <v>15</v>
      </c>
      <c r="J545" s="110">
        <v>1266.3</v>
      </c>
    </row>
    <row r="546" spans="1:10" x14ac:dyDescent="0.25">
      <c r="A546" s="109" t="s">
        <v>601</v>
      </c>
      <c r="B546" s="112">
        <v>45990</v>
      </c>
      <c r="C546" s="109" t="s">
        <v>30</v>
      </c>
      <c r="D546" s="109" t="s">
        <v>35</v>
      </c>
      <c r="E546" s="109" t="s">
        <v>45</v>
      </c>
      <c r="F546" s="109" t="s">
        <v>28</v>
      </c>
      <c r="G546" s="109" t="s">
        <v>36</v>
      </c>
      <c r="H546" s="110">
        <v>129.12</v>
      </c>
      <c r="I546" s="109">
        <v>10</v>
      </c>
      <c r="J546" s="110">
        <v>1291.2</v>
      </c>
    </row>
    <row r="547" spans="1:10" x14ac:dyDescent="0.25">
      <c r="A547" s="109" t="s">
        <v>602</v>
      </c>
      <c r="B547" s="112">
        <v>45786</v>
      </c>
      <c r="C547" s="109" t="s">
        <v>34</v>
      </c>
      <c r="D547" s="109" t="s">
        <v>12</v>
      </c>
      <c r="E547" s="109" t="s">
        <v>27</v>
      </c>
      <c r="F547" s="109" t="s">
        <v>14</v>
      </c>
      <c r="G547" s="109" t="s">
        <v>15</v>
      </c>
      <c r="H547" s="110">
        <v>58.42</v>
      </c>
      <c r="I547" s="109">
        <v>3</v>
      </c>
      <c r="J547" s="110">
        <v>175.26</v>
      </c>
    </row>
    <row r="548" spans="1:10" x14ac:dyDescent="0.25">
      <c r="A548" s="109" t="s">
        <v>603</v>
      </c>
      <c r="B548" s="112">
        <v>45860</v>
      </c>
      <c r="C548" s="109" t="s">
        <v>17</v>
      </c>
      <c r="D548" s="109" t="s">
        <v>12</v>
      </c>
      <c r="E548" s="109" t="s">
        <v>23</v>
      </c>
      <c r="F548" s="109" t="s">
        <v>61</v>
      </c>
      <c r="G548" s="109" t="s">
        <v>20</v>
      </c>
      <c r="H548" s="110">
        <v>239.89</v>
      </c>
      <c r="I548" s="109">
        <v>10</v>
      </c>
      <c r="J548" s="110">
        <v>2398.9</v>
      </c>
    </row>
    <row r="549" spans="1:10" x14ac:dyDescent="0.25">
      <c r="A549" s="109" t="s">
        <v>604</v>
      </c>
      <c r="B549" s="112">
        <v>45704</v>
      </c>
      <c r="C549" s="109" t="s">
        <v>11</v>
      </c>
      <c r="D549" s="109" t="s">
        <v>26</v>
      </c>
      <c r="E549" s="109" t="s">
        <v>41</v>
      </c>
      <c r="F549" s="109" t="s">
        <v>19</v>
      </c>
      <c r="G549" s="109" t="s">
        <v>15</v>
      </c>
      <c r="H549" s="110">
        <v>163.36000000000001</v>
      </c>
      <c r="I549" s="109">
        <v>4</v>
      </c>
      <c r="J549" s="110">
        <v>653.44000000000005</v>
      </c>
    </row>
    <row r="550" spans="1:10" x14ac:dyDescent="0.25">
      <c r="A550" s="109" t="s">
        <v>605</v>
      </c>
      <c r="B550" s="112">
        <v>45961</v>
      </c>
      <c r="C550" s="109" t="s">
        <v>25</v>
      </c>
      <c r="D550" s="109" t="s">
        <v>12</v>
      </c>
      <c r="E550" s="109" t="s">
        <v>41</v>
      </c>
      <c r="F550" s="109" t="s">
        <v>19</v>
      </c>
      <c r="G550" s="109" t="s">
        <v>15</v>
      </c>
      <c r="H550" s="110">
        <v>80.3</v>
      </c>
      <c r="I550" s="109">
        <v>8</v>
      </c>
      <c r="J550" s="110">
        <v>642.4</v>
      </c>
    </row>
    <row r="551" spans="1:10" x14ac:dyDescent="0.25">
      <c r="A551" s="109" t="s">
        <v>606</v>
      </c>
      <c r="B551" s="112">
        <v>46014</v>
      </c>
      <c r="C551" s="109" t="s">
        <v>11</v>
      </c>
      <c r="D551" s="109" t="s">
        <v>31</v>
      </c>
      <c r="E551" s="109" t="s">
        <v>27</v>
      </c>
      <c r="F551" s="109" t="s">
        <v>14</v>
      </c>
      <c r="G551" s="109" t="s">
        <v>36</v>
      </c>
      <c r="H551" s="110">
        <v>177.77</v>
      </c>
      <c r="I551" s="109">
        <v>11</v>
      </c>
      <c r="J551" s="110">
        <v>1955.47</v>
      </c>
    </row>
    <row r="552" spans="1:10" x14ac:dyDescent="0.25">
      <c r="A552" s="109" t="s">
        <v>607</v>
      </c>
      <c r="B552" s="112">
        <v>45694</v>
      </c>
      <c r="C552" s="109" t="s">
        <v>38</v>
      </c>
      <c r="D552" s="109" t="s">
        <v>22</v>
      </c>
      <c r="E552" s="109" t="s">
        <v>27</v>
      </c>
      <c r="F552" s="109" t="s">
        <v>39</v>
      </c>
      <c r="G552" s="109" t="s">
        <v>15</v>
      </c>
      <c r="H552" s="110">
        <v>165.99</v>
      </c>
      <c r="I552" s="109">
        <v>8</v>
      </c>
      <c r="J552" s="110">
        <v>1327.92</v>
      </c>
    </row>
    <row r="553" spans="1:10" x14ac:dyDescent="0.25">
      <c r="A553" s="109" t="s">
        <v>608</v>
      </c>
      <c r="B553" s="112">
        <v>45710</v>
      </c>
      <c r="C553" s="109" t="s">
        <v>34</v>
      </c>
      <c r="D553" s="109" t="s">
        <v>35</v>
      </c>
      <c r="E553" s="109" t="s">
        <v>23</v>
      </c>
      <c r="F553" s="109" t="s">
        <v>61</v>
      </c>
      <c r="G553" s="109" t="s">
        <v>15</v>
      </c>
      <c r="H553" s="110">
        <v>108.8</v>
      </c>
      <c r="I553" s="109">
        <v>11</v>
      </c>
      <c r="J553" s="110">
        <v>1196.8</v>
      </c>
    </row>
    <row r="554" spans="1:10" x14ac:dyDescent="0.25">
      <c r="A554" s="109" t="s">
        <v>609</v>
      </c>
      <c r="B554" s="112">
        <v>45986</v>
      </c>
      <c r="C554" s="109" t="s">
        <v>11</v>
      </c>
      <c r="D554" s="109" t="s">
        <v>55</v>
      </c>
      <c r="E554" s="109" t="s">
        <v>18</v>
      </c>
      <c r="F554" s="109" t="s">
        <v>19</v>
      </c>
      <c r="G554" s="109" t="s">
        <v>20</v>
      </c>
      <c r="H554" s="110">
        <v>54.98</v>
      </c>
      <c r="I554" s="109">
        <v>5</v>
      </c>
      <c r="J554" s="110">
        <v>274.89999999999998</v>
      </c>
    </row>
    <row r="555" spans="1:10" x14ac:dyDescent="0.25">
      <c r="A555" s="109" t="s">
        <v>610</v>
      </c>
      <c r="B555" s="112">
        <v>45990</v>
      </c>
      <c r="C555" s="109" t="s">
        <v>38</v>
      </c>
      <c r="D555" s="109" t="s">
        <v>35</v>
      </c>
      <c r="E555" s="109" t="s">
        <v>27</v>
      </c>
      <c r="F555" s="109" t="s">
        <v>14</v>
      </c>
      <c r="G555" s="109" t="s">
        <v>20</v>
      </c>
      <c r="H555" s="110">
        <v>177.75</v>
      </c>
      <c r="I555" s="109">
        <v>6</v>
      </c>
      <c r="J555" s="110">
        <v>1066.5</v>
      </c>
    </row>
    <row r="556" spans="1:10" x14ac:dyDescent="0.25">
      <c r="A556" s="109" t="s">
        <v>611</v>
      </c>
      <c r="B556" s="112">
        <v>45735</v>
      </c>
      <c r="C556" s="109" t="s">
        <v>25</v>
      </c>
      <c r="D556" s="109" t="s">
        <v>12</v>
      </c>
      <c r="E556" s="109" t="s">
        <v>41</v>
      </c>
      <c r="F556" s="109" t="s">
        <v>39</v>
      </c>
      <c r="G556" s="109" t="s">
        <v>15</v>
      </c>
      <c r="H556" s="110">
        <v>144.47</v>
      </c>
      <c r="I556" s="109">
        <v>14</v>
      </c>
      <c r="J556" s="110">
        <v>2022.58</v>
      </c>
    </row>
    <row r="557" spans="1:10" x14ac:dyDescent="0.25">
      <c r="A557" s="109" t="s">
        <v>612</v>
      </c>
      <c r="B557" s="112">
        <v>45702</v>
      </c>
      <c r="C557" s="109" t="s">
        <v>30</v>
      </c>
      <c r="D557" s="109" t="s">
        <v>22</v>
      </c>
      <c r="E557" s="109" t="s">
        <v>18</v>
      </c>
      <c r="F557" s="109" t="s">
        <v>28</v>
      </c>
      <c r="G557" s="109" t="s">
        <v>36</v>
      </c>
      <c r="H557" s="110">
        <v>199.91</v>
      </c>
      <c r="I557" s="109">
        <v>4</v>
      </c>
      <c r="J557" s="110">
        <v>799.64</v>
      </c>
    </row>
    <row r="558" spans="1:10" x14ac:dyDescent="0.25">
      <c r="A558" s="109" t="s">
        <v>613</v>
      </c>
      <c r="B558" s="112">
        <v>45837</v>
      </c>
      <c r="C558" s="109" t="s">
        <v>34</v>
      </c>
      <c r="D558" s="109" t="s">
        <v>26</v>
      </c>
      <c r="E558" s="109" t="s">
        <v>23</v>
      </c>
      <c r="F558" s="109" t="s">
        <v>32</v>
      </c>
      <c r="G558" s="109" t="s">
        <v>20</v>
      </c>
      <c r="H558" s="110">
        <v>144.44</v>
      </c>
      <c r="I558" s="109">
        <v>14</v>
      </c>
      <c r="J558" s="110">
        <v>2022.16</v>
      </c>
    </row>
    <row r="559" spans="1:10" x14ac:dyDescent="0.25">
      <c r="A559" s="109" t="s">
        <v>614</v>
      </c>
      <c r="B559" s="112">
        <v>45701</v>
      </c>
      <c r="C559" s="109" t="s">
        <v>25</v>
      </c>
      <c r="D559" s="109" t="s">
        <v>55</v>
      </c>
      <c r="E559" s="109" t="s">
        <v>18</v>
      </c>
      <c r="F559" s="109" t="s">
        <v>28</v>
      </c>
      <c r="G559" s="109" t="s">
        <v>20</v>
      </c>
      <c r="H559" s="110">
        <v>217.48</v>
      </c>
      <c r="I559" s="109">
        <v>8</v>
      </c>
      <c r="J559" s="110">
        <v>1739.84</v>
      </c>
    </row>
    <row r="560" spans="1:10" x14ac:dyDescent="0.25">
      <c r="A560" s="109" t="s">
        <v>615</v>
      </c>
      <c r="B560" s="112">
        <v>45803</v>
      </c>
      <c r="C560" s="109" t="s">
        <v>17</v>
      </c>
      <c r="D560" s="109" t="s">
        <v>35</v>
      </c>
      <c r="E560" s="109" t="s">
        <v>23</v>
      </c>
      <c r="F560" s="109" t="s">
        <v>42</v>
      </c>
      <c r="G560" s="109" t="s">
        <v>20</v>
      </c>
      <c r="H560" s="110">
        <v>151.41999999999999</v>
      </c>
      <c r="I560" s="109">
        <v>1</v>
      </c>
      <c r="J560" s="110">
        <v>151.41999999999999</v>
      </c>
    </row>
    <row r="561" spans="1:10" x14ac:dyDescent="0.25">
      <c r="A561" s="109" t="s">
        <v>616</v>
      </c>
      <c r="B561" s="112">
        <v>45918</v>
      </c>
      <c r="C561" s="109" t="s">
        <v>17</v>
      </c>
      <c r="D561" s="109" t="s">
        <v>31</v>
      </c>
      <c r="E561" s="109" t="s">
        <v>13</v>
      </c>
      <c r="F561" s="109" t="s">
        <v>28</v>
      </c>
      <c r="G561" s="109" t="s">
        <v>15</v>
      </c>
      <c r="H561" s="110">
        <v>153.41</v>
      </c>
      <c r="I561" s="109">
        <v>7</v>
      </c>
      <c r="J561" s="110">
        <v>1073.8699999999999</v>
      </c>
    </row>
    <row r="562" spans="1:10" x14ac:dyDescent="0.25">
      <c r="A562" s="109" t="s">
        <v>617</v>
      </c>
      <c r="B562" s="112">
        <v>45780</v>
      </c>
      <c r="C562" s="109" t="s">
        <v>38</v>
      </c>
      <c r="D562" s="109" t="s">
        <v>22</v>
      </c>
      <c r="E562" s="109" t="s">
        <v>23</v>
      </c>
      <c r="F562" s="109" t="s">
        <v>61</v>
      </c>
      <c r="G562" s="109" t="s">
        <v>20</v>
      </c>
      <c r="H562" s="110">
        <v>222.86</v>
      </c>
      <c r="I562" s="109">
        <v>16</v>
      </c>
      <c r="J562" s="110">
        <v>3565.76</v>
      </c>
    </row>
    <row r="563" spans="1:10" x14ac:dyDescent="0.25">
      <c r="A563" s="109" t="s">
        <v>618</v>
      </c>
      <c r="B563" s="112">
        <v>45962</v>
      </c>
      <c r="C563" s="109" t="s">
        <v>25</v>
      </c>
      <c r="D563" s="109" t="s">
        <v>22</v>
      </c>
      <c r="E563" s="109" t="s">
        <v>13</v>
      </c>
      <c r="F563" s="109" t="s">
        <v>32</v>
      </c>
      <c r="G563" s="109" t="s">
        <v>15</v>
      </c>
      <c r="H563" s="110">
        <v>118.77</v>
      </c>
      <c r="I563" s="109">
        <v>3</v>
      </c>
      <c r="J563" s="110">
        <v>356.31</v>
      </c>
    </row>
    <row r="564" spans="1:10" x14ac:dyDescent="0.25">
      <c r="A564" s="109" t="s">
        <v>619</v>
      </c>
      <c r="B564" s="112">
        <v>45856</v>
      </c>
      <c r="C564" s="109" t="s">
        <v>38</v>
      </c>
      <c r="D564" s="109" t="s">
        <v>35</v>
      </c>
      <c r="E564" s="109" t="s">
        <v>18</v>
      </c>
      <c r="F564" s="109" t="s">
        <v>28</v>
      </c>
      <c r="G564" s="109" t="s">
        <v>15</v>
      </c>
      <c r="H564" s="110">
        <v>59.48</v>
      </c>
      <c r="I564" s="109">
        <v>19</v>
      </c>
      <c r="J564" s="110">
        <v>1130.1199999999999</v>
      </c>
    </row>
    <row r="565" spans="1:10" x14ac:dyDescent="0.25">
      <c r="A565" s="109" t="s">
        <v>620</v>
      </c>
      <c r="B565" s="112">
        <v>45899</v>
      </c>
      <c r="C565" s="109" t="s">
        <v>11</v>
      </c>
      <c r="D565" s="109" t="s">
        <v>55</v>
      </c>
      <c r="E565" s="109" t="s">
        <v>45</v>
      </c>
      <c r="F565" s="109" t="s">
        <v>19</v>
      </c>
      <c r="G565" s="109" t="s">
        <v>36</v>
      </c>
      <c r="H565" s="110">
        <v>36.33</v>
      </c>
      <c r="I565" s="109">
        <v>3</v>
      </c>
      <c r="J565" s="110">
        <v>108.99</v>
      </c>
    </row>
    <row r="566" spans="1:10" x14ac:dyDescent="0.25">
      <c r="A566" s="109" t="s">
        <v>621</v>
      </c>
      <c r="B566" s="112">
        <v>45768</v>
      </c>
      <c r="C566" s="109" t="s">
        <v>11</v>
      </c>
      <c r="D566" s="109" t="s">
        <v>31</v>
      </c>
      <c r="E566" s="109" t="s">
        <v>18</v>
      </c>
      <c r="F566" s="109" t="s">
        <v>32</v>
      </c>
      <c r="G566" s="109" t="s">
        <v>20</v>
      </c>
      <c r="H566" s="110">
        <v>196.13</v>
      </c>
      <c r="I566" s="109">
        <v>2</v>
      </c>
      <c r="J566" s="110">
        <v>392.26</v>
      </c>
    </row>
    <row r="567" spans="1:10" x14ac:dyDescent="0.25">
      <c r="A567" s="109" t="s">
        <v>622</v>
      </c>
      <c r="B567" s="112">
        <v>46022</v>
      </c>
      <c r="C567" s="109" t="s">
        <v>38</v>
      </c>
      <c r="D567" s="109" t="s">
        <v>31</v>
      </c>
      <c r="E567" s="109" t="s">
        <v>27</v>
      </c>
      <c r="F567" s="109" t="s">
        <v>61</v>
      </c>
      <c r="G567" s="109" t="s">
        <v>15</v>
      </c>
      <c r="H567" s="110">
        <v>166.47</v>
      </c>
      <c r="I567" s="109">
        <v>17</v>
      </c>
      <c r="J567" s="110">
        <v>2829.99</v>
      </c>
    </row>
    <row r="568" spans="1:10" x14ac:dyDescent="0.25">
      <c r="A568" s="109" t="s">
        <v>623</v>
      </c>
      <c r="B568" s="112">
        <v>45985</v>
      </c>
      <c r="C568" s="109" t="s">
        <v>25</v>
      </c>
      <c r="D568" s="109" t="s">
        <v>55</v>
      </c>
      <c r="E568" s="109" t="s">
        <v>23</v>
      </c>
      <c r="F568" s="109" t="s">
        <v>32</v>
      </c>
      <c r="G568" s="109" t="s">
        <v>15</v>
      </c>
      <c r="H568" s="110">
        <v>184.9</v>
      </c>
      <c r="I568" s="109">
        <v>18</v>
      </c>
      <c r="J568" s="110">
        <v>3328.2</v>
      </c>
    </row>
    <row r="569" spans="1:10" x14ac:dyDescent="0.25">
      <c r="A569" s="109" t="s">
        <v>624</v>
      </c>
      <c r="B569" s="112">
        <v>45816</v>
      </c>
      <c r="C569" s="109" t="s">
        <v>25</v>
      </c>
      <c r="D569" s="109" t="s">
        <v>26</v>
      </c>
      <c r="E569" s="109" t="s">
        <v>23</v>
      </c>
      <c r="F569" s="109" t="s">
        <v>42</v>
      </c>
      <c r="G569" s="109" t="s">
        <v>36</v>
      </c>
      <c r="H569" s="110">
        <v>76.849999999999994</v>
      </c>
      <c r="I569" s="109">
        <v>3</v>
      </c>
      <c r="J569" s="110">
        <v>230.55</v>
      </c>
    </row>
    <row r="570" spans="1:10" x14ac:dyDescent="0.25">
      <c r="A570" s="109" t="s">
        <v>625</v>
      </c>
      <c r="B570" s="112">
        <v>45858</v>
      </c>
      <c r="C570" s="109" t="s">
        <v>17</v>
      </c>
      <c r="D570" s="109" t="s">
        <v>12</v>
      </c>
      <c r="E570" s="109" t="s">
        <v>27</v>
      </c>
      <c r="F570" s="109" t="s">
        <v>28</v>
      </c>
      <c r="G570" s="109" t="s">
        <v>15</v>
      </c>
      <c r="H570" s="110">
        <v>60</v>
      </c>
      <c r="I570" s="109">
        <v>19</v>
      </c>
      <c r="J570" s="110">
        <v>1140</v>
      </c>
    </row>
    <row r="571" spans="1:10" x14ac:dyDescent="0.25">
      <c r="A571" s="109" t="s">
        <v>626</v>
      </c>
      <c r="B571" s="112">
        <v>45816</v>
      </c>
      <c r="C571" s="109" t="s">
        <v>17</v>
      </c>
      <c r="D571" s="109" t="s">
        <v>26</v>
      </c>
      <c r="E571" s="109" t="s">
        <v>45</v>
      </c>
      <c r="F571" s="109" t="s">
        <v>14</v>
      </c>
      <c r="G571" s="109" t="s">
        <v>15</v>
      </c>
      <c r="H571" s="110">
        <v>33.200000000000003</v>
      </c>
      <c r="I571" s="109">
        <v>14</v>
      </c>
      <c r="J571" s="110">
        <v>464.8</v>
      </c>
    </row>
    <row r="572" spans="1:10" x14ac:dyDescent="0.25">
      <c r="A572" s="109" t="s">
        <v>627</v>
      </c>
      <c r="B572" s="112">
        <v>45880</v>
      </c>
      <c r="C572" s="109" t="s">
        <v>38</v>
      </c>
      <c r="D572" s="109" t="s">
        <v>55</v>
      </c>
      <c r="E572" s="109" t="s">
        <v>18</v>
      </c>
      <c r="F572" s="109" t="s">
        <v>19</v>
      </c>
      <c r="G572" s="109" t="s">
        <v>36</v>
      </c>
      <c r="H572" s="110">
        <v>107.13</v>
      </c>
      <c r="I572" s="109">
        <v>4</v>
      </c>
      <c r="J572" s="110">
        <v>428.52</v>
      </c>
    </row>
    <row r="573" spans="1:10" x14ac:dyDescent="0.25">
      <c r="A573" s="109" t="s">
        <v>628</v>
      </c>
      <c r="B573" s="112">
        <v>45999</v>
      </c>
      <c r="C573" s="109" t="s">
        <v>11</v>
      </c>
      <c r="D573" s="109" t="s">
        <v>22</v>
      </c>
      <c r="E573" s="109" t="s">
        <v>27</v>
      </c>
      <c r="F573" s="109" t="s">
        <v>14</v>
      </c>
      <c r="G573" s="109" t="s">
        <v>20</v>
      </c>
      <c r="H573" s="110">
        <v>159.78</v>
      </c>
      <c r="I573" s="109">
        <v>6</v>
      </c>
      <c r="J573" s="110">
        <v>958.68</v>
      </c>
    </row>
    <row r="574" spans="1:10" x14ac:dyDescent="0.25">
      <c r="A574" s="109" t="s">
        <v>629</v>
      </c>
      <c r="B574" s="112">
        <v>45663</v>
      </c>
      <c r="C574" s="109" t="s">
        <v>38</v>
      </c>
      <c r="D574" s="109" t="s">
        <v>35</v>
      </c>
      <c r="E574" s="109" t="s">
        <v>18</v>
      </c>
      <c r="F574" s="109" t="s">
        <v>42</v>
      </c>
      <c r="G574" s="109" t="s">
        <v>20</v>
      </c>
      <c r="H574" s="110">
        <v>116.29</v>
      </c>
      <c r="I574" s="109">
        <v>6</v>
      </c>
      <c r="J574" s="110">
        <v>697.74</v>
      </c>
    </row>
    <row r="575" spans="1:10" x14ac:dyDescent="0.25">
      <c r="A575" s="109" t="s">
        <v>630</v>
      </c>
      <c r="B575" s="112">
        <v>45790</v>
      </c>
      <c r="C575" s="109" t="s">
        <v>34</v>
      </c>
      <c r="D575" s="109" t="s">
        <v>26</v>
      </c>
      <c r="E575" s="109" t="s">
        <v>27</v>
      </c>
      <c r="F575" s="109" t="s">
        <v>39</v>
      </c>
      <c r="G575" s="109" t="s">
        <v>36</v>
      </c>
      <c r="H575" s="110">
        <v>126.24</v>
      </c>
      <c r="I575" s="109">
        <v>6</v>
      </c>
      <c r="J575" s="110">
        <v>757.44</v>
      </c>
    </row>
    <row r="576" spans="1:10" x14ac:dyDescent="0.25">
      <c r="A576" s="109" t="s">
        <v>631</v>
      </c>
      <c r="B576" s="112">
        <v>45718</v>
      </c>
      <c r="C576" s="109" t="s">
        <v>34</v>
      </c>
      <c r="D576" s="109" t="s">
        <v>31</v>
      </c>
      <c r="E576" s="109" t="s">
        <v>13</v>
      </c>
      <c r="F576" s="109" t="s">
        <v>42</v>
      </c>
      <c r="G576" s="109" t="s">
        <v>15</v>
      </c>
      <c r="H576" s="110">
        <v>228.91</v>
      </c>
      <c r="I576" s="109">
        <v>1</v>
      </c>
      <c r="J576" s="110">
        <v>228.91</v>
      </c>
    </row>
    <row r="577" spans="1:10" x14ac:dyDescent="0.25">
      <c r="A577" s="109" t="s">
        <v>632</v>
      </c>
      <c r="B577" s="112">
        <v>45792</v>
      </c>
      <c r="C577" s="109" t="s">
        <v>17</v>
      </c>
      <c r="D577" s="109" t="s">
        <v>22</v>
      </c>
      <c r="E577" s="109" t="s">
        <v>41</v>
      </c>
      <c r="F577" s="109" t="s">
        <v>61</v>
      </c>
      <c r="G577" s="109" t="s">
        <v>20</v>
      </c>
      <c r="H577" s="110">
        <v>106.62</v>
      </c>
      <c r="I577" s="109">
        <v>19</v>
      </c>
      <c r="J577" s="110">
        <v>2025.78</v>
      </c>
    </row>
    <row r="578" spans="1:10" x14ac:dyDescent="0.25">
      <c r="A578" s="109" t="s">
        <v>633</v>
      </c>
      <c r="B578" s="112">
        <v>45842</v>
      </c>
      <c r="C578" s="109" t="s">
        <v>38</v>
      </c>
      <c r="D578" s="109" t="s">
        <v>55</v>
      </c>
      <c r="E578" s="109" t="s">
        <v>23</v>
      </c>
      <c r="F578" s="109" t="s">
        <v>32</v>
      </c>
      <c r="G578" s="109" t="s">
        <v>15</v>
      </c>
      <c r="H578" s="110">
        <v>143.08000000000001</v>
      </c>
      <c r="I578" s="109">
        <v>2</v>
      </c>
      <c r="J578" s="110">
        <v>286.16000000000003</v>
      </c>
    </row>
    <row r="579" spans="1:10" x14ac:dyDescent="0.25">
      <c r="A579" s="109" t="s">
        <v>634</v>
      </c>
      <c r="B579" s="112">
        <v>45788</v>
      </c>
      <c r="C579" s="109" t="s">
        <v>25</v>
      </c>
      <c r="D579" s="109" t="s">
        <v>12</v>
      </c>
      <c r="E579" s="109" t="s">
        <v>27</v>
      </c>
      <c r="F579" s="109" t="s">
        <v>19</v>
      </c>
      <c r="G579" s="109" t="s">
        <v>15</v>
      </c>
      <c r="H579" s="110">
        <v>202.4</v>
      </c>
      <c r="I579" s="109">
        <v>4</v>
      </c>
      <c r="J579" s="110">
        <v>809.6</v>
      </c>
    </row>
    <row r="580" spans="1:10" x14ac:dyDescent="0.25">
      <c r="A580" s="109" t="s">
        <v>635</v>
      </c>
      <c r="B580" s="112">
        <v>45918</v>
      </c>
      <c r="C580" s="109" t="s">
        <v>11</v>
      </c>
      <c r="D580" s="109" t="s">
        <v>22</v>
      </c>
      <c r="E580" s="109" t="s">
        <v>23</v>
      </c>
      <c r="F580" s="109" t="s">
        <v>19</v>
      </c>
      <c r="G580" s="109" t="s">
        <v>36</v>
      </c>
      <c r="H580" s="110">
        <v>117.24</v>
      </c>
      <c r="I580" s="109">
        <v>1</v>
      </c>
      <c r="J580" s="110">
        <v>117.24</v>
      </c>
    </row>
    <row r="581" spans="1:10" x14ac:dyDescent="0.25">
      <c r="A581" s="109" t="s">
        <v>636</v>
      </c>
      <c r="B581" s="112">
        <v>45844</v>
      </c>
      <c r="C581" s="109" t="s">
        <v>30</v>
      </c>
      <c r="D581" s="109" t="s">
        <v>26</v>
      </c>
      <c r="E581" s="109" t="s">
        <v>45</v>
      </c>
      <c r="F581" s="109" t="s">
        <v>42</v>
      </c>
      <c r="G581" s="109" t="s">
        <v>20</v>
      </c>
      <c r="H581" s="110">
        <v>166.86</v>
      </c>
      <c r="I581" s="109">
        <v>13</v>
      </c>
      <c r="J581" s="110">
        <v>2169.1799999999998</v>
      </c>
    </row>
    <row r="582" spans="1:10" x14ac:dyDescent="0.25">
      <c r="A582" s="109" t="s">
        <v>637</v>
      </c>
      <c r="B582" s="112">
        <v>45993</v>
      </c>
      <c r="C582" s="109" t="s">
        <v>30</v>
      </c>
      <c r="D582" s="109" t="s">
        <v>35</v>
      </c>
      <c r="E582" s="109" t="s">
        <v>23</v>
      </c>
      <c r="F582" s="109" t="s">
        <v>61</v>
      </c>
      <c r="G582" s="109" t="s">
        <v>20</v>
      </c>
      <c r="H582" s="110">
        <v>219.72</v>
      </c>
      <c r="I582" s="109">
        <v>14</v>
      </c>
      <c r="J582" s="110">
        <v>3076.08</v>
      </c>
    </row>
    <row r="583" spans="1:10" x14ac:dyDescent="0.25">
      <c r="A583" s="109" t="s">
        <v>638</v>
      </c>
      <c r="B583" s="112">
        <v>45821</v>
      </c>
      <c r="C583" s="109" t="s">
        <v>11</v>
      </c>
      <c r="D583" s="109" t="s">
        <v>55</v>
      </c>
      <c r="E583" s="109" t="s">
        <v>13</v>
      </c>
      <c r="F583" s="109" t="s">
        <v>19</v>
      </c>
      <c r="G583" s="109" t="s">
        <v>20</v>
      </c>
      <c r="H583" s="110">
        <v>238.89</v>
      </c>
      <c r="I583" s="109">
        <v>9</v>
      </c>
      <c r="J583" s="110">
        <v>2150.0100000000002</v>
      </c>
    </row>
    <row r="584" spans="1:10" x14ac:dyDescent="0.25">
      <c r="A584" s="109" t="s">
        <v>639</v>
      </c>
      <c r="B584" s="112">
        <v>46002</v>
      </c>
      <c r="C584" s="109" t="s">
        <v>30</v>
      </c>
      <c r="D584" s="109" t="s">
        <v>26</v>
      </c>
      <c r="E584" s="109" t="s">
        <v>18</v>
      </c>
      <c r="F584" s="109" t="s">
        <v>19</v>
      </c>
      <c r="G584" s="109" t="s">
        <v>36</v>
      </c>
      <c r="H584" s="110">
        <v>62.36</v>
      </c>
      <c r="I584" s="109">
        <v>2</v>
      </c>
      <c r="J584" s="110">
        <v>124.72</v>
      </c>
    </row>
    <row r="585" spans="1:10" x14ac:dyDescent="0.25">
      <c r="A585" s="109" t="s">
        <v>640</v>
      </c>
      <c r="B585" s="112">
        <v>45693</v>
      </c>
      <c r="C585" s="109" t="s">
        <v>34</v>
      </c>
      <c r="D585" s="109" t="s">
        <v>35</v>
      </c>
      <c r="E585" s="109" t="s">
        <v>13</v>
      </c>
      <c r="F585" s="109" t="s">
        <v>19</v>
      </c>
      <c r="G585" s="109" t="s">
        <v>20</v>
      </c>
      <c r="H585" s="110">
        <v>233.85</v>
      </c>
      <c r="I585" s="109">
        <v>15</v>
      </c>
      <c r="J585" s="110">
        <v>3507.75</v>
      </c>
    </row>
    <row r="586" spans="1:10" x14ac:dyDescent="0.25">
      <c r="A586" s="109" t="s">
        <v>641</v>
      </c>
      <c r="B586" s="112">
        <v>45891</v>
      </c>
      <c r="C586" s="109" t="s">
        <v>34</v>
      </c>
      <c r="D586" s="109" t="s">
        <v>26</v>
      </c>
      <c r="E586" s="109" t="s">
        <v>13</v>
      </c>
      <c r="F586" s="109" t="s">
        <v>42</v>
      </c>
      <c r="G586" s="109" t="s">
        <v>36</v>
      </c>
      <c r="H586" s="110">
        <v>138.27000000000001</v>
      </c>
      <c r="I586" s="109">
        <v>1</v>
      </c>
      <c r="J586" s="110">
        <v>138.27000000000001</v>
      </c>
    </row>
    <row r="587" spans="1:10" x14ac:dyDescent="0.25">
      <c r="A587" s="109" t="s">
        <v>642</v>
      </c>
      <c r="B587" s="112">
        <v>45976</v>
      </c>
      <c r="C587" s="109" t="s">
        <v>38</v>
      </c>
      <c r="D587" s="109" t="s">
        <v>35</v>
      </c>
      <c r="E587" s="109" t="s">
        <v>18</v>
      </c>
      <c r="F587" s="109" t="s">
        <v>61</v>
      </c>
      <c r="G587" s="109" t="s">
        <v>15</v>
      </c>
      <c r="H587" s="110">
        <v>86.81</v>
      </c>
      <c r="I587" s="109">
        <v>8</v>
      </c>
      <c r="J587" s="110">
        <v>694.48</v>
      </c>
    </row>
    <row r="588" spans="1:10" x14ac:dyDescent="0.25">
      <c r="A588" s="109" t="s">
        <v>643</v>
      </c>
      <c r="B588" s="112">
        <v>45937</v>
      </c>
      <c r="C588" s="109" t="s">
        <v>30</v>
      </c>
      <c r="D588" s="109" t="s">
        <v>22</v>
      </c>
      <c r="E588" s="109" t="s">
        <v>41</v>
      </c>
      <c r="F588" s="109" t="s">
        <v>19</v>
      </c>
      <c r="G588" s="109" t="s">
        <v>15</v>
      </c>
      <c r="H588" s="110">
        <v>131.01</v>
      </c>
      <c r="I588" s="109">
        <v>8</v>
      </c>
      <c r="J588" s="110">
        <v>1048.08</v>
      </c>
    </row>
    <row r="589" spans="1:10" x14ac:dyDescent="0.25">
      <c r="A589" s="109" t="s">
        <v>644</v>
      </c>
      <c r="B589" s="112">
        <v>45935</v>
      </c>
      <c r="C589" s="109" t="s">
        <v>17</v>
      </c>
      <c r="D589" s="109" t="s">
        <v>12</v>
      </c>
      <c r="E589" s="109" t="s">
        <v>45</v>
      </c>
      <c r="F589" s="109" t="s">
        <v>32</v>
      </c>
      <c r="G589" s="109" t="s">
        <v>15</v>
      </c>
      <c r="H589" s="110">
        <v>245.61</v>
      </c>
      <c r="I589" s="109">
        <v>12</v>
      </c>
      <c r="J589" s="110">
        <v>2947.32</v>
      </c>
    </row>
    <row r="590" spans="1:10" x14ac:dyDescent="0.25">
      <c r="A590" s="109" t="s">
        <v>645</v>
      </c>
      <c r="B590" s="112">
        <v>45994</v>
      </c>
      <c r="C590" s="109" t="s">
        <v>17</v>
      </c>
      <c r="D590" s="109" t="s">
        <v>12</v>
      </c>
      <c r="E590" s="109" t="s">
        <v>13</v>
      </c>
      <c r="F590" s="109" t="s">
        <v>19</v>
      </c>
      <c r="G590" s="109" t="s">
        <v>15</v>
      </c>
      <c r="H590" s="110">
        <v>138.38</v>
      </c>
      <c r="I590" s="109">
        <v>13</v>
      </c>
      <c r="J590" s="110">
        <v>1798.94</v>
      </c>
    </row>
    <row r="591" spans="1:10" x14ac:dyDescent="0.25">
      <c r="A591" s="109" t="s">
        <v>646</v>
      </c>
      <c r="B591" s="112">
        <v>45929</v>
      </c>
      <c r="C591" s="109" t="s">
        <v>38</v>
      </c>
      <c r="D591" s="109" t="s">
        <v>31</v>
      </c>
      <c r="E591" s="109" t="s">
        <v>45</v>
      </c>
      <c r="F591" s="109" t="s">
        <v>14</v>
      </c>
      <c r="G591" s="109" t="s">
        <v>20</v>
      </c>
      <c r="H591" s="110">
        <v>102.33</v>
      </c>
      <c r="I591" s="109">
        <v>8</v>
      </c>
      <c r="J591" s="110">
        <v>818.64</v>
      </c>
    </row>
    <row r="592" spans="1:10" x14ac:dyDescent="0.25">
      <c r="A592" s="109" t="s">
        <v>647</v>
      </c>
      <c r="B592" s="112">
        <v>45801</v>
      </c>
      <c r="C592" s="109" t="s">
        <v>11</v>
      </c>
      <c r="D592" s="109" t="s">
        <v>26</v>
      </c>
      <c r="E592" s="109" t="s">
        <v>18</v>
      </c>
      <c r="F592" s="109" t="s">
        <v>61</v>
      </c>
      <c r="G592" s="109" t="s">
        <v>20</v>
      </c>
      <c r="H592" s="110">
        <v>169.35</v>
      </c>
      <c r="I592" s="109">
        <v>3</v>
      </c>
      <c r="J592" s="110">
        <v>508.05</v>
      </c>
    </row>
    <row r="593" spans="1:10" x14ac:dyDescent="0.25">
      <c r="A593" s="109" t="s">
        <v>648</v>
      </c>
      <c r="B593" s="112">
        <v>45848</v>
      </c>
      <c r="C593" s="109" t="s">
        <v>17</v>
      </c>
      <c r="D593" s="109" t="s">
        <v>22</v>
      </c>
      <c r="E593" s="109" t="s">
        <v>18</v>
      </c>
      <c r="F593" s="109" t="s">
        <v>19</v>
      </c>
      <c r="G593" s="109" t="s">
        <v>20</v>
      </c>
      <c r="H593" s="110">
        <v>82.83</v>
      </c>
      <c r="I593" s="109">
        <v>15</v>
      </c>
      <c r="J593" s="110">
        <v>1242.45</v>
      </c>
    </row>
    <row r="594" spans="1:10" x14ac:dyDescent="0.25">
      <c r="A594" s="109" t="s">
        <v>649</v>
      </c>
      <c r="B594" s="112">
        <v>45726</v>
      </c>
      <c r="C594" s="109" t="s">
        <v>11</v>
      </c>
      <c r="D594" s="109" t="s">
        <v>55</v>
      </c>
      <c r="E594" s="109" t="s">
        <v>18</v>
      </c>
      <c r="F594" s="109" t="s">
        <v>19</v>
      </c>
      <c r="G594" s="109" t="s">
        <v>36</v>
      </c>
      <c r="H594" s="110">
        <v>46.69</v>
      </c>
      <c r="I594" s="109">
        <v>13</v>
      </c>
      <c r="J594" s="110">
        <v>606.97</v>
      </c>
    </row>
    <row r="595" spans="1:10" x14ac:dyDescent="0.25">
      <c r="A595" s="109" t="s">
        <v>650</v>
      </c>
      <c r="B595" s="112">
        <v>45997</v>
      </c>
      <c r="C595" s="109" t="s">
        <v>30</v>
      </c>
      <c r="D595" s="109" t="s">
        <v>35</v>
      </c>
      <c r="E595" s="109" t="s">
        <v>13</v>
      </c>
      <c r="F595" s="109" t="s">
        <v>39</v>
      </c>
      <c r="G595" s="109" t="s">
        <v>36</v>
      </c>
      <c r="H595" s="110">
        <v>58.35</v>
      </c>
      <c r="I595" s="109">
        <v>5</v>
      </c>
      <c r="J595" s="110">
        <v>291.75</v>
      </c>
    </row>
    <row r="596" spans="1:10" x14ac:dyDescent="0.25">
      <c r="A596" s="109" t="s">
        <v>651</v>
      </c>
      <c r="B596" s="112">
        <v>45859</v>
      </c>
      <c r="C596" s="109" t="s">
        <v>34</v>
      </c>
      <c r="D596" s="109" t="s">
        <v>31</v>
      </c>
      <c r="E596" s="109" t="s">
        <v>13</v>
      </c>
      <c r="F596" s="109" t="s">
        <v>14</v>
      </c>
      <c r="G596" s="109" t="s">
        <v>15</v>
      </c>
      <c r="H596" s="110">
        <v>58.17</v>
      </c>
      <c r="I596" s="109">
        <v>11</v>
      </c>
      <c r="J596" s="110">
        <v>639.87</v>
      </c>
    </row>
    <row r="597" spans="1:10" x14ac:dyDescent="0.25">
      <c r="A597" s="109" t="s">
        <v>652</v>
      </c>
      <c r="B597" s="112">
        <v>45761</v>
      </c>
      <c r="C597" s="109" t="s">
        <v>25</v>
      </c>
      <c r="D597" s="109" t="s">
        <v>22</v>
      </c>
      <c r="E597" s="109" t="s">
        <v>23</v>
      </c>
      <c r="F597" s="109" t="s">
        <v>19</v>
      </c>
      <c r="G597" s="109" t="s">
        <v>15</v>
      </c>
      <c r="H597" s="110">
        <v>63.42</v>
      </c>
      <c r="I597" s="109">
        <v>5</v>
      </c>
      <c r="J597" s="110">
        <v>317.10000000000002</v>
      </c>
    </row>
    <row r="598" spans="1:10" x14ac:dyDescent="0.25">
      <c r="A598" s="109" t="s">
        <v>653</v>
      </c>
      <c r="B598" s="112">
        <v>45888</v>
      </c>
      <c r="C598" s="109" t="s">
        <v>34</v>
      </c>
      <c r="D598" s="109" t="s">
        <v>31</v>
      </c>
      <c r="E598" s="109" t="s">
        <v>45</v>
      </c>
      <c r="F598" s="109" t="s">
        <v>42</v>
      </c>
      <c r="G598" s="109" t="s">
        <v>36</v>
      </c>
      <c r="H598" s="110">
        <v>60.54</v>
      </c>
      <c r="I598" s="109">
        <v>15</v>
      </c>
      <c r="J598" s="110">
        <v>908.1</v>
      </c>
    </row>
    <row r="599" spans="1:10" x14ac:dyDescent="0.25">
      <c r="A599" s="109" t="s">
        <v>654</v>
      </c>
      <c r="B599" s="112">
        <v>45764</v>
      </c>
      <c r="C599" s="109" t="s">
        <v>34</v>
      </c>
      <c r="D599" s="109" t="s">
        <v>31</v>
      </c>
      <c r="E599" s="109" t="s">
        <v>13</v>
      </c>
      <c r="F599" s="109" t="s">
        <v>39</v>
      </c>
      <c r="G599" s="109" t="s">
        <v>15</v>
      </c>
      <c r="H599" s="110">
        <v>170.99</v>
      </c>
      <c r="I599" s="109">
        <v>15</v>
      </c>
      <c r="J599" s="110">
        <v>2564.85</v>
      </c>
    </row>
    <row r="600" spans="1:10" x14ac:dyDescent="0.25">
      <c r="A600" s="109" t="s">
        <v>655</v>
      </c>
      <c r="B600" s="112">
        <v>45704</v>
      </c>
      <c r="C600" s="109" t="s">
        <v>17</v>
      </c>
      <c r="D600" s="109" t="s">
        <v>35</v>
      </c>
      <c r="E600" s="109" t="s">
        <v>27</v>
      </c>
      <c r="F600" s="109" t="s">
        <v>28</v>
      </c>
      <c r="G600" s="109" t="s">
        <v>20</v>
      </c>
      <c r="H600" s="110">
        <v>70.010000000000005</v>
      </c>
      <c r="I600" s="109">
        <v>6</v>
      </c>
      <c r="J600" s="110">
        <v>420.06</v>
      </c>
    </row>
    <row r="601" spans="1:10" x14ac:dyDescent="0.25">
      <c r="A601" s="109" t="s">
        <v>656</v>
      </c>
      <c r="B601" s="112">
        <v>45678</v>
      </c>
      <c r="C601" s="109" t="s">
        <v>34</v>
      </c>
      <c r="D601" s="109" t="s">
        <v>26</v>
      </c>
      <c r="E601" s="109" t="s">
        <v>45</v>
      </c>
      <c r="F601" s="109" t="s">
        <v>28</v>
      </c>
      <c r="G601" s="109" t="s">
        <v>15</v>
      </c>
      <c r="H601" s="110">
        <v>106.05</v>
      </c>
      <c r="I601" s="109">
        <v>7</v>
      </c>
      <c r="J601" s="110">
        <v>742.35</v>
      </c>
    </row>
    <row r="602" spans="1:10" x14ac:dyDescent="0.25">
      <c r="A602" s="109" t="s">
        <v>657</v>
      </c>
      <c r="B602" s="112">
        <v>45840</v>
      </c>
      <c r="C602" s="109" t="s">
        <v>25</v>
      </c>
      <c r="D602" s="109" t="s">
        <v>22</v>
      </c>
      <c r="E602" s="109" t="s">
        <v>27</v>
      </c>
      <c r="F602" s="109" t="s">
        <v>32</v>
      </c>
      <c r="G602" s="109" t="s">
        <v>36</v>
      </c>
      <c r="H602" s="110">
        <v>227.29</v>
      </c>
      <c r="I602" s="109">
        <v>13</v>
      </c>
      <c r="J602" s="110">
        <v>2954.77</v>
      </c>
    </row>
    <row r="603" spans="1:10" x14ac:dyDescent="0.25">
      <c r="A603" s="109" t="s">
        <v>658</v>
      </c>
      <c r="B603" s="112">
        <v>45747</v>
      </c>
      <c r="C603" s="109" t="s">
        <v>38</v>
      </c>
      <c r="D603" s="109" t="s">
        <v>31</v>
      </c>
      <c r="E603" s="109" t="s">
        <v>18</v>
      </c>
      <c r="F603" s="109" t="s">
        <v>28</v>
      </c>
      <c r="G603" s="109" t="s">
        <v>20</v>
      </c>
      <c r="H603" s="110">
        <v>134.27000000000001</v>
      </c>
      <c r="I603" s="109">
        <v>1</v>
      </c>
      <c r="J603" s="110">
        <v>134.27000000000001</v>
      </c>
    </row>
    <row r="604" spans="1:10" x14ac:dyDescent="0.25">
      <c r="A604" s="109" t="s">
        <v>659</v>
      </c>
      <c r="B604" s="112">
        <v>45785</v>
      </c>
      <c r="C604" s="109" t="s">
        <v>38</v>
      </c>
      <c r="D604" s="109" t="s">
        <v>22</v>
      </c>
      <c r="E604" s="109" t="s">
        <v>23</v>
      </c>
      <c r="F604" s="109" t="s">
        <v>19</v>
      </c>
      <c r="G604" s="109" t="s">
        <v>15</v>
      </c>
      <c r="H604" s="110">
        <v>176.86</v>
      </c>
      <c r="I604" s="109">
        <v>4</v>
      </c>
      <c r="J604" s="110">
        <v>707.44</v>
      </c>
    </row>
    <row r="605" spans="1:10" x14ac:dyDescent="0.25">
      <c r="A605" s="109" t="s">
        <v>660</v>
      </c>
      <c r="B605" s="112">
        <v>45689</v>
      </c>
      <c r="C605" s="109" t="s">
        <v>30</v>
      </c>
      <c r="D605" s="109" t="s">
        <v>26</v>
      </c>
      <c r="E605" s="109" t="s">
        <v>41</v>
      </c>
      <c r="F605" s="109" t="s">
        <v>32</v>
      </c>
      <c r="G605" s="109" t="s">
        <v>20</v>
      </c>
      <c r="H605" s="110">
        <v>67.91</v>
      </c>
      <c r="I605" s="109">
        <v>8</v>
      </c>
      <c r="J605" s="110">
        <v>543.28</v>
      </c>
    </row>
    <row r="606" spans="1:10" x14ac:dyDescent="0.25">
      <c r="A606" s="109" t="s">
        <v>661</v>
      </c>
      <c r="B606" s="112">
        <v>45980</v>
      </c>
      <c r="C606" s="109" t="s">
        <v>25</v>
      </c>
      <c r="D606" s="109" t="s">
        <v>55</v>
      </c>
      <c r="E606" s="109" t="s">
        <v>13</v>
      </c>
      <c r="F606" s="109" t="s">
        <v>39</v>
      </c>
      <c r="G606" s="109" t="s">
        <v>15</v>
      </c>
      <c r="H606" s="110">
        <v>72.3</v>
      </c>
      <c r="I606" s="109">
        <v>3</v>
      </c>
      <c r="J606" s="110">
        <v>216.9</v>
      </c>
    </row>
    <row r="607" spans="1:10" x14ac:dyDescent="0.25">
      <c r="A607" s="109" t="s">
        <v>662</v>
      </c>
      <c r="B607" s="112">
        <v>45669</v>
      </c>
      <c r="C607" s="109" t="s">
        <v>30</v>
      </c>
      <c r="D607" s="109" t="s">
        <v>12</v>
      </c>
      <c r="E607" s="109" t="s">
        <v>41</v>
      </c>
      <c r="F607" s="109" t="s">
        <v>39</v>
      </c>
      <c r="G607" s="109" t="s">
        <v>15</v>
      </c>
      <c r="H607" s="110">
        <v>38.99</v>
      </c>
      <c r="I607" s="109">
        <v>3</v>
      </c>
      <c r="J607" s="110">
        <v>116.97</v>
      </c>
    </row>
    <row r="608" spans="1:10" x14ac:dyDescent="0.25">
      <c r="A608" s="109" t="s">
        <v>663</v>
      </c>
      <c r="B608" s="112">
        <v>45705</v>
      </c>
      <c r="C608" s="109" t="s">
        <v>11</v>
      </c>
      <c r="D608" s="109" t="s">
        <v>22</v>
      </c>
      <c r="E608" s="109" t="s">
        <v>41</v>
      </c>
      <c r="F608" s="109" t="s">
        <v>19</v>
      </c>
      <c r="G608" s="109" t="s">
        <v>15</v>
      </c>
      <c r="H608" s="110">
        <v>67.17</v>
      </c>
      <c r="I608" s="109">
        <v>11</v>
      </c>
      <c r="J608" s="110">
        <v>738.87</v>
      </c>
    </row>
    <row r="609" spans="1:10" x14ac:dyDescent="0.25">
      <c r="A609" s="109" t="s">
        <v>664</v>
      </c>
      <c r="B609" s="112">
        <v>45951</v>
      </c>
      <c r="C609" s="109" t="s">
        <v>17</v>
      </c>
      <c r="D609" s="109" t="s">
        <v>31</v>
      </c>
      <c r="E609" s="109" t="s">
        <v>41</v>
      </c>
      <c r="F609" s="109" t="s">
        <v>19</v>
      </c>
      <c r="G609" s="109" t="s">
        <v>36</v>
      </c>
      <c r="H609" s="110">
        <v>91.29</v>
      </c>
      <c r="I609" s="109">
        <v>14</v>
      </c>
      <c r="J609" s="110">
        <v>1278.06</v>
      </c>
    </row>
    <row r="610" spans="1:10" x14ac:dyDescent="0.25">
      <c r="A610" s="109" t="s">
        <v>665</v>
      </c>
      <c r="B610" s="112">
        <v>46007</v>
      </c>
      <c r="C610" s="109" t="s">
        <v>30</v>
      </c>
      <c r="D610" s="109" t="s">
        <v>35</v>
      </c>
      <c r="E610" s="109" t="s">
        <v>23</v>
      </c>
      <c r="F610" s="109" t="s">
        <v>14</v>
      </c>
      <c r="G610" s="109" t="s">
        <v>36</v>
      </c>
      <c r="H610" s="110">
        <v>68.94</v>
      </c>
      <c r="I610" s="109">
        <v>14</v>
      </c>
      <c r="J610" s="110">
        <v>965.16</v>
      </c>
    </row>
    <row r="611" spans="1:10" x14ac:dyDescent="0.25">
      <c r="A611" s="109" t="s">
        <v>666</v>
      </c>
      <c r="B611" s="112">
        <v>45801</v>
      </c>
      <c r="C611" s="109" t="s">
        <v>30</v>
      </c>
      <c r="D611" s="109" t="s">
        <v>22</v>
      </c>
      <c r="E611" s="109" t="s">
        <v>18</v>
      </c>
      <c r="F611" s="109" t="s">
        <v>42</v>
      </c>
      <c r="G611" s="109" t="s">
        <v>20</v>
      </c>
      <c r="H611" s="110">
        <v>49.51</v>
      </c>
      <c r="I611" s="109">
        <v>15</v>
      </c>
      <c r="J611" s="110">
        <v>742.65</v>
      </c>
    </row>
    <row r="612" spans="1:10" x14ac:dyDescent="0.25">
      <c r="A612" s="109" t="s">
        <v>667</v>
      </c>
      <c r="B612" s="112">
        <v>45783</v>
      </c>
      <c r="C612" s="109" t="s">
        <v>38</v>
      </c>
      <c r="D612" s="109" t="s">
        <v>31</v>
      </c>
      <c r="E612" s="109" t="s">
        <v>18</v>
      </c>
      <c r="F612" s="109" t="s">
        <v>61</v>
      </c>
      <c r="G612" s="109" t="s">
        <v>15</v>
      </c>
      <c r="H612" s="110">
        <v>56.54</v>
      </c>
      <c r="I612" s="109">
        <v>10</v>
      </c>
      <c r="J612" s="110">
        <v>565.4</v>
      </c>
    </row>
    <row r="613" spans="1:10" x14ac:dyDescent="0.25">
      <c r="A613" s="109" t="s">
        <v>668</v>
      </c>
      <c r="B613" s="112">
        <v>45702</v>
      </c>
      <c r="C613" s="109" t="s">
        <v>38</v>
      </c>
      <c r="D613" s="109" t="s">
        <v>26</v>
      </c>
      <c r="E613" s="109" t="s">
        <v>41</v>
      </c>
      <c r="F613" s="109" t="s">
        <v>14</v>
      </c>
      <c r="G613" s="109" t="s">
        <v>20</v>
      </c>
      <c r="H613" s="110">
        <v>131.37</v>
      </c>
      <c r="I613" s="109">
        <v>9</v>
      </c>
      <c r="J613" s="110">
        <v>1182.33</v>
      </c>
    </row>
    <row r="614" spans="1:10" x14ac:dyDescent="0.25">
      <c r="A614" s="109" t="s">
        <v>669</v>
      </c>
      <c r="B614" s="112">
        <v>45927</v>
      </c>
      <c r="C614" s="109" t="s">
        <v>17</v>
      </c>
      <c r="D614" s="109" t="s">
        <v>55</v>
      </c>
      <c r="E614" s="109" t="s">
        <v>45</v>
      </c>
      <c r="F614" s="109" t="s">
        <v>61</v>
      </c>
      <c r="G614" s="109" t="s">
        <v>20</v>
      </c>
      <c r="H614" s="110">
        <v>75.39</v>
      </c>
      <c r="I614" s="109">
        <v>8</v>
      </c>
      <c r="J614" s="110">
        <v>603.12</v>
      </c>
    </row>
    <row r="615" spans="1:10" x14ac:dyDescent="0.25">
      <c r="A615" s="109" t="s">
        <v>670</v>
      </c>
      <c r="B615" s="112">
        <v>45841</v>
      </c>
      <c r="C615" s="109" t="s">
        <v>25</v>
      </c>
      <c r="D615" s="109" t="s">
        <v>31</v>
      </c>
      <c r="E615" s="109" t="s">
        <v>13</v>
      </c>
      <c r="F615" s="109" t="s">
        <v>42</v>
      </c>
      <c r="G615" s="109" t="s">
        <v>20</v>
      </c>
      <c r="H615" s="110">
        <v>110.14</v>
      </c>
      <c r="I615" s="109">
        <v>16</v>
      </c>
      <c r="J615" s="110">
        <v>1762.24</v>
      </c>
    </row>
    <row r="616" spans="1:10" x14ac:dyDescent="0.25">
      <c r="A616" s="109" t="s">
        <v>671</v>
      </c>
      <c r="B616" s="112">
        <v>45822</v>
      </c>
      <c r="C616" s="109" t="s">
        <v>34</v>
      </c>
      <c r="D616" s="109" t="s">
        <v>26</v>
      </c>
      <c r="E616" s="109" t="s">
        <v>45</v>
      </c>
      <c r="F616" s="109" t="s">
        <v>32</v>
      </c>
      <c r="G616" s="109" t="s">
        <v>20</v>
      </c>
      <c r="H616" s="110">
        <v>140.75</v>
      </c>
      <c r="I616" s="109">
        <v>13</v>
      </c>
      <c r="J616" s="110">
        <v>1829.75</v>
      </c>
    </row>
    <row r="617" spans="1:10" x14ac:dyDescent="0.25">
      <c r="A617" s="109" t="s">
        <v>672</v>
      </c>
      <c r="B617" s="112">
        <v>45770</v>
      </c>
      <c r="C617" s="109" t="s">
        <v>34</v>
      </c>
      <c r="D617" s="109" t="s">
        <v>22</v>
      </c>
      <c r="E617" s="109" t="s">
        <v>41</v>
      </c>
      <c r="F617" s="109" t="s">
        <v>42</v>
      </c>
      <c r="G617" s="109" t="s">
        <v>36</v>
      </c>
      <c r="H617" s="110">
        <v>181.89</v>
      </c>
      <c r="I617" s="109">
        <v>1</v>
      </c>
      <c r="J617" s="110">
        <v>181.89</v>
      </c>
    </row>
    <row r="618" spans="1:10" x14ac:dyDescent="0.25">
      <c r="A618" s="109" t="s">
        <v>673</v>
      </c>
      <c r="B618" s="112">
        <v>45957</v>
      </c>
      <c r="C618" s="109" t="s">
        <v>30</v>
      </c>
      <c r="D618" s="109" t="s">
        <v>22</v>
      </c>
      <c r="E618" s="109" t="s">
        <v>23</v>
      </c>
      <c r="F618" s="109" t="s">
        <v>28</v>
      </c>
      <c r="G618" s="109" t="s">
        <v>15</v>
      </c>
      <c r="H618" s="110">
        <v>38.65</v>
      </c>
      <c r="I618" s="109">
        <v>8</v>
      </c>
      <c r="J618" s="110">
        <v>309.2</v>
      </c>
    </row>
    <row r="619" spans="1:10" x14ac:dyDescent="0.25">
      <c r="A619" s="109" t="s">
        <v>674</v>
      </c>
      <c r="B619" s="112">
        <v>45794</v>
      </c>
      <c r="C619" s="109" t="s">
        <v>17</v>
      </c>
      <c r="D619" s="109" t="s">
        <v>22</v>
      </c>
      <c r="E619" s="109" t="s">
        <v>23</v>
      </c>
      <c r="F619" s="109" t="s">
        <v>42</v>
      </c>
      <c r="G619" s="109" t="s">
        <v>36</v>
      </c>
      <c r="H619" s="110">
        <v>205.87</v>
      </c>
      <c r="I619" s="109">
        <v>18</v>
      </c>
      <c r="J619" s="110">
        <v>3705.66</v>
      </c>
    </row>
    <row r="620" spans="1:10" x14ac:dyDescent="0.25">
      <c r="A620" s="109" t="s">
        <v>675</v>
      </c>
      <c r="B620" s="112">
        <v>45839</v>
      </c>
      <c r="C620" s="109" t="s">
        <v>30</v>
      </c>
      <c r="D620" s="109" t="s">
        <v>26</v>
      </c>
      <c r="E620" s="109" t="s">
        <v>18</v>
      </c>
      <c r="F620" s="109" t="s">
        <v>32</v>
      </c>
      <c r="G620" s="109" t="s">
        <v>20</v>
      </c>
      <c r="H620" s="110">
        <v>168.14</v>
      </c>
      <c r="I620" s="109">
        <v>6</v>
      </c>
      <c r="J620" s="110">
        <v>1008.84</v>
      </c>
    </row>
    <row r="621" spans="1:10" x14ac:dyDescent="0.25">
      <c r="A621" s="109" t="s">
        <v>676</v>
      </c>
      <c r="B621" s="112">
        <v>46015</v>
      </c>
      <c r="C621" s="109" t="s">
        <v>25</v>
      </c>
      <c r="D621" s="109" t="s">
        <v>22</v>
      </c>
      <c r="E621" s="109" t="s">
        <v>27</v>
      </c>
      <c r="F621" s="109" t="s">
        <v>28</v>
      </c>
      <c r="G621" s="109" t="s">
        <v>36</v>
      </c>
      <c r="H621" s="110">
        <v>47.99</v>
      </c>
      <c r="I621" s="109">
        <v>12</v>
      </c>
      <c r="J621" s="110">
        <v>575.88</v>
      </c>
    </row>
    <row r="622" spans="1:10" x14ac:dyDescent="0.25">
      <c r="A622" s="109" t="s">
        <v>677</v>
      </c>
      <c r="B622" s="112">
        <v>45948</v>
      </c>
      <c r="C622" s="109" t="s">
        <v>30</v>
      </c>
      <c r="D622" s="109" t="s">
        <v>55</v>
      </c>
      <c r="E622" s="109" t="s">
        <v>23</v>
      </c>
      <c r="F622" s="109" t="s">
        <v>39</v>
      </c>
      <c r="G622" s="109" t="s">
        <v>36</v>
      </c>
      <c r="H622" s="110">
        <v>222.19</v>
      </c>
      <c r="I622" s="109">
        <v>19</v>
      </c>
      <c r="J622" s="110">
        <v>4221.6099999999997</v>
      </c>
    </row>
    <row r="623" spans="1:10" x14ac:dyDescent="0.25">
      <c r="A623" s="109" t="s">
        <v>678</v>
      </c>
      <c r="B623" s="112">
        <v>45935</v>
      </c>
      <c r="C623" s="109" t="s">
        <v>30</v>
      </c>
      <c r="D623" s="109" t="s">
        <v>31</v>
      </c>
      <c r="E623" s="109" t="s">
        <v>45</v>
      </c>
      <c r="F623" s="109" t="s">
        <v>19</v>
      </c>
      <c r="G623" s="109" t="s">
        <v>15</v>
      </c>
      <c r="H623" s="110">
        <v>232.59</v>
      </c>
      <c r="I623" s="109">
        <v>10</v>
      </c>
      <c r="J623" s="110">
        <v>2325.9</v>
      </c>
    </row>
    <row r="624" spans="1:10" x14ac:dyDescent="0.25">
      <c r="A624" s="109" t="s">
        <v>679</v>
      </c>
      <c r="B624" s="112">
        <v>45777</v>
      </c>
      <c r="C624" s="109" t="s">
        <v>30</v>
      </c>
      <c r="D624" s="109" t="s">
        <v>22</v>
      </c>
      <c r="E624" s="109" t="s">
        <v>18</v>
      </c>
      <c r="F624" s="109" t="s">
        <v>61</v>
      </c>
      <c r="G624" s="109" t="s">
        <v>15</v>
      </c>
      <c r="H624" s="110">
        <v>43.44</v>
      </c>
      <c r="I624" s="109">
        <v>20</v>
      </c>
      <c r="J624" s="110">
        <v>868.8</v>
      </c>
    </row>
    <row r="625" spans="1:10" x14ac:dyDescent="0.25">
      <c r="A625" s="109" t="s">
        <v>680</v>
      </c>
      <c r="B625" s="112">
        <v>45827</v>
      </c>
      <c r="C625" s="109" t="s">
        <v>30</v>
      </c>
      <c r="D625" s="109" t="s">
        <v>26</v>
      </c>
      <c r="E625" s="109" t="s">
        <v>13</v>
      </c>
      <c r="F625" s="109" t="s">
        <v>28</v>
      </c>
      <c r="G625" s="109" t="s">
        <v>15</v>
      </c>
      <c r="H625" s="110">
        <v>90.91</v>
      </c>
      <c r="I625" s="109">
        <v>20</v>
      </c>
      <c r="J625" s="110">
        <v>1818.2</v>
      </c>
    </row>
    <row r="626" spans="1:10" x14ac:dyDescent="0.25">
      <c r="A626" s="109" t="s">
        <v>681</v>
      </c>
      <c r="B626" s="112">
        <v>45823</v>
      </c>
      <c r="C626" s="109" t="s">
        <v>11</v>
      </c>
      <c r="D626" s="109" t="s">
        <v>26</v>
      </c>
      <c r="E626" s="109" t="s">
        <v>18</v>
      </c>
      <c r="F626" s="109" t="s">
        <v>28</v>
      </c>
      <c r="G626" s="109" t="s">
        <v>15</v>
      </c>
      <c r="H626" s="110">
        <v>207.36</v>
      </c>
      <c r="I626" s="109">
        <v>2</v>
      </c>
      <c r="J626" s="110">
        <v>414.72</v>
      </c>
    </row>
    <row r="627" spans="1:10" x14ac:dyDescent="0.25">
      <c r="A627" s="109" t="s">
        <v>682</v>
      </c>
      <c r="B627" s="112">
        <v>45714</v>
      </c>
      <c r="C627" s="109" t="s">
        <v>34</v>
      </c>
      <c r="D627" s="109" t="s">
        <v>22</v>
      </c>
      <c r="E627" s="109" t="s">
        <v>13</v>
      </c>
      <c r="F627" s="109" t="s">
        <v>28</v>
      </c>
      <c r="G627" s="109" t="s">
        <v>20</v>
      </c>
      <c r="H627" s="110">
        <v>194.62</v>
      </c>
      <c r="I627" s="109">
        <v>17</v>
      </c>
      <c r="J627" s="110">
        <v>3308.54</v>
      </c>
    </row>
    <row r="628" spans="1:10" x14ac:dyDescent="0.25">
      <c r="A628" s="109" t="s">
        <v>683</v>
      </c>
      <c r="B628" s="112">
        <v>45860</v>
      </c>
      <c r="C628" s="109" t="s">
        <v>11</v>
      </c>
      <c r="D628" s="109" t="s">
        <v>35</v>
      </c>
      <c r="E628" s="109" t="s">
        <v>13</v>
      </c>
      <c r="F628" s="109" t="s">
        <v>32</v>
      </c>
      <c r="G628" s="109" t="s">
        <v>15</v>
      </c>
      <c r="H628" s="110">
        <v>70.59</v>
      </c>
      <c r="I628" s="109">
        <v>19</v>
      </c>
      <c r="J628" s="110">
        <v>1341.21</v>
      </c>
    </row>
    <row r="629" spans="1:10" x14ac:dyDescent="0.25">
      <c r="A629" s="109" t="s">
        <v>684</v>
      </c>
      <c r="B629" s="112">
        <v>45738</v>
      </c>
      <c r="C629" s="109" t="s">
        <v>17</v>
      </c>
      <c r="D629" s="109" t="s">
        <v>31</v>
      </c>
      <c r="E629" s="109" t="s">
        <v>27</v>
      </c>
      <c r="F629" s="109" t="s">
        <v>32</v>
      </c>
      <c r="G629" s="109" t="s">
        <v>15</v>
      </c>
      <c r="H629" s="110">
        <v>76.06</v>
      </c>
      <c r="I629" s="109">
        <v>14</v>
      </c>
      <c r="J629" s="110">
        <v>1064.8399999999999</v>
      </c>
    </row>
    <row r="630" spans="1:10" x14ac:dyDescent="0.25">
      <c r="A630" s="109" t="s">
        <v>685</v>
      </c>
      <c r="B630" s="112">
        <v>46020</v>
      </c>
      <c r="C630" s="109" t="s">
        <v>17</v>
      </c>
      <c r="D630" s="109" t="s">
        <v>55</v>
      </c>
      <c r="E630" s="109" t="s">
        <v>13</v>
      </c>
      <c r="F630" s="109" t="s">
        <v>14</v>
      </c>
      <c r="G630" s="109" t="s">
        <v>20</v>
      </c>
      <c r="H630" s="110">
        <v>111.5</v>
      </c>
      <c r="I630" s="109">
        <v>18</v>
      </c>
      <c r="J630" s="110">
        <v>2007</v>
      </c>
    </row>
    <row r="631" spans="1:10" x14ac:dyDescent="0.25">
      <c r="A631" s="109" t="s">
        <v>686</v>
      </c>
      <c r="B631" s="112">
        <v>45959</v>
      </c>
      <c r="C631" s="109" t="s">
        <v>38</v>
      </c>
      <c r="D631" s="109" t="s">
        <v>35</v>
      </c>
      <c r="E631" s="109" t="s">
        <v>27</v>
      </c>
      <c r="F631" s="109" t="s">
        <v>28</v>
      </c>
      <c r="G631" s="109" t="s">
        <v>36</v>
      </c>
      <c r="H631" s="110">
        <v>136.6</v>
      </c>
      <c r="I631" s="109">
        <v>6</v>
      </c>
      <c r="J631" s="110">
        <v>819.6</v>
      </c>
    </row>
    <row r="632" spans="1:10" x14ac:dyDescent="0.25">
      <c r="A632" s="109" t="s">
        <v>687</v>
      </c>
      <c r="B632" s="112">
        <v>45723</v>
      </c>
      <c r="C632" s="109" t="s">
        <v>17</v>
      </c>
      <c r="D632" s="109" t="s">
        <v>22</v>
      </c>
      <c r="E632" s="109" t="s">
        <v>27</v>
      </c>
      <c r="F632" s="109" t="s">
        <v>42</v>
      </c>
      <c r="G632" s="109" t="s">
        <v>36</v>
      </c>
      <c r="H632" s="110">
        <v>166.02</v>
      </c>
      <c r="I632" s="109">
        <v>6</v>
      </c>
      <c r="J632" s="110">
        <v>996.12</v>
      </c>
    </row>
    <row r="633" spans="1:10" x14ac:dyDescent="0.25">
      <c r="A633" s="109" t="s">
        <v>688</v>
      </c>
      <c r="B633" s="112">
        <v>45948</v>
      </c>
      <c r="C633" s="109" t="s">
        <v>30</v>
      </c>
      <c r="D633" s="109" t="s">
        <v>55</v>
      </c>
      <c r="E633" s="109" t="s">
        <v>13</v>
      </c>
      <c r="F633" s="109" t="s">
        <v>39</v>
      </c>
      <c r="G633" s="109" t="s">
        <v>20</v>
      </c>
      <c r="H633" s="110">
        <v>111.16</v>
      </c>
      <c r="I633" s="109">
        <v>2</v>
      </c>
      <c r="J633" s="110">
        <v>222.32</v>
      </c>
    </row>
    <row r="634" spans="1:10" x14ac:dyDescent="0.25">
      <c r="A634" s="109" t="s">
        <v>689</v>
      </c>
      <c r="B634" s="112">
        <v>45771</v>
      </c>
      <c r="C634" s="109" t="s">
        <v>11</v>
      </c>
      <c r="D634" s="109" t="s">
        <v>31</v>
      </c>
      <c r="E634" s="109" t="s">
        <v>23</v>
      </c>
      <c r="F634" s="109" t="s">
        <v>32</v>
      </c>
      <c r="G634" s="109" t="s">
        <v>20</v>
      </c>
      <c r="H634" s="110">
        <v>131.76</v>
      </c>
      <c r="I634" s="109">
        <v>19</v>
      </c>
      <c r="J634" s="110">
        <v>2503.44</v>
      </c>
    </row>
    <row r="635" spans="1:10" x14ac:dyDescent="0.25">
      <c r="A635" s="109" t="s">
        <v>690</v>
      </c>
      <c r="B635" s="112">
        <v>45697</v>
      </c>
      <c r="C635" s="109" t="s">
        <v>34</v>
      </c>
      <c r="D635" s="109" t="s">
        <v>35</v>
      </c>
      <c r="E635" s="109" t="s">
        <v>23</v>
      </c>
      <c r="F635" s="109" t="s">
        <v>28</v>
      </c>
      <c r="G635" s="109" t="s">
        <v>15</v>
      </c>
      <c r="H635" s="110">
        <v>194.44</v>
      </c>
      <c r="I635" s="109">
        <v>8</v>
      </c>
      <c r="J635" s="110">
        <v>1555.52</v>
      </c>
    </row>
    <row r="636" spans="1:10" x14ac:dyDescent="0.25">
      <c r="A636" s="109" t="s">
        <v>691</v>
      </c>
      <c r="B636" s="112">
        <v>46020</v>
      </c>
      <c r="C636" s="109" t="s">
        <v>38</v>
      </c>
      <c r="D636" s="109" t="s">
        <v>22</v>
      </c>
      <c r="E636" s="109" t="s">
        <v>13</v>
      </c>
      <c r="F636" s="109" t="s">
        <v>14</v>
      </c>
      <c r="G636" s="109" t="s">
        <v>15</v>
      </c>
      <c r="H636" s="110">
        <v>38.07</v>
      </c>
      <c r="I636" s="109">
        <v>11</v>
      </c>
      <c r="J636" s="110">
        <v>418.77</v>
      </c>
    </row>
    <row r="637" spans="1:10" x14ac:dyDescent="0.25">
      <c r="A637" s="109" t="s">
        <v>692</v>
      </c>
      <c r="B637" s="112">
        <v>46012</v>
      </c>
      <c r="C637" s="109" t="s">
        <v>34</v>
      </c>
      <c r="D637" s="109" t="s">
        <v>35</v>
      </c>
      <c r="E637" s="109" t="s">
        <v>45</v>
      </c>
      <c r="F637" s="109" t="s">
        <v>28</v>
      </c>
      <c r="G637" s="109" t="s">
        <v>15</v>
      </c>
      <c r="H637" s="110">
        <v>85.54</v>
      </c>
      <c r="I637" s="109">
        <v>3</v>
      </c>
      <c r="J637" s="110">
        <v>256.62</v>
      </c>
    </row>
    <row r="638" spans="1:10" x14ac:dyDescent="0.25">
      <c r="A638" s="109" t="s">
        <v>693</v>
      </c>
      <c r="B638" s="112">
        <v>45682</v>
      </c>
      <c r="C638" s="109" t="s">
        <v>38</v>
      </c>
      <c r="D638" s="109" t="s">
        <v>12</v>
      </c>
      <c r="E638" s="109" t="s">
        <v>41</v>
      </c>
      <c r="F638" s="109" t="s">
        <v>14</v>
      </c>
      <c r="G638" s="109" t="s">
        <v>36</v>
      </c>
      <c r="H638" s="110">
        <v>186.94</v>
      </c>
      <c r="I638" s="109">
        <v>13</v>
      </c>
      <c r="J638" s="110">
        <v>2430.2199999999998</v>
      </c>
    </row>
    <row r="639" spans="1:10" x14ac:dyDescent="0.25">
      <c r="A639" s="109" t="s">
        <v>694</v>
      </c>
      <c r="B639" s="112">
        <v>45910</v>
      </c>
      <c r="C639" s="109" t="s">
        <v>34</v>
      </c>
      <c r="D639" s="109" t="s">
        <v>55</v>
      </c>
      <c r="E639" s="109" t="s">
        <v>41</v>
      </c>
      <c r="F639" s="109" t="s">
        <v>19</v>
      </c>
      <c r="G639" s="109" t="s">
        <v>36</v>
      </c>
      <c r="H639" s="110">
        <v>226.95</v>
      </c>
      <c r="I639" s="109">
        <v>13</v>
      </c>
      <c r="J639" s="110">
        <v>2950.35</v>
      </c>
    </row>
    <row r="640" spans="1:10" x14ac:dyDescent="0.25">
      <c r="A640" s="109" t="s">
        <v>695</v>
      </c>
      <c r="B640" s="112">
        <v>45953</v>
      </c>
      <c r="C640" s="109" t="s">
        <v>30</v>
      </c>
      <c r="D640" s="109" t="s">
        <v>31</v>
      </c>
      <c r="E640" s="109" t="s">
        <v>45</v>
      </c>
      <c r="F640" s="109" t="s">
        <v>39</v>
      </c>
      <c r="G640" s="109" t="s">
        <v>15</v>
      </c>
      <c r="H640" s="110">
        <v>142.57</v>
      </c>
      <c r="I640" s="109">
        <v>8</v>
      </c>
      <c r="J640" s="110">
        <v>1140.56</v>
      </c>
    </row>
    <row r="641" spans="1:10" x14ac:dyDescent="0.25">
      <c r="A641" s="109" t="s">
        <v>696</v>
      </c>
      <c r="B641" s="112">
        <v>45808</v>
      </c>
      <c r="C641" s="109" t="s">
        <v>34</v>
      </c>
      <c r="D641" s="109" t="s">
        <v>35</v>
      </c>
      <c r="E641" s="109" t="s">
        <v>45</v>
      </c>
      <c r="F641" s="109" t="s">
        <v>19</v>
      </c>
      <c r="G641" s="109" t="s">
        <v>36</v>
      </c>
      <c r="H641" s="110">
        <v>147.06</v>
      </c>
      <c r="I641" s="109">
        <v>1</v>
      </c>
      <c r="J641" s="110">
        <v>147.06</v>
      </c>
    </row>
    <row r="642" spans="1:10" x14ac:dyDescent="0.25">
      <c r="A642" s="109" t="s">
        <v>697</v>
      </c>
      <c r="B642" s="112">
        <v>45745</v>
      </c>
      <c r="C642" s="109" t="s">
        <v>30</v>
      </c>
      <c r="D642" s="109" t="s">
        <v>12</v>
      </c>
      <c r="E642" s="109" t="s">
        <v>45</v>
      </c>
      <c r="F642" s="109" t="s">
        <v>42</v>
      </c>
      <c r="G642" s="109" t="s">
        <v>15</v>
      </c>
      <c r="H642" s="110">
        <v>53.58</v>
      </c>
      <c r="I642" s="109">
        <v>13</v>
      </c>
      <c r="J642" s="110">
        <v>696.54</v>
      </c>
    </row>
    <row r="643" spans="1:10" x14ac:dyDescent="0.25">
      <c r="A643" s="109" t="s">
        <v>698</v>
      </c>
      <c r="B643" s="112">
        <v>45831</v>
      </c>
      <c r="C643" s="109" t="s">
        <v>25</v>
      </c>
      <c r="D643" s="109" t="s">
        <v>31</v>
      </c>
      <c r="E643" s="109" t="s">
        <v>27</v>
      </c>
      <c r="F643" s="109" t="s">
        <v>19</v>
      </c>
      <c r="G643" s="109" t="s">
        <v>36</v>
      </c>
      <c r="H643" s="110">
        <v>128.43</v>
      </c>
      <c r="I643" s="109">
        <v>20</v>
      </c>
      <c r="J643" s="110">
        <v>2568.6</v>
      </c>
    </row>
    <row r="644" spans="1:10" x14ac:dyDescent="0.25">
      <c r="A644" s="109" t="s">
        <v>699</v>
      </c>
      <c r="B644" s="112">
        <v>45992</v>
      </c>
      <c r="C644" s="109" t="s">
        <v>25</v>
      </c>
      <c r="D644" s="109" t="s">
        <v>31</v>
      </c>
      <c r="E644" s="109" t="s">
        <v>23</v>
      </c>
      <c r="F644" s="109" t="s">
        <v>19</v>
      </c>
      <c r="G644" s="109" t="s">
        <v>15</v>
      </c>
      <c r="H644" s="110">
        <v>147.18</v>
      </c>
      <c r="I644" s="109">
        <v>6</v>
      </c>
      <c r="J644" s="110">
        <v>883.08</v>
      </c>
    </row>
    <row r="645" spans="1:10" x14ac:dyDescent="0.25">
      <c r="A645" s="109" t="s">
        <v>700</v>
      </c>
      <c r="B645" s="112">
        <v>45827</v>
      </c>
      <c r="C645" s="109" t="s">
        <v>30</v>
      </c>
      <c r="D645" s="109" t="s">
        <v>31</v>
      </c>
      <c r="E645" s="109" t="s">
        <v>27</v>
      </c>
      <c r="F645" s="109" t="s">
        <v>42</v>
      </c>
      <c r="G645" s="109" t="s">
        <v>20</v>
      </c>
      <c r="H645" s="110">
        <v>83.34</v>
      </c>
      <c r="I645" s="109">
        <v>7</v>
      </c>
      <c r="J645" s="110">
        <v>583.38</v>
      </c>
    </row>
    <row r="646" spans="1:10" x14ac:dyDescent="0.25">
      <c r="A646" s="109" t="s">
        <v>701</v>
      </c>
      <c r="B646" s="112">
        <v>45934</v>
      </c>
      <c r="C646" s="109" t="s">
        <v>17</v>
      </c>
      <c r="D646" s="109" t="s">
        <v>35</v>
      </c>
      <c r="E646" s="109" t="s">
        <v>13</v>
      </c>
      <c r="F646" s="109" t="s">
        <v>14</v>
      </c>
      <c r="G646" s="109" t="s">
        <v>15</v>
      </c>
      <c r="H646" s="110">
        <v>89.23</v>
      </c>
      <c r="I646" s="109">
        <v>9</v>
      </c>
      <c r="J646" s="110">
        <v>803.07</v>
      </c>
    </row>
    <row r="647" spans="1:10" x14ac:dyDescent="0.25">
      <c r="A647" s="109" t="s">
        <v>702</v>
      </c>
      <c r="B647" s="112">
        <v>45683</v>
      </c>
      <c r="C647" s="109" t="s">
        <v>25</v>
      </c>
      <c r="D647" s="109" t="s">
        <v>55</v>
      </c>
      <c r="E647" s="109" t="s">
        <v>41</v>
      </c>
      <c r="F647" s="109" t="s">
        <v>14</v>
      </c>
      <c r="G647" s="109" t="s">
        <v>15</v>
      </c>
      <c r="H647" s="110">
        <v>113</v>
      </c>
      <c r="I647" s="109">
        <v>13</v>
      </c>
      <c r="J647" s="110">
        <v>1469</v>
      </c>
    </row>
    <row r="648" spans="1:10" x14ac:dyDescent="0.25">
      <c r="A648" s="109" t="s">
        <v>703</v>
      </c>
      <c r="B648" s="112">
        <v>45842</v>
      </c>
      <c r="C648" s="109" t="s">
        <v>38</v>
      </c>
      <c r="D648" s="109" t="s">
        <v>22</v>
      </c>
      <c r="E648" s="109" t="s">
        <v>13</v>
      </c>
      <c r="F648" s="109" t="s">
        <v>39</v>
      </c>
      <c r="G648" s="109" t="s">
        <v>20</v>
      </c>
      <c r="H648" s="110">
        <v>34.42</v>
      </c>
      <c r="I648" s="109">
        <v>1</v>
      </c>
      <c r="J648" s="110">
        <v>34.42</v>
      </c>
    </row>
    <row r="649" spans="1:10" x14ac:dyDescent="0.25">
      <c r="A649" s="109" t="s">
        <v>704</v>
      </c>
      <c r="B649" s="112">
        <v>45978</v>
      </c>
      <c r="C649" s="109" t="s">
        <v>38</v>
      </c>
      <c r="D649" s="109" t="s">
        <v>26</v>
      </c>
      <c r="E649" s="109" t="s">
        <v>45</v>
      </c>
      <c r="F649" s="109" t="s">
        <v>19</v>
      </c>
      <c r="G649" s="109" t="s">
        <v>15</v>
      </c>
      <c r="H649" s="110">
        <v>100.86</v>
      </c>
      <c r="I649" s="109">
        <v>20</v>
      </c>
      <c r="J649" s="110">
        <v>2017.2</v>
      </c>
    </row>
    <row r="650" spans="1:10" x14ac:dyDescent="0.25">
      <c r="A650" s="109" t="s">
        <v>705</v>
      </c>
      <c r="B650" s="112">
        <v>45745</v>
      </c>
      <c r="C650" s="109" t="s">
        <v>11</v>
      </c>
      <c r="D650" s="109" t="s">
        <v>31</v>
      </c>
      <c r="E650" s="109" t="s">
        <v>45</v>
      </c>
      <c r="F650" s="109" t="s">
        <v>32</v>
      </c>
      <c r="G650" s="109" t="s">
        <v>36</v>
      </c>
      <c r="H650" s="110">
        <v>76.52</v>
      </c>
      <c r="I650" s="109">
        <v>10</v>
      </c>
      <c r="J650" s="110">
        <v>765.2</v>
      </c>
    </row>
    <row r="651" spans="1:10" x14ac:dyDescent="0.25">
      <c r="A651" s="109" t="s">
        <v>706</v>
      </c>
      <c r="B651" s="112">
        <v>45899</v>
      </c>
      <c r="C651" s="109" t="s">
        <v>17</v>
      </c>
      <c r="D651" s="109" t="s">
        <v>35</v>
      </c>
      <c r="E651" s="109" t="s">
        <v>45</v>
      </c>
      <c r="F651" s="109" t="s">
        <v>28</v>
      </c>
      <c r="G651" s="109" t="s">
        <v>20</v>
      </c>
      <c r="H651" s="110">
        <v>102.05</v>
      </c>
      <c r="I651" s="109">
        <v>16</v>
      </c>
      <c r="J651" s="110">
        <v>1632.8</v>
      </c>
    </row>
    <row r="652" spans="1:10" x14ac:dyDescent="0.25">
      <c r="A652" s="109" t="s">
        <v>707</v>
      </c>
      <c r="B652" s="112">
        <v>45856</v>
      </c>
      <c r="C652" s="109" t="s">
        <v>34</v>
      </c>
      <c r="D652" s="109" t="s">
        <v>31</v>
      </c>
      <c r="E652" s="109" t="s">
        <v>13</v>
      </c>
      <c r="F652" s="109" t="s">
        <v>14</v>
      </c>
      <c r="G652" s="109" t="s">
        <v>36</v>
      </c>
      <c r="H652" s="110">
        <v>56.35</v>
      </c>
      <c r="I652" s="109">
        <v>6</v>
      </c>
      <c r="J652" s="110">
        <v>338.1</v>
      </c>
    </row>
    <row r="653" spans="1:10" x14ac:dyDescent="0.25">
      <c r="A653" s="109" t="s">
        <v>708</v>
      </c>
      <c r="B653" s="112">
        <v>45680</v>
      </c>
      <c r="C653" s="109" t="s">
        <v>38</v>
      </c>
      <c r="D653" s="109" t="s">
        <v>31</v>
      </c>
      <c r="E653" s="109" t="s">
        <v>13</v>
      </c>
      <c r="F653" s="109" t="s">
        <v>14</v>
      </c>
      <c r="G653" s="109" t="s">
        <v>36</v>
      </c>
      <c r="H653" s="110">
        <v>225.92</v>
      </c>
      <c r="I653" s="109">
        <v>9</v>
      </c>
      <c r="J653" s="110">
        <v>2033.28</v>
      </c>
    </row>
    <row r="654" spans="1:10" x14ac:dyDescent="0.25">
      <c r="A654" s="109" t="s">
        <v>709</v>
      </c>
      <c r="B654" s="112">
        <v>45946</v>
      </c>
      <c r="C654" s="109" t="s">
        <v>30</v>
      </c>
      <c r="D654" s="109" t="s">
        <v>12</v>
      </c>
      <c r="E654" s="109" t="s">
        <v>27</v>
      </c>
      <c r="F654" s="109" t="s">
        <v>19</v>
      </c>
      <c r="G654" s="109" t="s">
        <v>15</v>
      </c>
      <c r="H654" s="110">
        <v>160.59</v>
      </c>
      <c r="I654" s="109">
        <v>2</v>
      </c>
      <c r="J654" s="110">
        <v>321.18</v>
      </c>
    </row>
    <row r="655" spans="1:10" x14ac:dyDescent="0.25">
      <c r="A655" s="109" t="s">
        <v>710</v>
      </c>
      <c r="B655" s="112">
        <v>46000</v>
      </c>
      <c r="C655" s="109" t="s">
        <v>25</v>
      </c>
      <c r="D655" s="109" t="s">
        <v>31</v>
      </c>
      <c r="E655" s="109" t="s">
        <v>18</v>
      </c>
      <c r="F655" s="109" t="s">
        <v>14</v>
      </c>
      <c r="G655" s="109" t="s">
        <v>20</v>
      </c>
      <c r="H655" s="110">
        <v>179.4</v>
      </c>
      <c r="I655" s="109">
        <v>12</v>
      </c>
      <c r="J655" s="110">
        <v>2152.8000000000002</v>
      </c>
    </row>
    <row r="656" spans="1:10" x14ac:dyDescent="0.25">
      <c r="A656" s="109" t="s">
        <v>711</v>
      </c>
      <c r="B656" s="112">
        <v>45689</v>
      </c>
      <c r="C656" s="109" t="s">
        <v>25</v>
      </c>
      <c r="D656" s="109" t="s">
        <v>31</v>
      </c>
      <c r="E656" s="109" t="s">
        <v>18</v>
      </c>
      <c r="F656" s="109" t="s">
        <v>28</v>
      </c>
      <c r="G656" s="109" t="s">
        <v>36</v>
      </c>
      <c r="H656" s="110">
        <v>203.62</v>
      </c>
      <c r="I656" s="109">
        <v>13</v>
      </c>
      <c r="J656" s="110">
        <v>2647.06</v>
      </c>
    </row>
    <row r="657" spans="1:10" x14ac:dyDescent="0.25">
      <c r="A657" s="109" t="s">
        <v>712</v>
      </c>
      <c r="B657" s="112">
        <v>45951</v>
      </c>
      <c r="C657" s="109" t="s">
        <v>38</v>
      </c>
      <c r="D657" s="109" t="s">
        <v>35</v>
      </c>
      <c r="E657" s="109" t="s">
        <v>45</v>
      </c>
      <c r="F657" s="109" t="s">
        <v>61</v>
      </c>
      <c r="G657" s="109" t="s">
        <v>20</v>
      </c>
      <c r="H657" s="110">
        <v>139.66</v>
      </c>
      <c r="I657" s="109">
        <v>8</v>
      </c>
      <c r="J657" s="110">
        <v>1117.28</v>
      </c>
    </row>
    <row r="658" spans="1:10" x14ac:dyDescent="0.25">
      <c r="A658" s="109" t="s">
        <v>713</v>
      </c>
      <c r="B658" s="112">
        <v>45675</v>
      </c>
      <c r="C658" s="109" t="s">
        <v>25</v>
      </c>
      <c r="D658" s="109" t="s">
        <v>55</v>
      </c>
      <c r="E658" s="109" t="s">
        <v>18</v>
      </c>
      <c r="F658" s="109" t="s">
        <v>28</v>
      </c>
      <c r="G658" s="109" t="s">
        <v>20</v>
      </c>
      <c r="H658" s="110">
        <v>49.12</v>
      </c>
      <c r="I658" s="109">
        <v>17</v>
      </c>
      <c r="J658" s="110">
        <v>835.04</v>
      </c>
    </row>
    <row r="659" spans="1:10" x14ac:dyDescent="0.25">
      <c r="A659" s="109" t="s">
        <v>714</v>
      </c>
      <c r="B659" s="112">
        <v>45733</v>
      </c>
      <c r="C659" s="109" t="s">
        <v>38</v>
      </c>
      <c r="D659" s="109" t="s">
        <v>26</v>
      </c>
      <c r="E659" s="109" t="s">
        <v>23</v>
      </c>
      <c r="F659" s="109" t="s">
        <v>14</v>
      </c>
      <c r="G659" s="109" t="s">
        <v>15</v>
      </c>
      <c r="H659" s="110">
        <v>148.16</v>
      </c>
      <c r="I659" s="109">
        <v>4</v>
      </c>
      <c r="J659" s="110">
        <v>592.64</v>
      </c>
    </row>
    <row r="660" spans="1:10" x14ac:dyDescent="0.25">
      <c r="A660" s="109" t="s">
        <v>715</v>
      </c>
      <c r="B660" s="112">
        <v>45722</v>
      </c>
      <c r="C660" s="109" t="s">
        <v>38</v>
      </c>
      <c r="D660" s="109" t="s">
        <v>22</v>
      </c>
      <c r="E660" s="109" t="s">
        <v>27</v>
      </c>
      <c r="F660" s="109" t="s">
        <v>61</v>
      </c>
      <c r="G660" s="109" t="s">
        <v>15</v>
      </c>
      <c r="H660" s="110">
        <v>159.11000000000001</v>
      </c>
      <c r="I660" s="109">
        <v>2</v>
      </c>
      <c r="J660" s="110">
        <v>318.22000000000003</v>
      </c>
    </row>
    <row r="661" spans="1:10" x14ac:dyDescent="0.25">
      <c r="A661" s="109" t="s">
        <v>716</v>
      </c>
      <c r="B661" s="112">
        <v>45979</v>
      </c>
      <c r="C661" s="109" t="s">
        <v>25</v>
      </c>
      <c r="D661" s="109" t="s">
        <v>35</v>
      </c>
      <c r="E661" s="109" t="s">
        <v>13</v>
      </c>
      <c r="F661" s="109" t="s">
        <v>28</v>
      </c>
      <c r="G661" s="109" t="s">
        <v>15</v>
      </c>
      <c r="H661" s="110">
        <v>194</v>
      </c>
      <c r="I661" s="109">
        <v>5</v>
      </c>
      <c r="J661" s="110">
        <v>970</v>
      </c>
    </row>
    <row r="662" spans="1:10" x14ac:dyDescent="0.25">
      <c r="A662" s="109" t="s">
        <v>717</v>
      </c>
      <c r="B662" s="112">
        <v>45702</v>
      </c>
      <c r="C662" s="109" t="s">
        <v>25</v>
      </c>
      <c r="D662" s="109" t="s">
        <v>31</v>
      </c>
      <c r="E662" s="109" t="s">
        <v>18</v>
      </c>
      <c r="F662" s="109" t="s">
        <v>32</v>
      </c>
      <c r="G662" s="109" t="s">
        <v>36</v>
      </c>
      <c r="H662" s="110">
        <v>124.97</v>
      </c>
      <c r="I662" s="109">
        <v>13</v>
      </c>
      <c r="J662" s="110">
        <v>1624.61</v>
      </c>
    </row>
    <row r="663" spans="1:10" x14ac:dyDescent="0.25">
      <c r="A663" s="109" t="s">
        <v>718</v>
      </c>
      <c r="B663" s="112">
        <v>45924</v>
      </c>
      <c r="C663" s="109" t="s">
        <v>11</v>
      </c>
      <c r="D663" s="109" t="s">
        <v>12</v>
      </c>
      <c r="E663" s="109" t="s">
        <v>18</v>
      </c>
      <c r="F663" s="109" t="s">
        <v>42</v>
      </c>
      <c r="G663" s="109" t="s">
        <v>20</v>
      </c>
      <c r="H663" s="110">
        <v>58.07</v>
      </c>
      <c r="I663" s="109">
        <v>15</v>
      </c>
      <c r="J663" s="110">
        <v>871.05</v>
      </c>
    </row>
    <row r="664" spans="1:10" x14ac:dyDescent="0.25">
      <c r="A664" s="109" t="s">
        <v>719</v>
      </c>
      <c r="B664" s="112">
        <v>45872</v>
      </c>
      <c r="C664" s="109" t="s">
        <v>38</v>
      </c>
      <c r="D664" s="109" t="s">
        <v>26</v>
      </c>
      <c r="E664" s="109" t="s">
        <v>23</v>
      </c>
      <c r="F664" s="109" t="s">
        <v>42</v>
      </c>
      <c r="G664" s="109" t="s">
        <v>20</v>
      </c>
      <c r="H664" s="110">
        <v>92.43</v>
      </c>
      <c r="I664" s="109">
        <v>4</v>
      </c>
      <c r="J664" s="110">
        <v>369.72</v>
      </c>
    </row>
    <row r="665" spans="1:10" x14ac:dyDescent="0.25">
      <c r="A665" s="109" t="s">
        <v>720</v>
      </c>
      <c r="B665" s="112">
        <v>45956</v>
      </c>
      <c r="C665" s="109" t="s">
        <v>11</v>
      </c>
      <c r="D665" s="109" t="s">
        <v>55</v>
      </c>
      <c r="E665" s="109" t="s">
        <v>45</v>
      </c>
      <c r="F665" s="109" t="s">
        <v>39</v>
      </c>
      <c r="G665" s="109" t="s">
        <v>36</v>
      </c>
      <c r="H665" s="110">
        <v>109.88</v>
      </c>
      <c r="I665" s="109">
        <v>4</v>
      </c>
      <c r="J665" s="110">
        <v>439.52</v>
      </c>
    </row>
    <row r="666" spans="1:10" x14ac:dyDescent="0.25">
      <c r="A666" s="109" t="s">
        <v>721</v>
      </c>
      <c r="B666" s="112">
        <v>45932</v>
      </c>
      <c r="C666" s="109" t="s">
        <v>38</v>
      </c>
      <c r="D666" s="109" t="s">
        <v>35</v>
      </c>
      <c r="E666" s="109" t="s">
        <v>41</v>
      </c>
      <c r="F666" s="109" t="s">
        <v>28</v>
      </c>
      <c r="G666" s="109" t="s">
        <v>36</v>
      </c>
      <c r="H666" s="110">
        <v>172.1</v>
      </c>
      <c r="I666" s="109">
        <v>12</v>
      </c>
      <c r="J666" s="110">
        <v>2065.1999999999998</v>
      </c>
    </row>
    <row r="667" spans="1:10" x14ac:dyDescent="0.25">
      <c r="A667" s="109" t="s">
        <v>722</v>
      </c>
      <c r="B667" s="112">
        <v>45950</v>
      </c>
      <c r="C667" s="109" t="s">
        <v>38</v>
      </c>
      <c r="D667" s="109" t="s">
        <v>22</v>
      </c>
      <c r="E667" s="109" t="s">
        <v>23</v>
      </c>
      <c r="F667" s="109" t="s">
        <v>32</v>
      </c>
      <c r="G667" s="109" t="s">
        <v>36</v>
      </c>
      <c r="H667" s="110">
        <v>155.57</v>
      </c>
      <c r="I667" s="109">
        <v>20</v>
      </c>
      <c r="J667" s="110">
        <v>3111.4</v>
      </c>
    </row>
    <row r="668" spans="1:10" x14ac:dyDescent="0.25">
      <c r="A668" s="109" t="s">
        <v>723</v>
      </c>
      <c r="B668" s="112">
        <v>45731</v>
      </c>
      <c r="C668" s="109" t="s">
        <v>25</v>
      </c>
      <c r="D668" s="109" t="s">
        <v>12</v>
      </c>
      <c r="E668" s="109" t="s">
        <v>27</v>
      </c>
      <c r="F668" s="109" t="s">
        <v>61</v>
      </c>
      <c r="G668" s="109" t="s">
        <v>15</v>
      </c>
      <c r="H668" s="110">
        <v>108.34</v>
      </c>
      <c r="I668" s="109">
        <v>20</v>
      </c>
      <c r="J668" s="110">
        <v>2166.8000000000002</v>
      </c>
    </row>
    <row r="669" spans="1:10" x14ac:dyDescent="0.25">
      <c r="A669" s="109" t="s">
        <v>724</v>
      </c>
      <c r="B669" s="112">
        <v>45860</v>
      </c>
      <c r="C669" s="109" t="s">
        <v>17</v>
      </c>
      <c r="D669" s="109" t="s">
        <v>26</v>
      </c>
      <c r="E669" s="109" t="s">
        <v>45</v>
      </c>
      <c r="F669" s="109" t="s">
        <v>28</v>
      </c>
      <c r="G669" s="109" t="s">
        <v>36</v>
      </c>
      <c r="H669" s="110">
        <v>247.03</v>
      </c>
      <c r="I669" s="109">
        <v>11</v>
      </c>
      <c r="J669" s="110">
        <v>2717.33</v>
      </c>
    </row>
    <row r="670" spans="1:10" x14ac:dyDescent="0.25">
      <c r="A670" s="109" t="s">
        <v>725</v>
      </c>
      <c r="B670" s="112">
        <v>45795</v>
      </c>
      <c r="C670" s="109" t="s">
        <v>11</v>
      </c>
      <c r="D670" s="109" t="s">
        <v>35</v>
      </c>
      <c r="E670" s="109" t="s">
        <v>13</v>
      </c>
      <c r="F670" s="109" t="s">
        <v>32</v>
      </c>
      <c r="G670" s="109" t="s">
        <v>36</v>
      </c>
      <c r="H670" s="110">
        <v>163.27000000000001</v>
      </c>
      <c r="I670" s="109">
        <v>12</v>
      </c>
      <c r="J670" s="110">
        <v>1959.24</v>
      </c>
    </row>
    <row r="671" spans="1:10" x14ac:dyDescent="0.25">
      <c r="A671" s="109" t="s">
        <v>726</v>
      </c>
      <c r="B671" s="112">
        <v>45909</v>
      </c>
      <c r="C671" s="109" t="s">
        <v>30</v>
      </c>
      <c r="D671" s="109" t="s">
        <v>26</v>
      </c>
      <c r="E671" s="109" t="s">
        <v>13</v>
      </c>
      <c r="F671" s="109" t="s">
        <v>28</v>
      </c>
      <c r="G671" s="109" t="s">
        <v>36</v>
      </c>
      <c r="H671" s="110">
        <v>82.19</v>
      </c>
      <c r="I671" s="109">
        <v>4</v>
      </c>
      <c r="J671" s="110">
        <v>328.76</v>
      </c>
    </row>
    <row r="672" spans="1:10" x14ac:dyDescent="0.25">
      <c r="A672" s="109" t="s">
        <v>727</v>
      </c>
      <c r="B672" s="112">
        <v>45822</v>
      </c>
      <c r="C672" s="109" t="s">
        <v>17</v>
      </c>
      <c r="D672" s="109" t="s">
        <v>31</v>
      </c>
      <c r="E672" s="109" t="s">
        <v>18</v>
      </c>
      <c r="F672" s="109" t="s">
        <v>28</v>
      </c>
      <c r="G672" s="109" t="s">
        <v>15</v>
      </c>
      <c r="H672" s="110">
        <v>52.39</v>
      </c>
      <c r="I672" s="109">
        <v>9</v>
      </c>
      <c r="J672" s="110">
        <v>471.51</v>
      </c>
    </row>
    <row r="673" spans="1:10" x14ac:dyDescent="0.25">
      <c r="A673" s="109" t="s">
        <v>728</v>
      </c>
      <c r="B673" s="112">
        <v>45754</v>
      </c>
      <c r="C673" s="109" t="s">
        <v>30</v>
      </c>
      <c r="D673" s="109" t="s">
        <v>31</v>
      </c>
      <c r="E673" s="109" t="s">
        <v>27</v>
      </c>
      <c r="F673" s="109" t="s">
        <v>61</v>
      </c>
      <c r="G673" s="109" t="s">
        <v>20</v>
      </c>
      <c r="H673" s="110">
        <v>63.63</v>
      </c>
      <c r="I673" s="109">
        <v>15</v>
      </c>
      <c r="J673" s="110">
        <v>954.45</v>
      </c>
    </row>
    <row r="674" spans="1:10" x14ac:dyDescent="0.25">
      <c r="A674" s="109" t="s">
        <v>729</v>
      </c>
      <c r="B674" s="112">
        <v>45849</v>
      </c>
      <c r="C674" s="109" t="s">
        <v>25</v>
      </c>
      <c r="D674" s="109" t="s">
        <v>26</v>
      </c>
      <c r="E674" s="109" t="s">
        <v>45</v>
      </c>
      <c r="F674" s="109" t="s">
        <v>32</v>
      </c>
      <c r="G674" s="109" t="s">
        <v>20</v>
      </c>
      <c r="H674" s="110">
        <v>84.11</v>
      </c>
      <c r="I674" s="109">
        <v>2</v>
      </c>
      <c r="J674" s="110">
        <v>168.22</v>
      </c>
    </row>
    <row r="675" spans="1:10" x14ac:dyDescent="0.25">
      <c r="A675" s="109" t="s">
        <v>730</v>
      </c>
      <c r="B675" s="112">
        <v>45917</v>
      </c>
      <c r="C675" s="109" t="s">
        <v>30</v>
      </c>
      <c r="D675" s="109" t="s">
        <v>55</v>
      </c>
      <c r="E675" s="109" t="s">
        <v>18</v>
      </c>
      <c r="F675" s="109" t="s">
        <v>19</v>
      </c>
      <c r="G675" s="109" t="s">
        <v>15</v>
      </c>
      <c r="H675" s="110">
        <v>65.349999999999994</v>
      </c>
      <c r="I675" s="109">
        <v>13</v>
      </c>
      <c r="J675" s="110">
        <v>849.55</v>
      </c>
    </row>
    <row r="676" spans="1:10" x14ac:dyDescent="0.25">
      <c r="A676" s="109" t="s">
        <v>731</v>
      </c>
      <c r="B676" s="112">
        <v>45756</v>
      </c>
      <c r="C676" s="109" t="s">
        <v>11</v>
      </c>
      <c r="D676" s="109" t="s">
        <v>26</v>
      </c>
      <c r="E676" s="109" t="s">
        <v>45</v>
      </c>
      <c r="F676" s="109" t="s">
        <v>61</v>
      </c>
      <c r="G676" s="109" t="s">
        <v>15</v>
      </c>
      <c r="H676" s="110">
        <v>71.040000000000006</v>
      </c>
      <c r="I676" s="109">
        <v>7</v>
      </c>
      <c r="J676" s="110">
        <v>497.28</v>
      </c>
    </row>
    <row r="677" spans="1:10" x14ac:dyDescent="0.25">
      <c r="A677" s="109" t="s">
        <v>732</v>
      </c>
      <c r="B677" s="112">
        <v>45842</v>
      </c>
      <c r="C677" s="109" t="s">
        <v>34</v>
      </c>
      <c r="D677" s="109" t="s">
        <v>35</v>
      </c>
      <c r="E677" s="109" t="s">
        <v>41</v>
      </c>
      <c r="F677" s="109" t="s">
        <v>42</v>
      </c>
      <c r="G677" s="109" t="s">
        <v>36</v>
      </c>
      <c r="H677" s="110">
        <v>92.72</v>
      </c>
      <c r="I677" s="109">
        <v>7</v>
      </c>
      <c r="J677" s="110">
        <v>649.04</v>
      </c>
    </row>
    <row r="678" spans="1:10" x14ac:dyDescent="0.25">
      <c r="A678" s="109" t="s">
        <v>733</v>
      </c>
      <c r="B678" s="112">
        <v>45983</v>
      </c>
      <c r="C678" s="109" t="s">
        <v>17</v>
      </c>
      <c r="D678" s="109" t="s">
        <v>22</v>
      </c>
      <c r="E678" s="109" t="s">
        <v>23</v>
      </c>
      <c r="F678" s="109" t="s">
        <v>32</v>
      </c>
      <c r="G678" s="109" t="s">
        <v>36</v>
      </c>
      <c r="H678" s="110">
        <v>68.14</v>
      </c>
      <c r="I678" s="109">
        <v>4</v>
      </c>
      <c r="J678" s="110">
        <v>272.56</v>
      </c>
    </row>
    <row r="679" spans="1:10" x14ac:dyDescent="0.25">
      <c r="A679" s="109" t="s">
        <v>734</v>
      </c>
      <c r="B679" s="112">
        <v>45962</v>
      </c>
      <c r="C679" s="109" t="s">
        <v>30</v>
      </c>
      <c r="D679" s="109" t="s">
        <v>31</v>
      </c>
      <c r="E679" s="109" t="s">
        <v>18</v>
      </c>
      <c r="F679" s="109" t="s">
        <v>42</v>
      </c>
      <c r="G679" s="109" t="s">
        <v>36</v>
      </c>
      <c r="H679" s="110">
        <v>227.29</v>
      </c>
      <c r="I679" s="109">
        <v>15</v>
      </c>
      <c r="J679" s="110">
        <v>3409.35</v>
      </c>
    </row>
    <row r="680" spans="1:10" x14ac:dyDescent="0.25">
      <c r="A680" s="109" t="s">
        <v>735</v>
      </c>
      <c r="B680" s="112">
        <v>45834</v>
      </c>
      <c r="C680" s="109" t="s">
        <v>34</v>
      </c>
      <c r="D680" s="109" t="s">
        <v>12</v>
      </c>
      <c r="E680" s="109" t="s">
        <v>27</v>
      </c>
      <c r="F680" s="109" t="s">
        <v>19</v>
      </c>
      <c r="G680" s="109" t="s">
        <v>36</v>
      </c>
      <c r="H680" s="110">
        <v>47.65</v>
      </c>
      <c r="I680" s="109">
        <v>6</v>
      </c>
      <c r="J680" s="110">
        <v>285.89999999999998</v>
      </c>
    </row>
    <row r="681" spans="1:10" x14ac:dyDescent="0.25">
      <c r="A681" s="109" t="s">
        <v>736</v>
      </c>
      <c r="B681" s="112">
        <v>45672</v>
      </c>
      <c r="C681" s="109" t="s">
        <v>11</v>
      </c>
      <c r="D681" s="109" t="s">
        <v>26</v>
      </c>
      <c r="E681" s="109" t="s">
        <v>18</v>
      </c>
      <c r="F681" s="109" t="s">
        <v>39</v>
      </c>
      <c r="G681" s="109" t="s">
        <v>15</v>
      </c>
      <c r="H681" s="110">
        <v>145.38999999999999</v>
      </c>
      <c r="I681" s="109">
        <v>13</v>
      </c>
      <c r="J681" s="110">
        <v>1890.07</v>
      </c>
    </row>
    <row r="682" spans="1:10" x14ac:dyDescent="0.25">
      <c r="A682" s="109" t="s">
        <v>737</v>
      </c>
      <c r="B682" s="112">
        <v>45771</v>
      </c>
      <c r="C682" s="109" t="s">
        <v>17</v>
      </c>
      <c r="D682" s="109" t="s">
        <v>26</v>
      </c>
      <c r="E682" s="109" t="s">
        <v>13</v>
      </c>
      <c r="F682" s="109" t="s">
        <v>28</v>
      </c>
      <c r="G682" s="109" t="s">
        <v>36</v>
      </c>
      <c r="H682" s="110">
        <v>120.29</v>
      </c>
      <c r="I682" s="109">
        <v>8</v>
      </c>
      <c r="J682" s="110">
        <v>962.32</v>
      </c>
    </row>
    <row r="683" spans="1:10" x14ac:dyDescent="0.25">
      <c r="A683" s="109" t="s">
        <v>738</v>
      </c>
      <c r="B683" s="112">
        <v>45920</v>
      </c>
      <c r="C683" s="109" t="s">
        <v>17</v>
      </c>
      <c r="D683" s="109" t="s">
        <v>22</v>
      </c>
      <c r="E683" s="109" t="s">
        <v>41</v>
      </c>
      <c r="F683" s="109" t="s">
        <v>14</v>
      </c>
      <c r="G683" s="109" t="s">
        <v>20</v>
      </c>
      <c r="H683" s="110">
        <v>246.12</v>
      </c>
      <c r="I683" s="109">
        <v>1</v>
      </c>
      <c r="J683" s="110">
        <v>246.12</v>
      </c>
    </row>
    <row r="684" spans="1:10" x14ac:dyDescent="0.25">
      <c r="A684" s="109" t="s">
        <v>739</v>
      </c>
      <c r="B684" s="112">
        <v>45746</v>
      </c>
      <c r="C684" s="109" t="s">
        <v>11</v>
      </c>
      <c r="D684" s="109" t="s">
        <v>26</v>
      </c>
      <c r="E684" s="109" t="s">
        <v>13</v>
      </c>
      <c r="F684" s="109" t="s">
        <v>42</v>
      </c>
      <c r="G684" s="109" t="s">
        <v>36</v>
      </c>
      <c r="H684" s="110">
        <v>54.65</v>
      </c>
      <c r="I684" s="109">
        <v>20</v>
      </c>
      <c r="J684" s="110">
        <v>1093</v>
      </c>
    </row>
    <row r="685" spans="1:10" x14ac:dyDescent="0.25">
      <c r="A685" s="109" t="s">
        <v>740</v>
      </c>
      <c r="B685" s="112">
        <v>46022</v>
      </c>
      <c r="C685" s="109" t="s">
        <v>38</v>
      </c>
      <c r="D685" s="109" t="s">
        <v>31</v>
      </c>
      <c r="E685" s="109" t="s">
        <v>13</v>
      </c>
      <c r="F685" s="109" t="s">
        <v>61</v>
      </c>
      <c r="G685" s="109" t="s">
        <v>36</v>
      </c>
      <c r="H685" s="110">
        <v>117.53</v>
      </c>
      <c r="I685" s="109">
        <v>9</v>
      </c>
      <c r="J685" s="110">
        <v>1057.77</v>
      </c>
    </row>
    <row r="686" spans="1:10" x14ac:dyDescent="0.25">
      <c r="A686" s="109" t="s">
        <v>741</v>
      </c>
      <c r="B686" s="112">
        <v>45769</v>
      </c>
      <c r="C686" s="109" t="s">
        <v>34</v>
      </c>
      <c r="D686" s="109" t="s">
        <v>12</v>
      </c>
      <c r="E686" s="109" t="s">
        <v>18</v>
      </c>
      <c r="F686" s="109" t="s">
        <v>39</v>
      </c>
      <c r="G686" s="109" t="s">
        <v>20</v>
      </c>
      <c r="H686" s="110">
        <v>243.28</v>
      </c>
      <c r="I686" s="109">
        <v>15</v>
      </c>
      <c r="J686" s="110">
        <v>3649.2</v>
      </c>
    </row>
    <row r="687" spans="1:10" x14ac:dyDescent="0.25">
      <c r="A687" s="109" t="s">
        <v>742</v>
      </c>
      <c r="B687" s="112">
        <v>45861</v>
      </c>
      <c r="C687" s="109" t="s">
        <v>11</v>
      </c>
      <c r="D687" s="109" t="s">
        <v>22</v>
      </c>
      <c r="E687" s="109" t="s">
        <v>18</v>
      </c>
      <c r="F687" s="109" t="s">
        <v>28</v>
      </c>
      <c r="G687" s="109" t="s">
        <v>36</v>
      </c>
      <c r="H687" s="110">
        <v>220.41</v>
      </c>
      <c r="I687" s="109">
        <v>19</v>
      </c>
      <c r="J687" s="110">
        <v>4187.79</v>
      </c>
    </row>
    <row r="688" spans="1:10" x14ac:dyDescent="0.25">
      <c r="A688" s="109" t="s">
        <v>743</v>
      </c>
      <c r="B688" s="112">
        <v>45945</v>
      </c>
      <c r="C688" s="109" t="s">
        <v>25</v>
      </c>
      <c r="D688" s="109" t="s">
        <v>35</v>
      </c>
      <c r="E688" s="109" t="s">
        <v>13</v>
      </c>
      <c r="F688" s="109" t="s">
        <v>28</v>
      </c>
      <c r="G688" s="109" t="s">
        <v>15</v>
      </c>
      <c r="H688" s="110">
        <v>209.76</v>
      </c>
      <c r="I688" s="109">
        <v>20</v>
      </c>
      <c r="J688" s="110">
        <v>4195.2</v>
      </c>
    </row>
    <row r="689" spans="1:10" x14ac:dyDescent="0.25">
      <c r="A689" s="109" t="s">
        <v>744</v>
      </c>
      <c r="B689" s="112">
        <v>45904</v>
      </c>
      <c r="C689" s="109" t="s">
        <v>34</v>
      </c>
      <c r="D689" s="109" t="s">
        <v>35</v>
      </c>
      <c r="E689" s="109" t="s">
        <v>27</v>
      </c>
      <c r="F689" s="109" t="s">
        <v>32</v>
      </c>
      <c r="G689" s="109" t="s">
        <v>36</v>
      </c>
      <c r="H689" s="110">
        <v>86.74</v>
      </c>
      <c r="I689" s="109">
        <v>3</v>
      </c>
      <c r="J689" s="110">
        <v>260.22000000000003</v>
      </c>
    </row>
    <row r="690" spans="1:10" x14ac:dyDescent="0.25">
      <c r="A690" s="109" t="s">
        <v>745</v>
      </c>
      <c r="B690" s="112">
        <v>45791</v>
      </c>
      <c r="C690" s="109" t="s">
        <v>30</v>
      </c>
      <c r="D690" s="109" t="s">
        <v>26</v>
      </c>
      <c r="E690" s="109" t="s">
        <v>18</v>
      </c>
      <c r="F690" s="109" t="s">
        <v>39</v>
      </c>
      <c r="G690" s="109" t="s">
        <v>15</v>
      </c>
      <c r="H690" s="110">
        <v>67.599999999999994</v>
      </c>
      <c r="I690" s="109">
        <v>10</v>
      </c>
      <c r="J690" s="110">
        <v>676</v>
      </c>
    </row>
    <row r="691" spans="1:10" x14ac:dyDescent="0.25">
      <c r="A691" s="109" t="s">
        <v>746</v>
      </c>
      <c r="B691" s="112">
        <v>45687</v>
      </c>
      <c r="C691" s="109" t="s">
        <v>38</v>
      </c>
      <c r="D691" s="109" t="s">
        <v>12</v>
      </c>
      <c r="E691" s="109" t="s">
        <v>13</v>
      </c>
      <c r="F691" s="109" t="s">
        <v>28</v>
      </c>
      <c r="G691" s="109" t="s">
        <v>15</v>
      </c>
      <c r="H691" s="110">
        <v>177.1</v>
      </c>
      <c r="I691" s="109">
        <v>20</v>
      </c>
      <c r="J691" s="110">
        <v>3542</v>
      </c>
    </row>
    <row r="692" spans="1:10" x14ac:dyDescent="0.25">
      <c r="A692" s="109" t="s">
        <v>747</v>
      </c>
      <c r="B692" s="112">
        <v>45671</v>
      </c>
      <c r="C692" s="109" t="s">
        <v>34</v>
      </c>
      <c r="D692" s="109" t="s">
        <v>35</v>
      </c>
      <c r="E692" s="109" t="s">
        <v>41</v>
      </c>
      <c r="F692" s="109" t="s">
        <v>61</v>
      </c>
      <c r="G692" s="109" t="s">
        <v>36</v>
      </c>
      <c r="H692" s="110">
        <v>234.46</v>
      </c>
      <c r="I692" s="109">
        <v>16</v>
      </c>
      <c r="J692" s="110">
        <v>3751.36</v>
      </c>
    </row>
    <row r="693" spans="1:10" x14ac:dyDescent="0.25">
      <c r="A693" s="109" t="s">
        <v>748</v>
      </c>
      <c r="B693" s="112">
        <v>45676</v>
      </c>
      <c r="C693" s="109" t="s">
        <v>17</v>
      </c>
      <c r="D693" s="109" t="s">
        <v>55</v>
      </c>
      <c r="E693" s="109" t="s">
        <v>23</v>
      </c>
      <c r="F693" s="109" t="s">
        <v>32</v>
      </c>
      <c r="G693" s="109" t="s">
        <v>20</v>
      </c>
      <c r="H693" s="110">
        <v>152.49</v>
      </c>
      <c r="I693" s="109">
        <v>19</v>
      </c>
      <c r="J693" s="110">
        <v>2897.31</v>
      </c>
    </row>
    <row r="694" spans="1:10" x14ac:dyDescent="0.25">
      <c r="A694" s="109" t="s">
        <v>749</v>
      </c>
      <c r="B694" s="112">
        <v>45771</v>
      </c>
      <c r="C694" s="109" t="s">
        <v>17</v>
      </c>
      <c r="D694" s="109" t="s">
        <v>31</v>
      </c>
      <c r="E694" s="109" t="s">
        <v>27</v>
      </c>
      <c r="F694" s="109" t="s">
        <v>32</v>
      </c>
      <c r="G694" s="109" t="s">
        <v>20</v>
      </c>
      <c r="H694" s="110">
        <v>155.75</v>
      </c>
      <c r="I694" s="109">
        <v>18</v>
      </c>
      <c r="J694" s="110">
        <v>2803.5</v>
      </c>
    </row>
    <row r="695" spans="1:10" x14ac:dyDescent="0.25">
      <c r="A695" s="109" t="s">
        <v>750</v>
      </c>
      <c r="B695" s="112">
        <v>45811</v>
      </c>
      <c r="C695" s="109" t="s">
        <v>17</v>
      </c>
      <c r="D695" s="109" t="s">
        <v>55</v>
      </c>
      <c r="E695" s="109" t="s">
        <v>23</v>
      </c>
      <c r="F695" s="109" t="s">
        <v>32</v>
      </c>
      <c r="G695" s="109" t="s">
        <v>15</v>
      </c>
      <c r="H695" s="110">
        <v>91.6</v>
      </c>
      <c r="I695" s="109">
        <v>6</v>
      </c>
      <c r="J695" s="110">
        <v>549.6</v>
      </c>
    </row>
    <row r="696" spans="1:10" x14ac:dyDescent="0.25">
      <c r="A696" s="109" t="s">
        <v>751</v>
      </c>
      <c r="B696" s="112">
        <v>45899</v>
      </c>
      <c r="C696" s="109" t="s">
        <v>17</v>
      </c>
      <c r="D696" s="109" t="s">
        <v>35</v>
      </c>
      <c r="E696" s="109" t="s">
        <v>27</v>
      </c>
      <c r="F696" s="109" t="s">
        <v>39</v>
      </c>
      <c r="G696" s="109" t="s">
        <v>20</v>
      </c>
      <c r="H696" s="110">
        <v>199.29</v>
      </c>
      <c r="I696" s="109">
        <v>5</v>
      </c>
      <c r="J696" s="110">
        <v>996.45</v>
      </c>
    </row>
    <row r="697" spans="1:10" x14ac:dyDescent="0.25">
      <c r="A697" s="109" t="s">
        <v>752</v>
      </c>
      <c r="B697" s="112">
        <v>45751</v>
      </c>
      <c r="C697" s="109" t="s">
        <v>17</v>
      </c>
      <c r="D697" s="109" t="s">
        <v>22</v>
      </c>
      <c r="E697" s="109" t="s">
        <v>23</v>
      </c>
      <c r="F697" s="109" t="s">
        <v>32</v>
      </c>
      <c r="G697" s="109" t="s">
        <v>15</v>
      </c>
      <c r="H697" s="110">
        <v>71.150000000000006</v>
      </c>
      <c r="I697" s="109">
        <v>11</v>
      </c>
      <c r="J697" s="110">
        <v>782.65</v>
      </c>
    </row>
    <row r="698" spans="1:10" x14ac:dyDescent="0.25">
      <c r="A698" s="109" t="s">
        <v>753</v>
      </c>
      <c r="B698" s="112">
        <v>45815</v>
      </c>
      <c r="C698" s="109" t="s">
        <v>34</v>
      </c>
      <c r="D698" s="109" t="s">
        <v>35</v>
      </c>
      <c r="E698" s="109" t="s">
        <v>13</v>
      </c>
      <c r="F698" s="109" t="s">
        <v>42</v>
      </c>
      <c r="G698" s="109" t="s">
        <v>36</v>
      </c>
      <c r="H698" s="110">
        <v>101.21</v>
      </c>
      <c r="I698" s="109">
        <v>14</v>
      </c>
      <c r="J698" s="110">
        <v>1416.94</v>
      </c>
    </row>
    <row r="699" spans="1:10" x14ac:dyDescent="0.25">
      <c r="A699" s="109" t="s">
        <v>754</v>
      </c>
      <c r="B699" s="112">
        <v>45895</v>
      </c>
      <c r="C699" s="109" t="s">
        <v>38</v>
      </c>
      <c r="D699" s="109" t="s">
        <v>22</v>
      </c>
      <c r="E699" s="109" t="s">
        <v>27</v>
      </c>
      <c r="F699" s="109" t="s">
        <v>42</v>
      </c>
      <c r="G699" s="109" t="s">
        <v>20</v>
      </c>
      <c r="H699" s="110">
        <v>123.6</v>
      </c>
      <c r="I699" s="109">
        <v>4</v>
      </c>
      <c r="J699" s="110">
        <v>494.4</v>
      </c>
    </row>
    <row r="700" spans="1:10" x14ac:dyDescent="0.25">
      <c r="A700" s="109" t="s">
        <v>755</v>
      </c>
      <c r="B700" s="112">
        <v>45975</v>
      </c>
      <c r="C700" s="109" t="s">
        <v>38</v>
      </c>
      <c r="D700" s="109" t="s">
        <v>26</v>
      </c>
      <c r="E700" s="109" t="s">
        <v>18</v>
      </c>
      <c r="F700" s="109" t="s">
        <v>19</v>
      </c>
      <c r="G700" s="109" t="s">
        <v>20</v>
      </c>
      <c r="H700" s="110">
        <v>141.66999999999999</v>
      </c>
      <c r="I700" s="109">
        <v>3</v>
      </c>
      <c r="J700" s="110">
        <v>425.01</v>
      </c>
    </row>
    <row r="701" spans="1:10" x14ac:dyDescent="0.25">
      <c r="A701" s="109" t="s">
        <v>756</v>
      </c>
      <c r="B701" s="112">
        <v>45853</v>
      </c>
      <c r="C701" s="109" t="s">
        <v>34</v>
      </c>
      <c r="D701" s="109" t="s">
        <v>31</v>
      </c>
      <c r="E701" s="109" t="s">
        <v>45</v>
      </c>
      <c r="F701" s="109" t="s">
        <v>39</v>
      </c>
      <c r="G701" s="109" t="s">
        <v>15</v>
      </c>
      <c r="H701" s="110">
        <v>83.33</v>
      </c>
      <c r="I701" s="109">
        <v>17</v>
      </c>
      <c r="J701" s="110">
        <v>1416.61</v>
      </c>
    </row>
    <row r="702" spans="1:10" x14ac:dyDescent="0.25">
      <c r="A702" s="109" t="s">
        <v>757</v>
      </c>
      <c r="B702" s="112">
        <v>45728</v>
      </c>
      <c r="C702" s="109" t="s">
        <v>34</v>
      </c>
      <c r="D702" s="109" t="s">
        <v>31</v>
      </c>
      <c r="E702" s="109" t="s">
        <v>18</v>
      </c>
      <c r="F702" s="109" t="s">
        <v>61</v>
      </c>
      <c r="G702" s="109" t="s">
        <v>15</v>
      </c>
      <c r="H702" s="110">
        <v>55.26</v>
      </c>
      <c r="I702" s="109">
        <v>7</v>
      </c>
      <c r="J702" s="110">
        <v>386.82</v>
      </c>
    </row>
    <row r="703" spans="1:10" x14ac:dyDescent="0.25">
      <c r="A703" s="109" t="s">
        <v>758</v>
      </c>
      <c r="B703" s="112">
        <v>45819</v>
      </c>
      <c r="C703" s="109" t="s">
        <v>11</v>
      </c>
      <c r="D703" s="109" t="s">
        <v>31</v>
      </c>
      <c r="E703" s="109" t="s">
        <v>13</v>
      </c>
      <c r="F703" s="109" t="s">
        <v>28</v>
      </c>
      <c r="G703" s="109" t="s">
        <v>15</v>
      </c>
      <c r="H703" s="110">
        <v>164.34</v>
      </c>
      <c r="I703" s="109">
        <v>6</v>
      </c>
      <c r="J703" s="110">
        <v>986.04</v>
      </c>
    </row>
    <row r="704" spans="1:10" x14ac:dyDescent="0.25">
      <c r="A704" s="109" t="s">
        <v>759</v>
      </c>
      <c r="B704" s="112">
        <v>45818</v>
      </c>
      <c r="C704" s="109" t="s">
        <v>11</v>
      </c>
      <c r="D704" s="109" t="s">
        <v>31</v>
      </c>
      <c r="E704" s="109" t="s">
        <v>13</v>
      </c>
      <c r="F704" s="109" t="s">
        <v>14</v>
      </c>
      <c r="G704" s="109" t="s">
        <v>15</v>
      </c>
      <c r="H704" s="110">
        <v>93.5</v>
      </c>
      <c r="I704" s="109">
        <v>2</v>
      </c>
      <c r="J704" s="110">
        <v>187</v>
      </c>
    </row>
    <row r="705" spans="1:10" x14ac:dyDescent="0.25">
      <c r="A705" s="109" t="s">
        <v>760</v>
      </c>
      <c r="B705" s="112">
        <v>45953</v>
      </c>
      <c r="C705" s="109" t="s">
        <v>38</v>
      </c>
      <c r="D705" s="109" t="s">
        <v>22</v>
      </c>
      <c r="E705" s="109" t="s">
        <v>23</v>
      </c>
      <c r="F705" s="109" t="s">
        <v>42</v>
      </c>
      <c r="G705" s="109" t="s">
        <v>36</v>
      </c>
      <c r="H705" s="110">
        <v>157.87</v>
      </c>
      <c r="I705" s="109">
        <v>6</v>
      </c>
      <c r="J705" s="110">
        <v>947.22</v>
      </c>
    </row>
    <row r="706" spans="1:10" x14ac:dyDescent="0.25">
      <c r="A706" s="109" t="s">
        <v>761</v>
      </c>
      <c r="B706" s="112">
        <v>45982</v>
      </c>
      <c r="C706" s="109" t="s">
        <v>38</v>
      </c>
      <c r="D706" s="109" t="s">
        <v>31</v>
      </c>
      <c r="E706" s="109" t="s">
        <v>41</v>
      </c>
      <c r="F706" s="109" t="s">
        <v>61</v>
      </c>
      <c r="G706" s="109" t="s">
        <v>15</v>
      </c>
      <c r="H706" s="110">
        <v>63.96</v>
      </c>
      <c r="I706" s="109">
        <v>14</v>
      </c>
      <c r="J706" s="110">
        <v>895.44</v>
      </c>
    </row>
    <row r="707" spans="1:10" x14ac:dyDescent="0.25">
      <c r="A707" s="109" t="s">
        <v>762</v>
      </c>
      <c r="B707" s="112">
        <v>45677</v>
      </c>
      <c r="C707" s="109" t="s">
        <v>30</v>
      </c>
      <c r="D707" s="109" t="s">
        <v>12</v>
      </c>
      <c r="E707" s="109" t="s">
        <v>13</v>
      </c>
      <c r="F707" s="109" t="s">
        <v>19</v>
      </c>
      <c r="G707" s="109" t="s">
        <v>36</v>
      </c>
      <c r="H707" s="110">
        <v>135.85</v>
      </c>
      <c r="I707" s="109">
        <v>18</v>
      </c>
      <c r="J707" s="110">
        <v>2445.3000000000002</v>
      </c>
    </row>
    <row r="708" spans="1:10" x14ac:dyDescent="0.25">
      <c r="A708" s="109" t="s">
        <v>763</v>
      </c>
      <c r="B708" s="112">
        <v>45929</v>
      </c>
      <c r="C708" s="109" t="s">
        <v>11</v>
      </c>
      <c r="D708" s="109" t="s">
        <v>12</v>
      </c>
      <c r="E708" s="109" t="s">
        <v>45</v>
      </c>
      <c r="F708" s="109" t="s">
        <v>28</v>
      </c>
      <c r="G708" s="109" t="s">
        <v>20</v>
      </c>
      <c r="H708" s="110">
        <v>147.16999999999999</v>
      </c>
      <c r="I708" s="109">
        <v>7</v>
      </c>
      <c r="J708" s="110">
        <v>1030.19</v>
      </c>
    </row>
    <row r="709" spans="1:10" x14ac:dyDescent="0.25">
      <c r="A709" s="109" t="s">
        <v>764</v>
      </c>
      <c r="B709" s="112">
        <v>45785</v>
      </c>
      <c r="C709" s="109" t="s">
        <v>17</v>
      </c>
      <c r="D709" s="109" t="s">
        <v>35</v>
      </c>
      <c r="E709" s="109" t="s">
        <v>13</v>
      </c>
      <c r="F709" s="109" t="s">
        <v>14</v>
      </c>
      <c r="G709" s="109" t="s">
        <v>15</v>
      </c>
      <c r="H709" s="110">
        <v>41.4</v>
      </c>
      <c r="I709" s="109">
        <v>8</v>
      </c>
      <c r="J709" s="110">
        <v>331.2</v>
      </c>
    </row>
    <row r="710" spans="1:10" x14ac:dyDescent="0.25">
      <c r="A710" s="109" t="s">
        <v>765</v>
      </c>
      <c r="B710" s="112">
        <v>45854</v>
      </c>
      <c r="C710" s="109" t="s">
        <v>25</v>
      </c>
      <c r="D710" s="109" t="s">
        <v>35</v>
      </c>
      <c r="E710" s="109" t="s">
        <v>23</v>
      </c>
      <c r="F710" s="109" t="s">
        <v>19</v>
      </c>
      <c r="G710" s="109" t="s">
        <v>15</v>
      </c>
      <c r="H710" s="110">
        <v>104.05</v>
      </c>
      <c r="I710" s="109">
        <v>17</v>
      </c>
      <c r="J710" s="110">
        <v>1768.85</v>
      </c>
    </row>
    <row r="711" spans="1:10" x14ac:dyDescent="0.25">
      <c r="A711" s="109" t="s">
        <v>766</v>
      </c>
      <c r="B711" s="112">
        <v>45810</v>
      </c>
      <c r="C711" s="109" t="s">
        <v>38</v>
      </c>
      <c r="D711" s="109" t="s">
        <v>12</v>
      </c>
      <c r="E711" s="109" t="s">
        <v>18</v>
      </c>
      <c r="F711" s="109" t="s">
        <v>42</v>
      </c>
      <c r="G711" s="109" t="s">
        <v>20</v>
      </c>
      <c r="H711" s="110">
        <v>59.57</v>
      </c>
      <c r="I711" s="109">
        <v>10</v>
      </c>
      <c r="J711" s="110">
        <v>595.70000000000005</v>
      </c>
    </row>
    <row r="712" spans="1:10" x14ac:dyDescent="0.25">
      <c r="A712" s="109" t="s">
        <v>767</v>
      </c>
      <c r="B712" s="112">
        <v>45830</v>
      </c>
      <c r="C712" s="109" t="s">
        <v>17</v>
      </c>
      <c r="D712" s="109" t="s">
        <v>26</v>
      </c>
      <c r="E712" s="109" t="s">
        <v>13</v>
      </c>
      <c r="F712" s="109" t="s">
        <v>61</v>
      </c>
      <c r="G712" s="109" t="s">
        <v>36</v>
      </c>
      <c r="H712" s="110">
        <v>43.94</v>
      </c>
      <c r="I712" s="109">
        <v>14</v>
      </c>
      <c r="J712" s="110">
        <v>615.16</v>
      </c>
    </row>
    <row r="713" spans="1:10" x14ac:dyDescent="0.25">
      <c r="A713" s="109" t="s">
        <v>768</v>
      </c>
      <c r="B713" s="112">
        <v>45754</v>
      </c>
      <c r="C713" s="109" t="s">
        <v>38</v>
      </c>
      <c r="D713" s="109" t="s">
        <v>22</v>
      </c>
      <c r="E713" s="109" t="s">
        <v>23</v>
      </c>
      <c r="F713" s="109" t="s">
        <v>14</v>
      </c>
      <c r="G713" s="109" t="s">
        <v>20</v>
      </c>
      <c r="H713" s="110">
        <v>247.79</v>
      </c>
      <c r="I713" s="109">
        <v>6</v>
      </c>
      <c r="J713" s="110">
        <v>1486.74</v>
      </c>
    </row>
    <row r="714" spans="1:10" x14ac:dyDescent="0.25">
      <c r="A714" s="109" t="s">
        <v>769</v>
      </c>
      <c r="B714" s="112">
        <v>45725</v>
      </c>
      <c r="C714" s="109" t="s">
        <v>17</v>
      </c>
      <c r="D714" s="109" t="s">
        <v>22</v>
      </c>
      <c r="E714" s="109" t="s">
        <v>18</v>
      </c>
      <c r="F714" s="109" t="s">
        <v>42</v>
      </c>
      <c r="G714" s="109" t="s">
        <v>15</v>
      </c>
      <c r="H714" s="110">
        <v>100.92</v>
      </c>
      <c r="I714" s="109">
        <v>7</v>
      </c>
      <c r="J714" s="110">
        <v>706.44</v>
      </c>
    </row>
    <row r="715" spans="1:10" x14ac:dyDescent="0.25">
      <c r="A715" s="109" t="s">
        <v>770</v>
      </c>
      <c r="B715" s="112">
        <v>45721</v>
      </c>
      <c r="C715" s="109" t="s">
        <v>17</v>
      </c>
      <c r="D715" s="109" t="s">
        <v>12</v>
      </c>
      <c r="E715" s="109" t="s">
        <v>45</v>
      </c>
      <c r="F715" s="109" t="s">
        <v>61</v>
      </c>
      <c r="G715" s="109" t="s">
        <v>20</v>
      </c>
      <c r="H715" s="110">
        <v>208.17</v>
      </c>
      <c r="I715" s="109">
        <v>12</v>
      </c>
      <c r="J715" s="110">
        <v>2498.04</v>
      </c>
    </row>
    <row r="716" spans="1:10" x14ac:dyDescent="0.25">
      <c r="A716" s="109" t="s">
        <v>771</v>
      </c>
      <c r="B716" s="112">
        <v>45788</v>
      </c>
      <c r="C716" s="109" t="s">
        <v>25</v>
      </c>
      <c r="D716" s="109" t="s">
        <v>22</v>
      </c>
      <c r="E716" s="109" t="s">
        <v>18</v>
      </c>
      <c r="F716" s="109" t="s">
        <v>19</v>
      </c>
      <c r="G716" s="109" t="s">
        <v>20</v>
      </c>
      <c r="H716" s="110">
        <v>86.02</v>
      </c>
      <c r="I716" s="109">
        <v>18</v>
      </c>
      <c r="J716" s="110">
        <v>1548.36</v>
      </c>
    </row>
    <row r="717" spans="1:10" x14ac:dyDescent="0.25">
      <c r="A717" s="109" t="s">
        <v>772</v>
      </c>
      <c r="B717" s="112">
        <v>45713</v>
      </c>
      <c r="C717" s="109" t="s">
        <v>11</v>
      </c>
      <c r="D717" s="109" t="s">
        <v>12</v>
      </c>
      <c r="E717" s="109" t="s">
        <v>45</v>
      </c>
      <c r="F717" s="109" t="s">
        <v>61</v>
      </c>
      <c r="G717" s="109" t="s">
        <v>36</v>
      </c>
      <c r="H717" s="110">
        <v>179.93</v>
      </c>
      <c r="I717" s="109">
        <v>1</v>
      </c>
      <c r="J717" s="110">
        <v>179.93</v>
      </c>
    </row>
    <row r="718" spans="1:10" x14ac:dyDescent="0.25">
      <c r="A718" s="109" t="s">
        <v>773</v>
      </c>
      <c r="B718" s="112">
        <v>45852</v>
      </c>
      <c r="C718" s="109" t="s">
        <v>25</v>
      </c>
      <c r="D718" s="109" t="s">
        <v>35</v>
      </c>
      <c r="E718" s="109" t="s">
        <v>41</v>
      </c>
      <c r="F718" s="109" t="s">
        <v>28</v>
      </c>
      <c r="G718" s="109" t="s">
        <v>15</v>
      </c>
      <c r="H718" s="110">
        <v>197.25</v>
      </c>
      <c r="I718" s="109">
        <v>4</v>
      </c>
      <c r="J718" s="110">
        <v>789</v>
      </c>
    </row>
    <row r="719" spans="1:10" x14ac:dyDescent="0.25">
      <c r="A719" s="109" t="s">
        <v>774</v>
      </c>
      <c r="B719" s="112">
        <v>45763</v>
      </c>
      <c r="C719" s="109" t="s">
        <v>34</v>
      </c>
      <c r="D719" s="109" t="s">
        <v>31</v>
      </c>
      <c r="E719" s="109" t="s">
        <v>27</v>
      </c>
      <c r="F719" s="109" t="s">
        <v>19</v>
      </c>
      <c r="G719" s="109" t="s">
        <v>20</v>
      </c>
      <c r="H719" s="110">
        <v>161.04</v>
      </c>
      <c r="I719" s="109">
        <v>1</v>
      </c>
      <c r="J719" s="110">
        <v>161.04</v>
      </c>
    </row>
    <row r="720" spans="1:10" x14ac:dyDescent="0.25">
      <c r="A720" s="109" t="s">
        <v>775</v>
      </c>
      <c r="B720" s="112">
        <v>45924</v>
      </c>
      <c r="C720" s="109" t="s">
        <v>25</v>
      </c>
      <c r="D720" s="109" t="s">
        <v>55</v>
      </c>
      <c r="E720" s="109" t="s">
        <v>27</v>
      </c>
      <c r="F720" s="109" t="s">
        <v>14</v>
      </c>
      <c r="G720" s="109" t="s">
        <v>36</v>
      </c>
      <c r="H720" s="110">
        <v>133.75</v>
      </c>
      <c r="I720" s="109">
        <v>9</v>
      </c>
      <c r="J720" s="110">
        <v>1203.75</v>
      </c>
    </row>
    <row r="721" spans="1:10" x14ac:dyDescent="0.25">
      <c r="A721" s="109" t="s">
        <v>776</v>
      </c>
      <c r="B721" s="112">
        <v>45711</v>
      </c>
      <c r="C721" s="109" t="s">
        <v>17</v>
      </c>
      <c r="D721" s="109" t="s">
        <v>55</v>
      </c>
      <c r="E721" s="109" t="s">
        <v>45</v>
      </c>
      <c r="F721" s="109" t="s">
        <v>32</v>
      </c>
      <c r="G721" s="109" t="s">
        <v>15</v>
      </c>
      <c r="H721" s="110">
        <v>120.61</v>
      </c>
      <c r="I721" s="109">
        <v>17</v>
      </c>
      <c r="J721" s="110">
        <v>2050.37</v>
      </c>
    </row>
    <row r="722" spans="1:10" x14ac:dyDescent="0.25">
      <c r="A722" s="109" t="s">
        <v>777</v>
      </c>
      <c r="B722" s="112">
        <v>45712</v>
      </c>
      <c r="C722" s="109" t="s">
        <v>30</v>
      </c>
      <c r="D722" s="109" t="s">
        <v>55</v>
      </c>
      <c r="E722" s="109" t="s">
        <v>23</v>
      </c>
      <c r="F722" s="109" t="s">
        <v>39</v>
      </c>
      <c r="G722" s="109" t="s">
        <v>36</v>
      </c>
      <c r="H722" s="110">
        <v>106.75</v>
      </c>
      <c r="I722" s="109">
        <v>16</v>
      </c>
      <c r="J722" s="110">
        <v>1708</v>
      </c>
    </row>
    <row r="723" spans="1:10" x14ac:dyDescent="0.25">
      <c r="A723" s="109" t="s">
        <v>778</v>
      </c>
      <c r="B723" s="112">
        <v>45925</v>
      </c>
      <c r="C723" s="109" t="s">
        <v>34</v>
      </c>
      <c r="D723" s="109" t="s">
        <v>12</v>
      </c>
      <c r="E723" s="109" t="s">
        <v>41</v>
      </c>
      <c r="F723" s="109" t="s">
        <v>32</v>
      </c>
      <c r="G723" s="109" t="s">
        <v>15</v>
      </c>
      <c r="H723" s="110">
        <v>234.5</v>
      </c>
      <c r="I723" s="109">
        <v>7</v>
      </c>
      <c r="J723" s="110">
        <v>1641.5</v>
      </c>
    </row>
    <row r="724" spans="1:10" x14ac:dyDescent="0.25">
      <c r="A724" s="109" t="s">
        <v>779</v>
      </c>
      <c r="B724" s="112">
        <v>45678</v>
      </c>
      <c r="C724" s="109" t="s">
        <v>38</v>
      </c>
      <c r="D724" s="109" t="s">
        <v>26</v>
      </c>
      <c r="E724" s="109" t="s">
        <v>27</v>
      </c>
      <c r="F724" s="109" t="s">
        <v>61</v>
      </c>
      <c r="G724" s="109" t="s">
        <v>36</v>
      </c>
      <c r="H724" s="110">
        <v>212.74</v>
      </c>
      <c r="I724" s="109">
        <v>18</v>
      </c>
      <c r="J724" s="110">
        <v>3829.32</v>
      </c>
    </row>
    <row r="725" spans="1:10" x14ac:dyDescent="0.25">
      <c r="A725" s="109" t="s">
        <v>780</v>
      </c>
      <c r="B725" s="112">
        <v>45778</v>
      </c>
      <c r="C725" s="109" t="s">
        <v>11</v>
      </c>
      <c r="D725" s="109" t="s">
        <v>12</v>
      </c>
      <c r="E725" s="109" t="s">
        <v>45</v>
      </c>
      <c r="F725" s="109" t="s">
        <v>19</v>
      </c>
      <c r="G725" s="109" t="s">
        <v>20</v>
      </c>
      <c r="H725" s="110">
        <v>242.31</v>
      </c>
      <c r="I725" s="109">
        <v>1</v>
      </c>
      <c r="J725" s="110">
        <v>242.31</v>
      </c>
    </row>
    <row r="726" spans="1:10" x14ac:dyDescent="0.25">
      <c r="A726" s="109" t="s">
        <v>781</v>
      </c>
      <c r="B726" s="112">
        <v>46000</v>
      </c>
      <c r="C726" s="109" t="s">
        <v>30</v>
      </c>
      <c r="D726" s="109" t="s">
        <v>22</v>
      </c>
      <c r="E726" s="109" t="s">
        <v>18</v>
      </c>
      <c r="F726" s="109" t="s">
        <v>19</v>
      </c>
      <c r="G726" s="109" t="s">
        <v>20</v>
      </c>
      <c r="H726" s="110">
        <v>57.35</v>
      </c>
      <c r="I726" s="109">
        <v>16</v>
      </c>
      <c r="J726" s="110">
        <v>917.6</v>
      </c>
    </row>
    <row r="727" spans="1:10" x14ac:dyDescent="0.25">
      <c r="A727" s="109" t="s">
        <v>782</v>
      </c>
      <c r="B727" s="112">
        <v>45709</v>
      </c>
      <c r="C727" s="109" t="s">
        <v>17</v>
      </c>
      <c r="D727" s="109" t="s">
        <v>26</v>
      </c>
      <c r="E727" s="109" t="s">
        <v>41</v>
      </c>
      <c r="F727" s="109" t="s">
        <v>32</v>
      </c>
      <c r="G727" s="109" t="s">
        <v>36</v>
      </c>
      <c r="H727" s="110">
        <v>190.79</v>
      </c>
      <c r="I727" s="109">
        <v>9</v>
      </c>
      <c r="J727" s="110">
        <v>1717.11</v>
      </c>
    </row>
    <row r="728" spans="1:10" x14ac:dyDescent="0.25">
      <c r="A728" s="109" t="s">
        <v>783</v>
      </c>
      <c r="B728" s="112">
        <v>45895</v>
      </c>
      <c r="C728" s="109" t="s">
        <v>11</v>
      </c>
      <c r="D728" s="109" t="s">
        <v>26</v>
      </c>
      <c r="E728" s="109" t="s">
        <v>45</v>
      </c>
      <c r="F728" s="109" t="s">
        <v>39</v>
      </c>
      <c r="G728" s="109" t="s">
        <v>36</v>
      </c>
      <c r="H728" s="110">
        <v>236.43</v>
      </c>
      <c r="I728" s="109">
        <v>2</v>
      </c>
      <c r="J728" s="110">
        <v>472.86</v>
      </c>
    </row>
    <row r="729" spans="1:10" x14ac:dyDescent="0.25">
      <c r="A729" s="109" t="s">
        <v>784</v>
      </c>
      <c r="B729" s="112">
        <v>45842</v>
      </c>
      <c r="C729" s="109" t="s">
        <v>38</v>
      </c>
      <c r="D729" s="109" t="s">
        <v>12</v>
      </c>
      <c r="E729" s="109" t="s">
        <v>45</v>
      </c>
      <c r="F729" s="109" t="s">
        <v>19</v>
      </c>
      <c r="G729" s="109" t="s">
        <v>15</v>
      </c>
      <c r="H729" s="110">
        <v>69.87</v>
      </c>
      <c r="I729" s="109">
        <v>11</v>
      </c>
      <c r="J729" s="110">
        <v>768.57</v>
      </c>
    </row>
    <row r="730" spans="1:10" x14ac:dyDescent="0.25">
      <c r="A730" s="109" t="s">
        <v>785</v>
      </c>
      <c r="B730" s="112">
        <v>45662</v>
      </c>
      <c r="C730" s="109" t="s">
        <v>17</v>
      </c>
      <c r="D730" s="109" t="s">
        <v>12</v>
      </c>
      <c r="E730" s="109" t="s">
        <v>23</v>
      </c>
      <c r="F730" s="109" t="s">
        <v>32</v>
      </c>
      <c r="G730" s="109" t="s">
        <v>36</v>
      </c>
      <c r="H730" s="110">
        <v>44.63</v>
      </c>
      <c r="I730" s="109">
        <v>5</v>
      </c>
      <c r="J730" s="110">
        <v>223.15</v>
      </c>
    </row>
    <row r="731" spans="1:10" x14ac:dyDescent="0.25">
      <c r="A731" s="109" t="s">
        <v>786</v>
      </c>
      <c r="B731" s="112">
        <v>45882</v>
      </c>
      <c r="C731" s="109" t="s">
        <v>34</v>
      </c>
      <c r="D731" s="109" t="s">
        <v>12</v>
      </c>
      <c r="E731" s="109" t="s">
        <v>45</v>
      </c>
      <c r="F731" s="109" t="s">
        <v>32</v>
      </c>
      <c r="G731" s="109" t="s">
        <v>36</v>
      </c>
      <c r="H731" s="110">
        <v>193.05</v>
      </c>
      <c r="I731" s="109">
        <v>20</v>
      </c>
      <c r="J731" s="110">
        <v>3861</v>
      </c>
    </row>
    <row r="732" spans="1:10" x14ac:dyDescent="0.25">
      <c r="A732" s="109" t="s">
        <v>787</v>
      </c>
      <c r="B732" s="112">
        <v>45751</v>
      </c>
      <c r="C732" s="109" t="s">
        <v>38</v>
      </c>
      <c r="D732" s="109" t="s">
        <v>31</v>
      </c>
      <c r="E732" s="109" t="s">
        <v>41</v>
      </c>
      <c r="F732" s="109" t="s">
        <v>32</v>
      </c>
      <c r="G732" s="109" t="s">
        <v>36</v>
      </c>
      <c r="H732" s="110">
        <v>156.38</v>
      </c>
      <c r="I732" s="109">
        <v>4</v>
      </c>
      <c r="J732" s="110">
        <v>625.52</v>
      </c>
    </row>
    <row r="733" spans="1:10" x14ac:dyDescent="0.25">
      <c r="A733" s="109" t="s">
        <v>788</v>
      </c>
      <c r="B733" s="112">
        <v>46011</v>
      </c>
      <c r="C733" s="109" t="s">
        <v>38</v>
      </c>
      <c r="D733" s="109" t="s">
        <v>12</v>
      </c>
      <c r="E733" s="109" t="s">
        <v>23</v>
      </c>
      <c r="F733" s="109" t="s">
        <v>19</v>
      </c>
      <c r="G733" s="109" t="s">
        <v>15</v>
      </c>
      <c r="H733" s="110">
        <v>215.2</v>
      </c>
      <c r="I733" s="109">
        <v>16</v>
      </c>
      <c r="J733" s="110">
        <v>3443.2</v>
      </c>
    </row>
    <row r="734" spans="1:10" x14ac:dyDescent="0.25">
      <c r="A734" s="109" t="s">
        <v>789</v>
      </c>
      <c r="B734" s="112">
        <v>46014</v>
      </c>
      <c r="C734" s="109" t="s">
        <v>30</v>
      </c>
      <c r="D734" s="109" t="s">
        <v>22</v>
      </c>
      <c r="E734" s="109" t="s">
        <v>41</v>
      </c>
      <c r="F734" s="109" t="s">
        <v>42</v>
      </c>
      <c r="G734" s="109" t="s">
        <v>36</v>
      </c>
      <c r="H734" s="110">
        <v>60.75</v>
      </c>
      <c r="I734" s="109">
        <v>2</v>
      </c>
      <c r="J734" s="110">
        <v>121.5</v>
      </c>
    </row>
    <row r="735" spans="1:10" x14ac:dyDescent="0.25">
      <c r="A735" s="109" t="s">
        <v>790</v>
      </c>
      <c r="B735" s="112">
        <v>45949</v>
      </c>
      <c r="C735" s="109" t="s">
        <v>30</v>
      </c>
      <c r="D735" s="109" t="s">
        <v>55</v>
      </c>
      <c r="E735" s="109" t="s">
        <v>41</v>
      </c>
      <c r="F735" s="109" t="s">
        <v>39</v>
      </c>
      <c r="G735" s="109" t="s">
        <v>36</v>
      </c>
      <c r="H735" s="110">
        <v>204.96</v>
      </c>
      <c r="I735" s="109">
        <v>15</v>
      </c>
      <c r="J735" s="110">
        <v>3074.4</v>
      </c>
    </row>
    <row r="736" spans="1:10" x14ac:dyDescent="0.25">
      <c r="A736" s="109" t="s">
        <v>791</v>
      </c>
      <c r="B736" s="112">
        <v>45971</v>
      </c>
      <c r="C736" s="109" t="s">
        <v>17</v>
      </c>
      <c r="D736" s="109" t="s">
        <v>12</v>
      </c>
      <c r="E736" s="109" t="s">
        <v>23</v>
      </c>
      <c r="F736" s="109" t="s">
        <v>61</v>
      </c>
      <c r="G736" s="109" t="s">
        <v>36</v>
      </c>
      <c r="H736" s="110">
        <v>74.36</v>
      </c>
      <c r="I736" s="109">
        <v>1</v>
      </c>
      <c r="J736" s="110">
        <v>74.36</v>
      </c>
    </row>
    <row r="737" spans="1:10" x14ac:dyDescent="0.25">
      <c r="A737" s="109" t="s">
        <v>792</v>
      </c>
      <c r="B737" s="112">
        <v>45715</v>
      </c>
      <c r="C737" s="109" t="s">
        <v>38</v>
      </c>
      <c r="D737" s="109" t="s">
        <v>22</v>
      </c>
      <c r="E737" s="109" t="s">
        <v>45</v>
      </c>
      <c r="F737" s="109" t="s">
        <v>32</v>
      </c>
      <c r="G737" s="109" t="s">
        <v>20</v>
      </c>
      <c r="H737" s="110">
        <v>66</v>
      </c>
      <c r="I737" s="109">
        <v>14</v>
      </c>
      <c r="J737" s="110">
        <v>924</v>
      </c>
    </row>
    <row r="738" spans="1:10" x14ac:dyDescent="0.25">
      <c r="A738" s="109" t="s">
        <v>793</v>
      </c>
      <c r="B738" s="112">
        <v>45818</v>
      </c>
      <c r="C738" s="109" t="s">
        <v>17</v>
      </c>
      <c r="D738" s="109" t="s">
        <v>12</v>
      </c>
      <c r="E738" s="109" t="s">
        <v>18</v>
      </c>
      <c r="F738" s="109" t="s">
        <v>39</v>
      </c>
      <c r="G738" s="109" t="s">
        <v>20</v>
      </c>
      <c r="H738" s="110">
        <v>66.14</v>
      </c>
      <c r="I738" s="109">
        <v>1</v>
      </c>
      <c r="J738" s="110">
        <v>66.14</v>
      </c>
    </row>
    <row r="739" spans="1:10" x14ac:dyDescent="0.25">
      <c r="A739" s="109" t="s">
        <v>794</v>
      </c>
      <c r="B739" s="112">
        <v>45953</v>
      </c>
      <c r="C739" s="109" t="s">
        <v>30</v>
      </c>
      <c r="D739" s="109" t="s">
        <v>12</v>
      </c>
      <c r="E739" s="109" t="s">
        <v>13</v>
      </c>
      <c r="F739" s="109" t="s">
        <v>42</v>
      </c>
      <c r="G739" s="109" t="s">
        <v>20</v>
      </c>
      <c r="H739" s="110">
        <v>209.21</v>
      </c>
      <c r="I739" s="109">
        <v>19</v>
      </c>
      <c r="J739" s="110">
        <v>3974.99</v>
      </c>
    </row>
    <row r="740" spans="1:10" x14ac:dyDescent="0.25">
      <c r="A740" s="109" t="s">
        <v>795</v>
      </c>
      <c r="B740" s="112">
        <v>46010</v>
      </c>
      <c r="C740" s="109" t="s">
        <v>11</v>
      </c>
      <c r="D740" s="109" t="s">
        <v>31</v>
      </c>
      <c r="E740" s="109" t="s">
        <v>27</v>
      </c>
      <c r="F740" s="109" t="s">
        <v>28</v>
      </c>
      <c r="G740" s="109" t="s">
        <v>15</v>
      </c>
      <c r="H740" s="110">
        <v>176.34</v>
      </c>
      <c r="I740" s="109">
        <v>20</v>
      </c>
      <c r="J740" s="110">
        <v>3526.8</v>
      </c>
    </row>
    <row r="741" spans="1:10" x14ac:dyDescent="0.25">
      <c r="A741" s="109" t="s">
        <v>796</v>
      </c>
      <c r="B741" s="112">
        <v>45904</v>
      </c>
      <c r="C741" s="109" t="s">
        <v>17</v>
      </c>
      <c r="D741" s="109" t="s">
        <v>12</v>
      </c>
      <c r="E741" s="109" t="s">
        <v>27</v>
      </c>
      <c r="F741" s="109" t="s">
        <v>61</v>
      </c>
      <c r="G741" s="109" t="s">
        <v>15</v>
      </c>
      <c r="H741" s="110">
        <v>145.07</v>
      </c>
      <c r="I741" s="109">
        <v>12</v>
      </c>
      <c r="J741" s="110">
        <v>1740.84</v>
      </c>
    </row>
    <row r="742" spans="1:10" x14ac:dyDescent="0.25">
      <c r="A742" s="109" t="s">
        <v>797</v>
      </c>
      <c r="B742" s="112">
        <v>45943</v>
      </c>
      <c r="C742" s="109" t="s">
        <v>11</v>
      </c>
      <c r="D742" s="109" t="s">
        <v>22</v>
      </c>
      <c r="E742" s="109" t="s">
        <v>27</v>
      </c>
      <c r="F742" s="109" t="s">
        <v>14</v>
      </c>
      <c r="G742" s="109" t="s">
        <v>20</v>
      </c>
      <c r="H742" s="110">
        <v>108.94</v>
      </c>
      <c r="I742" s="109">
        <v>20</v>
      </c>
      <c r="J742" s="110">
        <v>2178.8000000000002</v>
      </c>
    </row>
    <row r="743" spans="1:10" x14ac:dyDescent="0.25">
      <c r="A743" s="109" t="s">
        <v>798</v>
      </c>
      <c r="B743" s="112">
        <v>45898</v>
      </c>
      <c r="C743" s="109" t="s">
        <v>30</v>
      </c>
      <c r="D743" s="109" t="s">
        <v>22</v>
      </c>
      <c r="E743" s="109" t="s">
        <v>41</v>
      </c>
      <c r="F743" s="109" t="s">
        <v>32</v>
      </c>
      <c r="G743" s="109" t="s">
        <v>15</v>
      </c>
      <c r="H743" s="110">
        <v>222.98</v>
      </c>
      <c r="I743" s="109">
        <v>16</v>
      </c>
      <c r="J743" s="110">
        <v>3567.68</v>
      </c>
    </row>
    <row r="744" spans="1:10" x14ac:dyDescent="0.25">
      <c r="A744" s="109" t="s">
        <v>799</v>
      </c>
      <c r="B744" s="112">
        <v>45827</v>
      </c>
      <c r="C744" s="109" t="s">
        <v>11</v>
      </c>
      <c r="D744" s="109" t="s">
        <v>55</v>
      </c>
      <c r="E744" s="109" t="s">
        <v>23</v>
      </c>
      <c r="F744" s="109" t="s">
        <v>42</v>
      </c>
      <c r="G744" s="109" t="s">
        <v>20</v>
      </c>
      <c r="H744" s="110">
        <v>116.34</v>
      </c>
      <c r="I744" s="109">
        <v>9</v>
      </c>
      <c r="J744" s="110">
        <v>1047.06</v>
      </c>
    </row>
    <row r="745" spans="1:10" x14ac:dyDescent="0.25">
      <c r="A745" s="109" t="s">
        <v>800</v>
      </c>
      <c r="B745" s="112">
        <v>45851</v>
      </c>
      <c r="C745" s="109" t="s">
        <v>30</v>
      </c>
      <c r="D745" s="109" t="s">
        <v>22</v>
      </c>
      <c r="E745" s="109" t="s">
        <v>41</v>
      </c>
      <c r="F745" s="109" t="s">
        <v>61</v>
      </c>
      <c r="G745" s="109" t="s">
        <v>20</v>
      </c>
      <c r="H745" s="110">
        <v>209.65</v>
      </c>
      <c r="I745" s="109">
        <v>13</v>
      </c>
      <c r="J745" s="110">
        <v>2725.45</v>
      </c>
    </row>
    <row r="746" spans="1:10" x14ac:dyDescent="0.25">
      <c r="A746" s="109" t="s">
        <v>801</v>
      </c>
      <c r="B746" s="112">
        <v>45887</v>
      </c>
      <c r="C746" s="109" t="s">
        <v>38</v>
      </c>
      <c r="D746" s="109" t="s">
        <v>31</v>
      </c>
      <c r="E746" s="109" t="s">
        <v>13</v>
      </c>
      <c r="F746" s="109" t="s">
        <v>19</v>
      </c>
      <c r="G746" s="109" t="s">
        <v>36</v>
      </c>
      <c r="H746" s="110">
        <v>126.61</v>
      </c>
      <c r="I746" s="109">
        <v>3</v>
      </c>
      <c r="J746" s="110">
        <v>379.83</v>
      </c>
    </row>
    <row r="747" spans="1:10" x14ac:dyDescent="0.25">
      <c r="A747" s="109" t="s">
        <v>802</v>
      </c>
      <c r="B747" s="112">
        <v>45992</v>
      </c>
      <c r="C747" s="109" t="s">
        <v>11</v>
      </c>
      <c r="D747" s="109" t="s">
        <v>31</v>
      </c>
      <c r="E747" s="109" t="s">
        <v>41</v>
      </c>
      <c r="F747" s="109" t="s">
        <v>19</v>
      </c>
      <c r="G747" s="109" t="s">
        <v>20</v>
      </c>
      <c r="H747" s="110">
        <v>112.93</v>
      </c>
      <c r="I747" s="109">
        <v>1</v>
      </c>
      <c r="J747" s="110">
        <v>112.93</v>
      </c>
    </row>
    <row r="748" spans="1:10" x14ac:dyDescent="0.25">
      <c r="A748" s="109" t="s">
        <v>803</v>
      </c>
      <c r="B748" s="112">
        <v>45939</v>
      </c>
      <c r="C748" s="109" t="s">
        <v>11</v>
      </c>
      <c r="D748" s="109" t="s">
        <v>55</v>
      </c>
      <c r="E748" s="109" t="s">
        <v>18</v>
      </c>
      <c r="F748" s="109" t="s">
        <v>28</v>
      </c>
      <c r="G748" s="109" t="s">
        <v>36</v>
      </c>
      <c r="H748" s="110">
        <v>131.79</v>
      </c>
      <c r="I748" s="109">
        <v>1</v>
      </c>
      <c r="J748" s="110">
        <v>131.79</v>
      </c>
    </row>
    <row r="749" spans="1:10" x14ac:dyDescent="0.25">
      <c r="A749" s="109" t="s">
        <v>804</v>
      </c>
      <c r="B749" s="112">
        <v>45918</v>
      </c>
      <c r="C749" s="109" t="s">
        <v>30</v>
      </c>
      <c r="D749" s="109" t="s">
        <v>12</v>
      </c>
      <c r="E749" s="109" t="s">
        <v>27</v>
      </c>
      <c r="F749" s="109" t="s">
        <v>61</v>
      </c>
      <c r="G749" s="109" t="s">
        <v>36</v>
      </c>
      <c r="H749" s="110">
        <v>96.3</v>
      </c>
      <c r="I749" s="109">
        <v>18</v>
      </c>
      <c r="J749" s="110">
        <v>1733.4</v>
      </c>
    </row>
    <row r="750" spans="1:10" x14ac:dyDescent="0.25">
      <c r="A750" s="109" t="s">
        <v>805</v>
      </c>
      <c r="B750" s="112">
        <v>45844</v>
      </c>
      <c r="C750" s="109" t="s">
        <v>30</v>
      </c>
      <c r="D750" s="109" t="s">
        <v>31</v>
      </c>
      <c r="E750" s="109" t="s">
        <v>13</v>
      </c>
      <c r="F750" s="109" t="s">
        <v>42</v>
      </c>
      <c r="G750" s="109" t="s">
        <v>20</v>
      </c>
      <c r="H750" s="110">
        <v>194.47</v>
      </c>
      <c r="I750" s="109">
        <v>2</v>
      </c>
      <c r="J750" s="110">
        <v>388.94</v>
      </c>
    </row>
    <row r="751" spans="1:10" x14ac:dyDescent="0.25">
      <c r="A751" s="109" t="s">
        <v>806</v>
      </c>
      <c r="B751" s="112">
        <v>45965</v>
      </c>
      <c r="C751" s="109" t="s">
        <v>17</v>
      </c>
      <c r="D751" s="109" t="s">
        <v>12</v>
      </c>
      <c r="E751" s="109" t="s">
        <v>13</v>
      </c>
      <c r="F751" s="109" t="s">
        <v>28</v>
      </c>
      <c r="G751" s="109" t="s">
        <v>36</v>
      </c>
      <c r="H751" s="110">
        <v>140.6</v>
      </c>
      <c r="I751" s="109">
        <v>16</v>
      </c>
      <c r="J751" s="110">
        <v>2249.6</v>
      </c>
    </row>
    <row r="752" spans="1:10" x14ac:dyDescent="0.25">
      <c r="A752" s="109" t="s">
        <v>807</v>
      </c>
      <c r="B752" s="112">
        <v>45716</v>
      </c>
      <c r="C752" s="109" t="s">
        <v>17</v>
      </c>
      <c r="D752" s="109" t="s">
        <v>26</v>
      </c>
      <c r="E752" s="109" t="s">
        <v>45</v>
      </c>
      <c r="F752" s="109" t="s">
        <v>32</v>
      </c>
      <c r="G752" s="109" t="s">
        <v>36</v>
      </c>
      <c r="H752" s="110">
        <v>81.09</v>
      </c>
      <c r="I752" s="109">
        <v>4</v>
      </c>
      <c r="J752" s="110">
        <v>324.36</v>
      </c>
    </row>
    <row r="753" spans="1:10" x14ac:dyDescent="0.25">
      <c r="A753" s="109" t="s">
        <v>808</v>
      </c>
      <c r="B753" s="112">
        <v>45982</v>
      </c>
      <c r="C753" s="109" t="s">
        <v>25</v>
      </c>
      <c r="D753" s="109" t="s">
        <v>55</v>
      </c>
      <c r="E753" s="109" t="s">
        <v>13</v>
      </c>
      <c r="F753" s="109" t="s">
        <v>28</v>
      </c>
      <c r="G753" s="109" t="s">
        <v>15</v>
      </c>
      <c r="H753" s="110">
        <v>227.91</v>
      </c>
      <c r="I753" s="109">
        <v>10</v>
      </c>
      <c r="J753" s="110">
        <v>2279.1</v>
      </c>
    </row>
    <row r="754" spans="1:10" x14ac:dyDescent="0.25">
      <c r="A754" s="109" t="s">
        <v>809</v>
      </c>
      <c r="B754" s="112">
        <v>45681</v>
      </c>
      <c r="C754" s="109" t="s">
        <v>38</v>
      </c>
      <c r="D754" s="109" t="s">
        <v>26</v>
      </c>
      <c r="E754" s="109" t="s">
        <v>27</v>
      </c>
      <c r="F754" s="109" t="s">
        <v>28</v>
      </c>
      <c r="G754" s="109" t="s">
        <v>20</v>
      </c>
      <c r="H754" s="110">
        <v>114.46</v>
      </c>
      <c r="I754" s="109">
        <v>6</v>
      </c>
      <c r="J754" s="110">
        <v>686.76</v>
      </c>
    </row>
    <row r="755" spans="1:10" x14ac:dyDescent="0.25">
      <c r="A755" s="109" t="s">
        <v>810</v>
      </c>
      <c r="B755" s="112">
        <v>45867</v>
      </c>
      <c r="C755" s="109" t="s">
        <v>34</v>
      </c>
      <c r="D755" s="109" t="s">
        <v>55</v>
      </c>
      <c r="E755" s="109" t="s">
        <v>23</v>
      </c>
      <c r="F755" s="109" t="s">
        <v>14</v>
      </c>
      <c r="G755" s="109" t="s">
        <v>15</v>
      </c>
      <c r="H755" s="110">
        <v>149.58000000000001</v>
      </c>
      <c r="I755" s="109">
        <v>4</v>
      </c>
      <c r="J755" s="110">
        <v>598.32000000000005</v>
      </c>
    </row>
    <row r="756" spans="1:10" x14ac:dyDescent="0.25">
      <c r="A756" s="109" t="s">
        <v>811</v>
      </c>
      <c r="B756" s="112">
        <v>45859</v>
      </c>
      <c r="C756" s="109" t="s">
        <v>38</v>
      </c>
      <c r="D756" s="109" t="s">
        <v>26</v>
      </c>
      <c r="E756" s="109" t="s">
        <v>27</v>
      </c>
      <c r="F756" s="109" t="s">
        <v>32</v>
      </c>
      <c r="G756" s="109" t="s">
        <v>15</v>
      </c>
      <c r="H756" s="110">
        <v>229.42</v>
      </c>
      <c r="I756" s="109">
        <v>7</v>
      </c>
      <c r="J756" s="110">
        <v>1605.94</v>
      </c>
    </row>
    <row r="757" spans="1:10" x14ac:dyDescent="0.25">
      <c r="A757" s="109" t="s">
        <v>812</v>
      </c>
      <c r="B757" s="112">
        <v>45870</v>
      </c>
      <c r="C757" s="109" t="s">
        <v>17</v>
      </c>
      <c r="D757" s="109" t="s">
        <v>12</v>
      </c>
      <c r="E757" s="109" t="s">
        <v>18</v>
      </c>
      <c r="F757" s="109" t="s">
        <v>19</v>
      </c>
      <c r="G757" s="109" t="s">
        <v>36</v>
      </c>
      <c r="H757" s="110">
        <v>167.33</v>
      </c>
      <c r="I757" s="109">
        <v>2</v>
      </c>
      <c r="J757" s="110">
        <v>334.66</v>
      </c>
    </row>
    <row r="758" spans="1:10" x14ac:dyDescent="0.25">
      <c r="A758" s="109" t="s">
        <v>813</v>
      </c>
      <c r="B758" s="112">
        <v>45892</v>
      </c>
      <c r="C758" s="109" t="s">
        <v>25</v>
      </c>
      <c r="D758" s="109" t="s">
        <v>26</v>
      </c>
      <c r="E758" s="109" t="s">
        <v>41</v>
      </c>
      <c r="F758" s="109" t="s">
        <v>19</v>
      </c>
      <c r="G758" s="109" t="s">
        <v>20</v>
      </c>
      <c r="H758" s="110">
        <v>55.72</v>
      </c>
      <c r="I758" s="109">
        <v>19</v>
      </c>
      <c r="J758" s="110">
        <v>1058.68</v>
      </c>
    </row>
    <row r="759" spans="1:10" x14ac:dyDescent="0.25">
      <c r="A759" s="109" t="s">
        <v>814</v>
      </c>
      <c r="B759" s="112">
        <v>45682</v>
      </c>
      <c r="C759" s="109" t="s">
        <v>38</v>
      </c>
      <c r="D759" s="109" t="s">
        <v>55</v>
      </c>
      <c r="E759" s="109" t="s">
        <v>41</v>
      </c>
      <c r="F759" s="109" t="s">
        <v>42</v>
      </c>
      <c r="G759" s="109" t="s">
        <v>15</v>
      </c>
      <c r="H759" s="110">
        <v>236.76</v>
      </c>
      <c r="I759" s="109">
        <v>18</v>
      </c>
      <c r="J759" s="110">
        <v>4261.68</v>
      </c>
    </row>
    <row r="760" spans="1:10" x14ac:dyDescent="0.25">
      <c r="A760" s="109" t="s">
        <v>815</v>
      </c>
      <c r="B760" s="112">
        <v>46012</v>
      </c>
      <c r="C760" s="109" t="s">
        <v>30</v>
      </c>
      <c r="D760" s="109" t="s">
        <v>12</v>
      </c>
      <c r="E760" s="109" t="s">
        <v>23</v>
      </c>
      <c r="F760" s="109" t="s">
        <v>19</v>
      </c>
      <c r="G760" s="109" t="s">
        <v>36</v>
      </c>
      <c r="H760" s="110">
        <v>168.1</v>
      </c>
      <c r="I760" s="109">
        <v>19</v>
      </c>
      <c r="J760" s="110">
        <v>3193.9</v>
      </c>
    </row>
    <row r="761" spans="1:10" x14ac:dyDescent="0.25">
      <c r="A761" s="109" t="s">
        <v>816</v>
      </c>
      <c r="B761" s="112">
        <v>45994</v>
      </c>
      <c r="C761" s="109" t="s">
        <v>25</v>
      </c>
      <c r="D761" s="109" t="s">
        <v>35</v>
      </c>
      <c r="E761" s="109" t="s">
        <v>18</v>
      </c>
      <c r="F761" s="109" t="s">
        <v>61</v>
      </c>
      <c r="G761" s="109" t="s">
        <v>36</v>
      </c>
      <c r="H761" s="110">
        <v>103.68</v>
      </c>
      <c r="I761" s="109">
        <v>20</v>
      </c>
      <c r="J761" s="110">
        <v>2073.6</v>
      </c>
    </row>
    <row r="762" spans="1:10" x14ac:dyDescent="0.25">
      <c r="A762" s="109" t="s">
        <v>817</v>
      </c>
      <c r="B762" s="112">
        <v>45969</v>
      </c>
      <c r="C762" s="109" t="s">
        <v>34</v>
      </c>
      <c r="D762" s="109" t="s">
        <v>31</v>
      </c>
      <c r="E762" s="109" t="s">
        <v>13</v>
      </c>
      <c r="F762" s="109" t="s">
        <v>32</v>
      </c>
      <c r="G762" s="109" t="s">
        <v>36</v>
      </c>
      <c r="H762" s="110">
        <v>60.64</v>
      </c>
      <c r="I762" s="109">
        <v>8</v>
      </c>
      <c r="J762" s="110">
        <v>485.12</v>
      </c>
    </row>
    <row r="763" spans="1:10" x14ac:dyDescent="0.25">
      <c r="A763" s="109" t="s">
        <v>818</v>
      </c>
      <c r="B763" s="112">
        <v>45726</v>
      </c>
      <c r="C763" s="109" t="s">
        <v>38</v>
      </c>
      <c r="D763" s="109" t="s">
        <v>55</v>
      </c>
      <c r="E763" s="109" t="s">
        <v>27</v>
      </c>
      <c r="F763" s="109" t="s">
        <v>28</v>
      </c>
      <c r="G763" s="109" t="s">
        <v>20</v>
      </c>
      <c r="H763" s="110">
        <v>204.69</v>
      </c>
      <c r="I763" s="109">
        <v>5</v>
      </c>
      <c r="J763" s="110">
        <v>1023.45</v>
      </c>
    </row>
    <row r="764" spans="1:10" x14ac:dyDescent="0.25">
      <c r="A764" s="109" t="s">
        <v>819</v>
      </c>
      <c r="B764" s="112">
        <v>45811</v>
      </c>
      <c r="C764" s="109" t="s">
        <v>34</v>
      </c>
      <c r="D764" s="109" t="s">
        <v>12</v>
      </c>
      <c r="E764" s="109" t="s">
        <v>27</v>
      </c>
      <c r="F764" s="109" t="s">
        <v>42</v>
      </c>
      <c r="G764" s="109" t="s">
        <v>20</v>
      </c>
      <c r="H764" s="110">
        <v>166.42</v>
      </c>
      <c r="I764" s="109">
        <v>18</v>
      </c>
      <c r="J764" s="110">
        <v>2995.56</v>
      </c>
    </row>
    <row r="765" spans="1:10" x14ac:dyDescent="0.25">
      <c r="A765" s="109" t="s">
        <v>820</v>
      </c>
      <c r="B765" s="112">
        <v>45769</v>
      </c>
      <c r="C765" s="109" t="s">
        <v>30</v>
      </c>
      <c r="D765" s="109" t="s">
        <v>55</v>
      </c>
      <c r="E765" s="109" t="s">
        <v>27</v>
      </c>
      <c r="F765" s="109" t="s">
        <v>32</v>
      </c>
      <c r="G765" s="109" t="s">
        <v>20</v>
      </c>
      <c r="H765" s="110">
        <v>147.36000000000001</v>
      </c>
      <c r="I765" s="109">
        <v>7</v>
      </c>
      <c r="J765" s="110">
        <v>1031.52</v>
      </c>
    </row>
    <row r="766" spans="1:10" x14ac:dyDescent="0.25">
      <c r="A766" s="109" t="s">
        <v>821</v>
      </c>
      <c r="B766" s="112">
        <v>45834</v>
      </c>
      <c r="C766" s="109" t="s">
        <v>17</v>
      </c>
      <c r="D766" s="109" t="s">
        <v>12</v>
      </c>
      <c r="E766" s="109" t="s">
        <v>23</v>
      </c>
      <c r="F766" s="109" t="s">
        <v>42</v>
      </c>
      <c r="G766" s="109" t="s">
        <v>20</v>
      </c>
      <c r="H766" s="110">
        <v>226.66</v>
      </c>
      <c r="I766" s="109">
        <v>5</v>
      </c>
      <c r="J766" s="110">
        <v>1133.3</v>
      </c>
    </row>
    <row r="767" spans="1:10" x14ac:dyDescent="0.25">
      <c r="A767" s="109" t="s">
        <v>822</v>
      </c>
      <c r="B767" s="112">
        <v>46013</v>
      </c>
      <c r="C767" s="109" t="s">
        <v>17</v>
      </c>
      <c r="D767" s="109" t="s">
        <v>22</v>
      </c>
      <c r="E767" s="109" t="s">
        <v>13</v>
      </c>
      <c r="F767" s="109" t="s">
        <v>42</v>
      </c>
      <c r="G767" s="109" t="s">
        <v>36</v>
      </c>
      <c r="H767" s="110">
        <v>203.49</v>
      </c>
      <c r="I767" s="109">
        <v>11</v>
      </c>
      <c r="J767" s="110">
        <v>2238.39</v>
      </c>
    </row>
    <row r="768" spans="1:10" x14ac:dyDescent="0.25">
      <c r="A768" s="109" t="s">
        <v>823</v>
      </c>
      <c r="B768" s="112">
        <v>45956</v>
      </c>
      <c r="C768" s="109" t="s">
        <v>17</v>
      </c>
      <c r="D768" s="109" t="s">
        <v>12</v>
      </c>
      <c r="E768" s="109" t="s">
        <v>41</v>
      </c>
      <c r="F768" s="109" t="s">
        <v>28</v>
      </c>
      <c r="G768" s="109" t="s">
        <v>20</v>
      </c>
      <c r="H768" s="110">
        <v>63.37</v>
      </c>
      <c r="I768" s="109">
        <v>19</v>
      </c>
      <c r="J768" s="110">
        <v>1204.03</v>
      </c>
    </row>
    <row r="769" spans="1:10" x14ac:dyDescent="0.25">
      <c r="A769" s="109" t="s">
        <v>824</v>
      </c>
      <c r="B769" s="112">
        <v>45931</v>
      </c>
      <c r="C769" s="109" t="s">
        <v>38</v>
      </c>
      <c r="D769" s="109" t="s">
        <v>22</v>
      </c>
      <c r="E769" s="109" t="s">
        <v>18</v>
      </c>
      <c r="F769" s="109" t="s">
        <v>19</v>
      </c>
      <c r="G769" s="109" t="s">
        <v>15</v>
      </c>
      <c r="H769" s="110">
        <v>98.58</v>
      </c>
      <c r="I769" s="109">
        <v>10</v>
      </c>
      <c r="J769" s="110">
        <v>985.8</v>
      </c>
    </row>
    <row r="770" spans="1:10" x14ac:dyDescent="0.25">
      <c r="A770" s="109" t="s">
        <v>825</v>
      </c>
      <c r="B770" s="112">
        <v>45853</v>
      </c>
      <c r="C770" s="109" t="s">
        <v>11</v>
      </c>
      <c r="D770" s="109" t="s">
        <v>12</v>
      </c>
      <c r="E770" s="109" t="s">
        <v>45</v>
      </c>
      <c r="F770" s="109" t="s">
        <v>14</v>
      </c>
      <c r="G770" s="109" t="s">
        <v>36</v>
      </c>
      <c r="H770" s="110">
        <v>84.67</v>
      </c>
      <c r="I770" s="109">
        <v>5</v>
      </c>
      <c r="J770" s="110">
        <v>423.35</v>
      </c>
    </row>
    <row r="771" spans="1:10" x14ac:dyDescent="0.25">
      <c r="A771" s="109" t="s">
        <v>826</v>
      </c>
      <c r="B771" s="112">
        <v>45740</v>
      </c>
      <c r="C771" s="109" t="s">
        <v>17</v>
      </c>
      <c r="D771" s="109" t="s">
        <v>35</v>
      </c>
      <c r="E771" s="109" t="s">
        <v>23</v>
      </c>
      <c r="F771" s="109" t="s">
        <v>39</v>
      </c>
      <c r="G771" s="109" t="s">
        <v>15</v>
      </c>
      <c r="H771" s="110">
        <v>193.67</v>
      </c>
      <c r="I771" s="109">
        <v>10</v>
      </c>
      <c r="J771" s="110">
        <v>1936.7</v>
      </c>
    </row>
    <row r="772" spans="1:10" x14ac:dyDescent="0.25">
      <c r="A772" s="109" t="s">
        <v>827</v>
      </c>
      <c r="B772" s="112">
        <v>46011</v>
      </c>
      <c r="C772" s="109" t="s">
        <v>30</v>
      </c>
      <c r="D772" s="109" t="s">
        <v>55</v>
      </c>
      <c r="E772" s="109" t="s">
        <v>45</v>
      </c>
      <c r="F772" s="109" t="s">
        <v>32</v>
      </c>
      <c r="G772" s="109" t="s">
        <v>36</v>
      </c>
      <c r="H772" s="110">
        <v>37.380000000000003</v>
      </c>
      <c r="I772" s="109">
        <v>10</v>
      </c>
      <c r="J772" s="110">
        <v>373.8</v>
      </c>
    </row>
    <row r="773" spans="1:10" x14ac:dyDescent="0.25">
      <c r="A773" s="109" t="s">
        <v>828</v>
      </c>
      <c r="B773" s="112">
        <v>45710</v>
      </c>
      <c r="C773" s="109" t="s">
        <v>17</v>
      </c>
      <c r="D773" s="109" t="s">
        <v>12</v>
      </c>
      <c r="E773" s="109" t="s">
        <v>18</v>
      </c>
      <c r="F773" s="109" t="s">
        <v>39</v>
      </c>
      <c r="G773" s="109" t="s">
        <v>15</v>
      </c>
      <c r="H773" s="110">
        <v>155.38</v>
      </c>
      <c r="I773" s="109">
        <v>20</v>
      </c>
      <c r="J773" s="110">
        <v>3107.6</v>
      </c>
    </row>
    <row r="774" spans="1:10" x14ac:dyDescent="0.25">
      <c r="A774" s="109" t="s">
        <v>829</v>
      </c>
      <c r="B774" s="112">
        <v>45989</v>
      </c>
      <c r="C774" s="109" t="s">
        <v>38</v>
      </c>
      <c r="D774" s="109" t="s">
        <v>26</v>
      </c>
      <c r="E774" s="109" t="s">
        <v>18</v>
      </c>
      <c r="F774" s="109" t="s">
        <v>39</v>
      </c>
      <c r="G774" s="109" t="s">
        <v>20</v>
      </c>
      <c r="H774" s="110">
        <v>197.74</v>
      </c>
      <c r="I774" s="109">
        <v>18</v>
      </c>
      <c r="J774" s="110">
        <v>3559.32</v>
      </c>
    </row>
    <row r="775" spans="1:10" x14ac:dyDescent="0.25">
      <c r="A775" s="109" t="s">
        <v>830</v>
      </c>
      <c r="B775" s="112">
        <v>45805</v>
      </c>
      <c r="C775" s="109" t="s">
        <v>38</v>
      </c>
      <c r="D775" s="109" t="s">
        <v>31</v>
      </c>
      <c r="E775" s="109" t="s">
        <v>41</v>
      </c>
      <c r="F775" s="109" t="s">
        <v>39</v>
      </c>
      <c r="G775" s="109" t="s">
        <v>20</v>
      </c>
      <c r="H775" s="110">
        <v>222.89</v>
      </c>
      <c r="I775" s="109">
        <v>2</v>
      </c>
      <c r="J775" s="110">
        <v>445.78</v>
      </c>
    </row>
    <row r="776" spans="1:10" x14ac:dyDescent="0.25">
      <c r="A776" s="109" t="s">
        <v>831</v>
      </c>
      <c r="B776" s="112">
        <v>45818</v>
      </c>
      <c r="C776" s="109" t="s">
        <v>11</v>
      </c>
      <c r="D776" s="109" t="s">
        <v>22</v>
      </c>
      <c r="E776" s="109" t="s">
        <v>27</v>
      </c>
      <c r="F776" s="109" t="s">
        <v>32</v>
      </c>
      <c r="G776" s="109" t="s">
        <v>15</v>
      </c>
      <c r="H776" s="110">
        <v>105.26</v>
      </c>
      <c r="I776" s="109">
        <v>18</v>
      </c>
      <c r="J776" s="110">
        <v>1894.68</v>
      </c>
    </row>
    <row r="777" spans="1:10" x14ac:dyDescent="0.25">
      <c r="A777" s="109" t="s">
        <v>832</v>
      </c>
      <c r="B777" s="112">
        <v>45975</v>
      </c>
      <c r="C777" s="109" t="s">
        <v>30</v>
      </c>
      <c r="D777" s="109" t="s">
        <v>12</v>
      </c>
      <c r="E777" s="109" t="s">
        <v>27</v>
      </c>
      <c r="F777" s="109" t="s">
        <v>28</v>
      </c>
      <c r="G777" s="109" t="s">
        <v>20</v>
      </c>
      <c r="H777" s="110">
        <v>210.68</v>
      </c>
      <c r="I777" s="109">
        <v>15</v>
      </c>
      <c r="J777" s="110">
        <v>3160.2</v>
      </c>
    </row>
    <row r="778" spans="1:10" x14ac:dyDescent="0.25">
      <c r="A778" s="109" t="s">
        <v>833</v>
      </c>
      <c r="B778" s="112">
        <v>45846</v>
      </c>
      <c r="C778" s="109" t="s">
        <v>25</v>
      </c>
      <c r="D778" s="109" t="s">
        <v>12</v>
      </c>
      <c r="E778" s="109" t="s">
        <v>18</v>
      </c>
      <c r="F778" s="109" t="s">
        <v>14</v>
      </c>
      <c r="G778" s="109" t="s">
        <v>20</v>
      </c>
      <c r="H778" s="110">
        <v>54.34</v>
      </c>
      <c r="I778" s="109">
        <v>19</v>
      </c>
      <c r="J778" s="110">
        <v>1032.46</v>
      </c>
    </row>
    <row r="779" spans="1:10" x14ac:dyDescent="0.25">
      <c r="A779" s="109" t="s">
        <v>834</v>
      </c>
      <c r="B779" s="112">
        <v>45757</v>
      </c>
      <c r="C779" s="109" t="s">
        <v>38</v>
      </c>
      <c r="D779" s="109" t="s">
        <v>26</v>
      </c>
      <c r="E779" s="109" t="s">
        <v>27</v>
      </c>
      <c r="F779" s="109" t="s">
        <v>19</v>
      </c>
      <c r="G779" s="109" t="s">
        <v>15</v>
      </c>
      <c r="H779" s="110">
        <v>216.22</v>
      </c>
      <c r="I779" s="109">
        <v>10</v>
      </c>
      <c r="J779" s="110">
        <v>2162.1999999999998</v>
      </c>
    </row>
    <row r="780" spans="1:10" x14ac:dyDescent="0.25">
      <c r="A780" s="109" t="s">
        <v>835</v>
      </c>
      <c r="B780" s="112">
        <v>45746</v>
      </c>
      <c r="C780" s="109" t="s">
        <v>11</v>
      </c>
      <c r="D780" s="109" t="s">
        <v>31</v>
      </c>
      <c r="E780" s="109" t="s">
        <v>45</v>
      </c>
      <c r="F780" s="109" t="s">
        <v>61</v>
      </c>
      <c r="G780" s="109" t="s">
        <v>36</v>
      </c>
      <c r="H780" s="110">
        <v>58.05</v>
      </c>
      <c r="I780" s="109">
        <v>17</v>
      </c>
      <c r="J780" s="110">
        <v>986.85</v>
      </c>
    </row>
    <row r="781" spans="1:10" x14ac:dyDescent="0.25">
      <c r="A781" s="109" t="s">
        <v>836</v>
      </c>
      <c r="B781" s="112">
        <v>45942</v>
      </c>
      <c r="C781" s="109" t="s">
        <v>30</v>
      </c>
      <c r="D781" s="109" t="s">
        <v>26</v>
      </c>
      <c r="E781" s="109" t="s">
        <v>18</v>
      </c>
      <c r="F781" s="109" t="s">
        <v>39</v>
      </c>
      <c r="G781" s="109" t="s">
        <v>36</v>
      </c>
      <c r="H781" s="110">
        <v>117.4</v>
      </c>
      <c r="I781" s="109">
        <v>9</v>
      </c>
      <c r="J781" s="110">
        <v>1056.5999999999999</v>
      </c>
    </row>
    <row r="782" spans="1:10" x14ac:dyDescent="0.25">
      <c r="A782" s="109" t="s">
        <v>837</v>
      </c>
      <c r="B782" s="112">
        <v>45660</v>
      </c>
      <c r="C782" s="109" t="s">
        <v>38</v>
      </c>
      <c r="D782" s="109" t="s">
        <v>12</v>
      </c>
      <c r="E782" s="109" t="s">
        <v>23</v>
      </c>
      <c r="F782" s="109" t="s">
        <v>19</v>
      </c>
      <c r="G782" s="109" t="s">
        <v>15</v>
      </c>
      <c r="H782" s="110">
        <v>205.4</v>
      </c>
      <c r="I782" s="109">
        <v>11</v>
      </c>
      <c r="J782" s="110">
        <v>2259.4</v>
      </c>
    </row>
    <row r="783" spans="1:10" x14ac:dyDescent="0.25">
      <c r="A783" s="109" t="s">
        <v>838</v>
      </c>
      <c r="B783" s="112">
        <v>45823</v>
      </c>
      <c r="C783" s="109" t="s">
        <v>11</v>
      </c>
      <c r="D783" s="109" t="s">
        <v>12</v>
      </c>
      <c r="E783" s="109" t="s">
        <v>18</v>
      </c>
      <c r="F783" s="109" t="s">
        <v>39</v>
      </c>
      <c r="G783" s="109" t="s">
        <v>20</v>
      </c>
      <c r="H783" s="110">
        <v>62.98</v>
      </c>
      <c r="I783" s="109">
        <v>20</v>
      </c>
      <c r="J783" s="110">
        <v>1259.5999999999999</v>
      </c>
    </row>
    <row r="784" spans="1:10" x14ac:dyDescent="0.25">
      <c r="A784" s="109" t="s">
        <v>839</v>
      </c>
      <c r="B784" s="112">
        <v>45812</v>
      </c>
      <c r="C784" s="109" t="s">
        <v>25</v>
      </c>
      <c r="D784" s="109" t="s">
        <v>55</v>
      </c>
      <c r="E784" s="109" t="s">
        <v>13</v>
      </c>
      <c r="F784" s="109" t="s">
        <v>19</v>
      </c>
      <c r="G784" s="109" t="s">
        <v>20</v>
      </c>
      <c r="H784" s="110">
        <v>80.44</v>
      </c>
      <c r="I784" s="109">
        <v>16</v>
      </c>
      <c r="J784" s="110">
        <v>1287.04</v>
      </c>
    </row>
    <row r="785" spans="1:10" x14ac:dyDescent="0.25">
      <c r="A785" s="109" t="s">
        <v>840</v>
      </c>
      <c r="B785" s="112">
        <v>45820</v>
      </c>
      <c r="C785" s="109" t="s">
        <v>30</v>
      </c>
      <c r="D785" s="109" t="s">
        <v>26</v>
      </c>
      <c r="E785" s="109" t="s">
        <v>18</v>
      </c>
      <c r="F785" s="109" t="s">
        <v>19</v>
      </c>
      <c r="G785" s="109" t="s">
        <v>20</v>
      </c>
      <c r="H785" s="110">
        <v>188.9</v>
      </c>
      <c r="I785" s="109">
        <v>17</v>
      </c>
      <c r="J785" s="110">
        <v>3211.3</v>
      </c>
    </row>
    <row r="786" spans="1:10" x14ac:dyDescent="0.25">
      <c r="A786" s="109" t="s">
        <v>841</v>
      </c>
      <c r="B786" s="112">
        <v>45739</v>
      </c>
      <c r="C786" s="109" t="s">
        <v>25</v>
      </c>
      <c r="D786" s="109" t="s">
        <v>55</v>
      </c>
      <c r="E786" s="109" t="s">
        <v>41</v>
      </c>
      <c r="F786" s="109" t="s">
        <v>19</v>
      </c>
      <c r="G786" s="109" t="s">
        <v>36</v>
      </c>
      <c r="H786" s="110">
        <v>188.41</v>
      </c>
      <c r="I786" s="109">
        <v>14</v>
      </c>
      <c r="J786" s="110">
        <v>2637.74</v>
      </c>
    </row>
    <row r="787" spans="1:10" x14ac:dyDescent="0.25">
      <c r="A787" s="109" t="s">
        <v>842</v>
      </c>
      <c r="B787" s="112">
        <v>45771</v>
      </c>
      <c r="C787" s="109" t="s">
        <v>17</v>
      </c>
      <c r="D787" s="109" t="s">
        <v>35</v>
      </c>
      <c r="E787" s="109" t="s">
        <v>13</v>
      </c>
      <c r="F787" s="109" t="s">
        <v>32</v>
      </c>
      <c r="G787" s="109" t="s">
        <v>36</v>
      </c>
      <c r="H787" s="110">
        <v>171.05</v>
      </c>
      <c r="I787" s="109">
        <v>7</v>
      </c>
      <c r="J787" s="110">
        <v>1197.3499999999999</v>
      </c>
    </row>
    <row r="788" spans="1:10" x14ac:dyDescent="0.25">
      <c r="A788" s="109" t="s">
        <v>843</v>
      </c>
      <c r="B788" s="112">
        <v>45769</v>
      </c>
      <c r="C788" s="109" t="s">
        <v>25</v>
      </c>
      <c r="D788" s="109" t="s">
        <v>31</v>
      </c>
      <c r="E788" s="109" t="s">
        <v>18</v>
      </c>
      <c r="F788" s="109" t="s">
        <v>39</v>
      </c>
      <c r="G788" s="109" t="s">
        <v>20</v>
      </c>
      <c r="H788" s="110">
        <v>182.67</v>
      </c>
      <c r="I788" s="109">
        <v>20</v>
      </c>
      <c r="J788" s="110">
        <v>3653.4</v>
      </c>
    </row>
    <row r="789" spans="1:10" x14ac:dyDescent="0.25">
      <c r="A789" s="109" t="s">
        <v>844</v>
      </c>
      <c r="B789" s="112">
        <v>45662</v>
      </c>
      <c r="C789" s="109" t="s">
        <v>17</v>
      </c>
      <c r="D789" s="109" t="s">
        <v>35</v>
      </c>
      <c r="E789" s="109" t="s">
        <v>41</v>
      </c>
      <c r="F789" s="109" t="s">
        <v>14</v>
      </c>
      <c r="G789" s="109" t="s">
        <v>20</v>
      </c>
      <c r="H789" s="110">
        <v>149.4</v>
      </c>
      <c r="I789" s="109">
        <v>4</v>
      </c>
      <c r="J789" s="110">
        <v>597.6</v>
      </c>
    </row>
    <row r="790" spans="1:10" x14ac:dyDescent="0.25">
      <c r="A790" s="109" t="s">
        <v>845</v>
      </c>
      <c r="B790" s="112">
        <v>45972</v>
      </c>
      <c r="C790" s="109" t="s">
        <v>30</v>
      </c>
      <c r="D790" s="109" t="s">
        <v>22</v>
      </c>
      <c r="E790" s="109" t="s">
        <v>27</v>
      </c>
      <c r="F790" s="109" t="s">
        <v>32</v>
      </c>
      <c r="G790" s="109" t="s">
        <v>36</v>
      </c>
      <c r="H790" s="110">
        <v>85.4</v>
      </c>
      <c r="I790" s="109">
        <v>20</v>
      </c>
      <c r="J790" s="110">
        <v>1708</v>
      </c>
    </row>
    <row r="791" spans="1:10" x14ac:dyDescent="0.25">
      <c r="A791" s="109" t="s">
        <v>846</v>
      </c>
      <c r="B791" s="112">
        <v>45716</v>
      </c>
      <c r="C791" s="109" t="s">
        <v>34</v>
      </c>
      <c r="D791" s="109" t="s">
        <v>55</v>
      </c>
      <c r="E791" s="109" t="s">
        <v>27</v>
      </c>
      <c r="F791" s="109" t="s">
        <v>32</v>
      </c>
      <c r="G791" s="109" t="s">
        <v>15</v>
      </c>
      <c r="H791" s="110">
        <v>106.05</v>
      </c>
      <c r="I791" s="109">
        <v>13</v>
      </c>
      <c r="J791" s="110">
        <v>1378.65</v>
      </c>
    </row>
    <row r="792" spans="1:10" x14ac:dyDescent="0.25">
      <c r="A792" s="109" t="s">
        <v>847</v>
      </c>
      <c r="B792" s="112">
        <v>45922</v>
      </c>
      <c r="C792" s="109" t="s">
        <v>25</v>
      </c>
      <c r="D792" s="109" t="s">
        <v>55</v>
      </c>
      <c r="E792" s="109" t="s">
        <v>41</v>
      </c>
      <c r="F792" s="109" t="s">
        <v>61</v>
      </c>
      <c r="G792" s="109" t="s">
        <v>15</v>
      </c>
      <c r="H792" s="110">
        <v>69.95</v>
      </c>
      <c r="I792" s="109">
        <v>12</v>
      </c>
      <c r="J792" s="110">
        <v>839.4</v>
      </c>
    </row>
    <row r="793" spans="1:10" x14ac:dyDescent="0.25">
      <c r="A793" s="109" t="s">
        <v>848</v>
      </c>
      <c r="B793" s="112">
        <v>45809</v>
      </c>
      <c r="C793" s="109" t="s">
        <v>34</v>
      </c>
      <c r="D793" s="109" t="s">
        <v>55</v>
      </c>
      <c r="E793" s="109" t="s">
        <v>45</v>
      </c>
      <c r="F793" s="109" t="s">
        <v>19</v>
      </c>
      <c r="G793" s="109" t="s">
        <v>15</v>
      </c>
      <c r="H793" s="110">
        <v>229.86</v>
      </c>
      <c r="I793" s="109">
        <v>7</v>
      </c>
      <c r="J793" s="110">
        <v>1609.02</v>
      </c>
    </row>
    <row r="794" spans="1:10" x14ac:dyDescent="0.25">
      <c r="A794" s="109" t="s">
        <v>849</v>
      </c>
      <c r="B794" s="112">
        <v>45933</v>
      </c>
      <c r="C794" s="109" t="s">
        <v>11</v>
      </c>
      <c r="D794" s="109" t="s">
        <v>12</v>
      </c>
      <c r="E794" s="109" t="s">
        <v>45</v>
      </c>
      <c r="F794" s="109" t="s">
        <v>14</v>
      </c>
      <c r="G794" s="109" t="s">
        <v>20</v>
      </c>
      <c r="H794" s="110">
        <v>158.35</v>
      </c>
      <c r="I794" s="109">
        <v>18</v>
      </c>
      <c r="J794" s="110">
        <v>2850.3</v>
      </c>
    </row>
    <row r="795" spans="1:10" x14ac:dyDescent="0.25">
      <c r="A795" s="109" t="s">
        <v>850</v>
      </c>
      <c r="B795" s="112">
        <v>45980</v>
      </c>
      <c r="C795" s="109" t="s">
        <v>17</v>
      </c>
      <c r="D795" s="109" t="s">
        <v>31</v>
      </c>
      <c r="E795" s="109" t="s">
        <v>45</v>
      </c>
      <c r="F795" s="109" t="s">
        <v>14</v>
      </c>
      <c r="G795" s="109" t="s">
        <v>20</v>
      </c>
      <c r="H795" s="110">
        <v>118.19</v>
      </c>
      <c r="I795" s="109">
        <v>7</v>
      </c>
      <c r="J795" s="110">
        <v>827.33</v>
      </c>
    </row>
    <row r="796" spans="1:10" x14ac:dyDescent="0.25">
      <c r="A796" s="109" t="s">
        <v>851</v>
      </c>
      <c r="B796" s="112">
        <v>46017</v>
      </c>
      <c r="C796" s="109" t="s">
        <v>17</v>
      </c>
      <c r="D796" s="109" t="s">
        <v>22</v>
      </c>
      <c r="E796" s="109" t="s">
        <v>27</v>
      </c>
      <c r="F796" s="109" t="s">
        <v>28</v>
      </c>
      <c r="G796" s="109" t="s">
        <v>15</v>
      </c>
      <c r="H796" s="110">
        <v>131.63999999999999</v>
      </c>
      <c r="I796" s="109">
        <v>14</v>
      </c>
      <c r="J796" s="110">
        <v>1842.96</v>
      </c>
    </row>
    <row r="797" spans="1:10" x14ac:dyDescent="0.25">
      <c r="A797" s="109" t="s">
        <v>852</v>
      </c>
      <c r="B797" s="112">
        <v>45670</v>
      </c>
      <c r="C797" s="109" t="s">
        <v>17</v>
      </c>
      <c r="D797" s="109" t="s">
        <v>35</v>
      </c>
      <c r="E797" s="109" t="s">
        <v>45</v>
      </c>
      <c r="F797" s="109" t="s">
        <v>19</v>
      </c>
      <c r="G797" s="109" t="s">
        <v>15</v>
      </c>
      <c r="H797" s="110">
        <v>238.4</v>
      </c>
      <c r="I797" s="109">
        <v>15</v>
      </c>
      <c r="J797" s="110">
        <v>3576</v>
      </c>
    </row>
    <row r="798" spans="1:10" x14ac:dyDescent="0.25">
      <c r="A798" s="109" t="s">
        <v>853</v>
      </c>
      <c r="B798" s="112">
        <v>45685</v>
      </c>
      <c r="C798" s="109" t="s">
        <v>34</v>
      </c>
      <c r="D798" s="109" t="s">
        <v>55</v>
      </c>
      <c r="E798" s="109" t="s">
        <v>45</v>
      </c>
      <c r="F798" s="109" t="s">
        <v>42</v>
      </c>
      <c r="G798" s="109" t="s">
        <v>15</v>
      </c>
      <c r="H798" s="110">
        <v>63.74</v>
      </c>
      <c r="I798" s="109">
        <v>6</v>
      </c>
      <c r="J798" s="110">
        <v>382.44</v>
      </c>
    </row>
    <row r="799" spans="1:10" x14ac:dyDescent="0.25">
      <c r="A799" s="109" t="s">
        <v>854</v>
      </c>
      <c r="B799" s="112">
        <v>45790</v>
      </c>
      <c r="C799" s="109" t="s">
        <v>38</v>
      </c>
      <c r="D799" s="109" t="s">
        <v>31</v>
      </c>
      <c r="E799" s="109" t="s">
        <v>27</v>
      </c>
      <c r="F799" s="109" t="s">
        <v>61</v>
      </c>
      <c r="G799" s="109" t="s">
        <v>36</v>
      </c>
      <c r="H799" s="110">
        <v>158.97</v>
      </c>
      <c r="I799" s="109">
        <v>14</v>
      </c>
      <c r="J799" s="110">
        <v>2225.58</v>
      </c>
    </row>
    <row r="800" spans="1:10" x14ac:dyDescent="0.25">
      <c r="A800" s="109" t="s">
        <v>855</v>
      </c>
      <c r="B800" s="112">
        <v>45819</v>
      </c>
      <c r="C800" s="109" t="s">
        <v>38</v>
      </c>
      <c r="D800" s="109" t="s">
        <v>12</v>
      </c>
      <c r="E800" s="109" t="s">
        <v>45</v>
      </c>
      <c r="F800" s="109" t="s">
        <v>42</v>
      </c>
      <c r="G800" s="109" t="s">
        <v>15</v>
      </c>
      <c r="H800" s="110">
        <v>141.30000000000001</v>
      </c>
      <c r="I800" s="109">
        <v>1</v>
      </c>
      <c r="J800" s="110">
        <v>141.30000000000001</v>
      </c>
    </row>
    <row r="801" spans="1:10" x14ac:dyDescent="0.25">
      <c r="A801" s="109" t="s">
        <v>856</v>
      </c>
      <c r="B801" s="112">
        <v>45986</v>
      </c>
      <c r="C801" s="109" t="s">
        <v>11</v>
      </c>
      <c r="D801" s="109" t="s">
        <v>12</v>
      </c>
      <c r="E801" s="109" t="s">
        <v>18</v>
      </c>
      <c r="F801" s="109" t="s">
        <v>19</v>
      </c>
      <c r="G801" s="109" t="s">
        <v>20</v>
      </c>
      <c r="H801" s="110">
        <v>164.52</v>
      </c>
      <c r="I801" s="109">
        <v>20</v>
      </c>
      <c r="J801" s="110">
        <v>3290.4</v>
      </c>
    </row>
    <row r="802" spans="1:10" x14ac:dyDescent="0.25">
      <c r="A802" s="109" t="s">
        <v>857</v>
      </c>
      <c r="B802" s="112">
        <v>45695</v>
      </c>
      <c r="C802" s="109" t="s">
        <v>25</v>
      </c>
      <c r="D802" s="109" t="s">
        <v>22</v>
      </c>
      <c r="E802" s="109" t="s">
        <v>13</v>
      </c>
      <c r="F802" s="109" t="s">
        <v>39</v>
      </c>
      <c r="G802" s="109" t="s">
        <v>20</v>
      </c>
      <c r="H802" s="110">
        <v>33.979999999999997</v>
      </c>
      <c r="I802" s="109">
        <v>12</v>
      </c>
      <c r="J802" s="110">
        <v>407.76</v>
      </c>
    </row>
    <row r="803" spans="1:10" x14ac:dyDescent="0.25">
      <c r="A803" s="109" t="s">
        <v>858</v>
      </c>
      <c r="B803" s="112">
        <v>45812</v>
      </c>
      <c r="C803" s="109" t="s">
        <v>11</v>
      </c>
      <c r="D803" s="109" t="s">
        <v>35</v>
      </c>
      <c r="E803" s="109" t="s">
        <v>41</v>
      </c>
      <c r="F803" s="109" t="s">
        <v>61</v>
      </c>
      <c r="G803" s="109" t="s">
        <v>36</v>
      </c>
      <c r="H803" s="110">
        <v>221.87</v>
      </c>
      <c r="I803" s="109">
        <v>20</v>
      </c>
      <c r="J803" s="110">
        <v>4437.3999999999996</v>
      </c>
    </row>
    <row r="804" spans="1:10" x14ac:dyDescent="0.25">
      <c r="A804" s="109" t="s">
        <v>859</v>
      </c>
      <c r="B804" s="112">
        <v>45996</v>
      </c>
      <c r="C804" s="109" t="s">
        <v>38</v>
      </c>
      <c r="D804" s="109" t="s">
        <v>26</v>
      </c>
      <c r="E804" s="109" t="s">
        <v>18</v>
      </c>
      <c r="F804" s="109" t="s">
        <v>14</v>
      </c>
      <c r="G804" s="109" t="s">
        <v>15</v>
      </c>
      <c r="H804" s="110">
        <v>235.07</v>
      </c>
      <c r="I804" s="109">
        <v>1</v>
      </c>
      <c r="J804" s="110">
        <v>235.07</v>
      </c>
    </row>
    <row r="805" spans="1:10" x14ac:dyDescent="0.25">
      <c r="A805" s="109" t="s">
        <v>860</v>
      </c>
      <c r="B805" s="112">
        <v>45858</v>
      </c>
      <c r="C805" s="109" t="s">
        <v>34</v>
      </c>
      <c r="D805" s="109" t="s">
        <v>12</v>
      </c>
      <c r="E805" s="109" t="s">
        <v>23</v>
      </c>
      <c r="F805" s="109" t="s">
        <v>32</v>
      </c>
      <c r="G805" s="109" t="s">
        <v>20</v>
      </c>
      <c r="H805" s="110">
        <v>154.33000000000001</v>
      </c>
      <c r="I805" s="109">
        <v>18</v>
      </c>
      <c r="J805" s="110">
        <v>2777.94</v>
      </c>
    </row>
    <row r="806" spans="1:10" x14ac:dyDescent="0.25">
      <c r="A806" s="109" t="s">
        <v>861</v>
      </c>
      <c r="B806" s="112">
        <v>45989</v>
      </c>
      <c r="C806" s="109" t="s">
        <v>11</v>
      </c>
      <c r="D806" s="109" t="s">
        <v>55</v>
      </c>
      <c r="E806" s="109" t="s">
        <v>18</v>
      </c>
      <c r="F806" s="109" t="s">
        <v>14</v>
      </c>
      <c r="G806" s="109" t="s">
        <v>15</v>
      </c>
      <c r="H806" s="110">
        <v>183.26</v>
      </c>
      <c r="I806" s="109">
        <v>12</v>
      </c>
      <c r="J806" s="110">
        <v>2199.12</v>
      </c>
    </row>
    <row r="807" spans="1:10" x14ac:dyDescent="0.25">
      <c r="A807" s="109" t="s">
        <v>862</v>
      </c>
      <c r="B807" s="112">
        <v>45679</v>
      </c>
      <c r="C807" s="109" t="s">
        <v>25</v>
      </c>
      <c r="D807" s="109" t="s">
        <v>55</v>
      </c>
      <c r="E807" s="109" t="s">
        <v>41</v>
      </c>
      <c r="F807" s="109" t="s">
        <v>42</v>
      </c>
      <c r="G807" s="109" t="s">
        <v>20</v>
      </c>
      <c r="H807" s="110">
        <v>232.95</v>
      </c>
      <c r="I807" s="109">
        <v>1</v>
      </c>
      <c r="J807" s="110">
        <v>232.95</v>
      </c>
    </row>
    <row r="808" spans="1:10" x14ac:dyDescent="0.25">
      <c r="A808" s="109" t="s">
        <v>863</v>
      </c>
      <c r="B808" s="112">
        <v>45701</v>
      </c>
      <c r="C808" s="109" t="s">
        <v>30</v>
      </c>
      <c r="D808" s="109" t="s">
        <v>12</v>
      </c>
      <c r="E808" s="109" t="s">
        <v>27</v>
      </c>
      <c r="F808" s="109" t="s">
        <v>28</v>
      </c>
      <c r="G808" s="109" t="s">
        <v>36</v>
      </c>
      <c r="H808" s="110">
        <v>185.59</v>
      </c>
      <c r="I808" s="109">
        <v>10</v>
      </c>
      <c r="J808" s="110">
        <v>1855.9</v>
      </c>
    </row>
    <row r="809" spans="1:10" x14ac:dyDescent="0.25">
      <c r="A809" s="109" t="s">
        <v>864</v>
      </c>
      <c r="B809" s="112">
        <v>45766</v>
      </c>
      <c r="C809" s="109" t="s">
        <v>17</v>
      </c>
      <c r="D809" s="109" t="s">
        <v>55</v>
      </c>
      <c r="E809" s="109" t="s">
        <v>23</v>
      </c>
      <c r="F809" s="109" t="s">
        <v>14</v>
      </c>
      <c r="G809" s="109" t="s">
        <v>15</v>
      </c>
      <c r="H809" s="110">
        <v>63.56</v>
      </c>
      <c r="I809" s="109">
        <v>14</v>
      </c>
      <c r="J809" s="110">
        <v>889.84</v>
      </c>
    </row>
    <row r="810" spans="1:10" x14ac:dyDescent="0.25">
      <c r="A810" s="109" t="s">
        <v>865</v>
      </c>
      <c r="B810" s="112">
        <v>45771</v>
      </c>
      <c r="C810" s="109" t="s">
        <v>34</v>
      </c>
      <c r="D810" s="109" t="s">
        <v>26</v>
      </c>
      <c r="E810" s="109" t="s">
        <v>45</v>
      </c>
      <c r="F810" s="109" t="s">
        <v>14</v>
      </c>
      <c r="G810" s="109" t="s">
        <v>20</v>
      </c>
      <c r="H810" s="110">
        <v>156.78</v>
      </c>
      <c r="I810" s="109">
        <v>20</v>
      </c>
      <c r="J810" s="110">
        <v>3135.6</v>
      </c>
    </row>
    <row r="811" spans="1:10" x14ac:dyDescent="0.25">
      <c r="A811" s="109" t="s">
        <v>866</v>
      </c>
      <c r="B811" s="112">
        <v>45948</v>
      </c>
      <c r="C811" s="109" t="s">
        <v>25</v>
      </c>
      <c r="D811" s="109" t="s">
        <v>31</v>
      </c>
      <c r="E811" s="109" t="s">
        <v>27</v>
      </c>
      <c r="F811" s="109" t="s">
        <v>42</v>
      </c>
      <c r="G811" s="109" t="s">
        <v>15</v>
      </c>
      <c r="H811" s="110">
        <v>163.47999999999999</v>
      </c>
      <c r="I811" s="109">
        <v>2</v>
      </c>
      <c r="J811" s="110">
        <v>326.95999999999998</v>
      </c>
    </row>
    <row r="812" spans="1:10" x14ac:dyDescent="0.25">
      <c r="A812" s="109" t="s">
        <v>867</v>
      </c>
      <c r="B812" s="112">
        <v>45806</v>
      </c>
      <c r="C812" s="109" t="s">
        <v>34</v>
      </c>
      <c r="D812" s="109" t="s">
        <v>22</v>
      </c>
      <c r="E812" s="109" t="s">
        <v>23</v>
      </c>
      <c r="F812" s="109" t="s">
        <v>28</v>
      </c>
      <c r="G812" s="109" t="s">
        <v>20</v>
      </c>
      <c r="H812" s="110">
        <v>123.31</v>
      </c>
      <c r="I812" s="109">
        <v>3</v>
      </c>
      <c r="J812" s="110">
        <v>369.93</v>
      </c>
    </row>
    <row r="813" spans="1:10" x14ac:dyDescent="0.25">
      <c r="A813" s="109" t="s">
        <v>868</v>
      </c>
      <c r="B813" s="112">
        <v>45907</v>
      </c>
      <c r="C813" s="109" t="s">
        <v>34</v>
      </c>
      <c r="D813" s="109" t="s">
        <v>26</v>
      </c>
      <c r="E813" s="109" t="s">
        <v>27</v>
      </c>
      <c r="F813" s="109" t="s">
        <v>28</v>
      </c>
      <c r="G813" s="109" t="s">
        <v>15</v>
      </c>
      <c r="H813" s="110">
        <v>192.02</v>
      </c>
      <c r="I813" s="109">
        <v>11</v>
      </c>
      <c r="J813" s="110">
        <v>2112.2199999999998</v>
      </c>
    </row>
    <row r="814" spans="1:10" x14ac:dyDescent="0.25">
      <c r="A814" s="109" t="s">
        <v>869</v>
      </c>
      <c r="B814" s="112">
        <v>45709</v>
      </c>
      <c r="C814" s="109" t="s">
        <v>25</v>
      </c>
      <c r="D814" s="109" t="s">
        <v>22</v>
      </c>
      <c r="E814" s="109" t="s">
        <v>23</v>
      </c>
      <c r="F814" s="109" t="s">
        <v>32</v>
      </c>
      <c r="G814" s="109" t="s">
        <v>36</v>
      </c>
      <c r="H814" s="110">
        <v>235.56</v>
      </c>
      <c r="I814" s="109">
        <v>10</v>
      </c>
      <c r="J814" s="110">
        <v>2355.6</v>
      </c>
    </row>
    <row r="815" spans="1:10" x14ac:dyDescent="0.25">
      <c r="A815" s="109" t="s">
        <v>870</v>
      </c>
      <c r="B815" s="112">
        <v>45888</v>
      </c>
      <c r="C815" s="109" t="s">
        <v>25</v>
      </c>
      <c r="D815" s="109" t="s">
        <v>12</v>
      </c>
      <c r="E815" s="109" t="s">
        <v>13</v>
      </c>
      <c r="F815" s="109" t="s">
        <v>28</v>
      </c>
      <c r="G815" s="109" t="s">
        <v>20</v>
      </c>
      <c r="H815" s="110">
        <v>233.63</v>
      </c>
      <c r="I815" s="109">
        <v>11</v>
      </c>
      <c r="J815" s="110">
        <v>2569.9299999999998</v>
      </c>
    </row>
    <row r="816" spans="1:10" x14ac:dyDescent="0.25">
      <c r="A816" s="109" t="s">
        <v>871</v>
      </c>
      <c r="B816" s="112">
        <v>45736</v>
      </c>
      <c r="C816" s="109" t="s">
        <v>25</v>
      </c>
      <c r="D816" s="109" t="s">
        <v>35</v>
      </c>
      <c r="E816" s="109" t="s">
        <v>13</v>
      </c>
      <c r="F816" s="109" t="s">
        <v>61</v>
      </c>
      <c r="G816" s="109" t="s">
        <v>15</v>
      </c>
      <c r="H816" s="110">
        <v>129.18</v>
      </c>
      <c r="I816" s="109">
        <v>19</v>
      </c>
      <c r="J816" s="110">
        <v>2454.42</v>
      </c>
    </row>
    <row r="817" spans="1:10" x14ac:dyDescent="0.25">
      <c r="A817" s="109" t="s">
        <v>872</v>
      </c>
      <c r="B817" s="112">
        <v>45660</v>
      </c>
      <c r="C817" s="109" t="s">
        <v>30</v>
      </c>
      <c r="D817" s="109" t="s">
        <v>26</v>
      </c>
      <c r="E817" s="109" t="s">
        <v>27</v>
      </c>
      <c r="F817" s="109" t="s">
        <v>28</v>
      </c>
      <c r="G817" s="109" t="s">
        <v>20</v>
      </c>
      <c r="H817" s="110">
        <v>54.91</v>
      </c>
      <c r="I817" s="109">
        <v>11</v>
      </c>
      <c r="J817" s="110">
        <v>604.01</v>
      </c>
    </row>
    <row r="818" spans="1:10" x14ac:dyDescent="0.25">
      <c r="A818" s="109" t="s">
        <v>873</v>
      </c>
      <c r="B818" s="112">
        <v>45881</v>
      </c>
      <c r="C818" s="109" t="s">
        <v>34</v>
      </c>
      <c r="D818" s="109" t="s">
        <v>26</v>
      </c>
      <c r="E818" s="109" t="s">
        <v>27</v>
      </c>
      <c r="F818" s="109" t="s">
        <v>28</v>
      </c>
      <c r="G818" s="109" t="s">
        <v>36</v>
      </c>
      <c r="H818" s="110">
        <v>246.67</v>
      </c>
      <c r="I818" s="109">
        <v>9</v>
      </c>
      <c r="J818" s="110">
        <v>2220.0300000000002</v>
      </c>
    </row>
    <row r="819" spans="1:10" x14ac:dyDescent="0.25">
      <c r="A819" s="109" t="s">
        <v>874</v>
      </c>
      <c r="B819" s="112">
        <v>45903</v>
      </c>
      <c r="C819" s="109" t="s">
        <v>38</v>
      </c>
      <c r="D819" s="109" t="s">
        <v>35</v>
      </c>
      <c r="E819" s="109" t="s">
        <v>13</v>
      </c>
      <c r="F819" s="109" t="s">
        <v>61</v>
      </c>
      <c r="G819" s="109" t="s">
        <v>20</v>
      </c>
      <c r="H819" s="110">
        <v>214.56</v>
      </c>
      <c r="I819" s="109">
        <v>15</v>
      </c>
      <c r="J819" s="110">
        <v>3218.4</v>
      </c>
    </row>
    <row r="820" spans="1:10" x14ac:dyDescent="0.25">
      <c r="A820" s="109" t="s">
        <v>875</v>
      </c>
      <c r="B820" s="112">
        <v>45713</v>
      </c>
      <c r="C820" s="109" t="s">
        <v>17</v>
      </c>
      <c r="D820" s="109" t="s">
        <v>55</v>
      </c>
      <c r="E820" s="109" t="s">
        <v>45</v>
      </c>
      <c r="F820" s="109" t="s">
        <v>39</v>
      </c>
      <c r="G820" s="109" t="s">
        <v>36</v>
      </c>
      <c r="H820" s="110">
        <v>57.43</v>
      </c>
      <c r="I820" s="109">
        <v>6</v>
      </c>
      <c r="J820" s="110">
        <v>344.58</v>
      </c>
    </row>
    <row r="821" spans="1:10" x14ac:dyDescent="0.25">
      <c r="A821" s="109" t="s">
        <v>876</v>
      </c>
      <c r="B821" s="112">
        <v>45729</v>
      </c>
      <c r="C821" s="109" t="s">
        <v>30</v>
      </c>
      <c r="D821" s="109" t="s">
        <v>35</v>
      </c>
      <c r="E821" s="109" t="s">
        <v>27</v>
      </c>
      <c r="F821" s="109" t="s">
        <v>28</v>
      </c>
      <c r="G821" s="109" t="s">
        <v>15</v>
      </c>
      <c r="H821" s="110">
        <v>232.59</v>
      </c>
      <c r="I821" s="109">
        <v>18</v>
      </c>
      <c r="J821" s="110">
        <v>4186.62</v>
      </c>
    </row>
    <row r="822" spans="1:10" x14ac:dyDescent="0.25">
      <c r="A822" s="109" t="s">
        <v>877</v>
      </c>
      <c r="B822" s="112">
        <v>45696</v>
      </c>
      <c r="C822" s="109" t="s">
        <v>25</v>
      </c>
      <c r="D822" s="109" t="s">
        <v>12</v>
      </c>
      <c r="E822" s="109" t="s">
        <v>45</v>
      </c>
      <c r="F822" s="109" t="s">
        <v>39</v>
      </c>
      <c r="G822" s="109" t="s">
        <v>20</v>
      </c>
      <c r="H822" s="110">
        <v>221.38</v>
      </c>
      <c r="I822" s="109">
        <v>1</v>
      </c>
      <c r="J822" s="110">
        <v>221.38</v>
      </c>
    </row>
    <row r="823" spans="1:10" x14ac:dyDescent="0.25">
      <c r="A823" s="109" t="s">
        <v>878</v>
      </c>
      <c r="B823" s="112">
        <v>45954</v>
      </c>
      <c r="C823" s="109" t="s">
        <v>25</v>
      </c>
      <c r="D823" s="109" t="s">
        <v>26</v>
      </c>
      <c r="E823" s="109" t="s">
        <v>45</v>
      </c>
      <c r="F823" s="109" t="s">
        <v>42</v>
      </c>
      <c r="G823" s="109" t="s">
        <v>36</v>
      </c>
      <c r="H823" s="110">
        <v>144.13999999999999</v>
      </c>
      <c r="I823" s="109">
        <v>13</v>
      </c>
      <c r="J823" s="110">
        <v>1873.82</v>
      </c>
    </row>
    <row r="824" spans="1:10" x14ac:dyDescent="0.25">
      <c r="A824" s="109" t="s">
        <v>879</v>
      </c>
      <c r="B824" s="112">
        <v>45936</v>
      </c>
      <c r="C824" s="109" t="s">
        <v>38</v>
      </c>
      <c r="D824" s="109" t="s">
        <v>12</v>
      </c>
      <c r="E824" s="109" t="s">
        <v>23</v>
      </c>
      <c r="F824" s="109" t="s">
        <v>32</v>
      </c>
      <c r="G824" s="109" t="s">
        <v>36</v>
      </c>
      <c r="H824" s="110">
        <v>160.08000000000001</v>
      </c>
      <c r="I824" s="109">
        <v>18</v>
      </c>
      <c r="J824" s="110">
        <v>2881.44</v>
      </c>
    </row>
    <row r="825" spans="1:10" x14ac:dyDescent="0.25">
      <c r="A825" s="109" t="s">
        <v>880</v>
      </c>
      <c r="B825" s="112">
        <v>45772</v>
      </c>
      <c r="C825" s="109" t="s">
        <v>17</v>
      </c>
      <c r="D825" s="109" t="s">
        <v>35</v>
      </c>
      <c r="E825" s="109" t="s">
        <v>23</v>
      </c>
      <c r="F825" s="109" t="s">
        <v>61</v>
      </c>
      <c r="G825" s="109" t="s">
        <v>20</v>
      </c>
      <c r="H825" s="110">
        <v>117.78</v>
      </c>
      <c r="I825" s="109">
        <v>19</v>
      </c>
      <c r="J825" s="110">
        <v>2237.8200000000002</v>
      </c>
    </row>
    <row r="826" spans="1:10" x14ac:dyDescent="0.25">
      <c r="A826" s="109" t="s">
        <v>881</v>
      </c>
      <c r="B826" s="112">
        <v>45919</v>
      </c>
      <c r="C826" s="109" t="s">
        <v>38</v>
      </c>
      <c r="D826" s="109" t="s">
        <v>35</v>
      </c>
      <c r="E826" s="109" t="s">
        <v>18</v>
      </c>
      <c r="F826" s="109" t="s">
        <v>19</v>
      </c>
      <c r="G826" s="109" t="s">
        <v>20</v>
      </c>
      <c r="H826" s="110">
        <v>42.05</v>
      </c>
      <c r="I826" s="109">
        <v>3</v>
      </c>
      <c r="J826" s="110">
        <v>126.15</v>
      </c>
    </row>
    <row r="827" spans="1:10" x14ac:dyDescent="0.25">
      <c r="A827" s="109" t="s">
        <v>882</v>
      </c>
      <c r="B827" s="112">
        <v>45780</v>
      </c>
      <c r="C827" s="109" t="s">
        <v>17</v>
      </c>
      <c r="D827" s="109" t="s">
        <v>26</v>
      </c>
      <c r="E827" s="109" t="s">
        <v>18</v>
      </c>
      <c r="F827" s="109" t="s">
        <v>14</v>
      </c>
      <c r="G827" s="109" t="s">
        <v>36</v>
      </c>
      <c r="H827" s="110">
        <v>103.74</v>
      </c>
      <c r="I827" s="109">
        <v>20</v>
      </c>
      <c r="J827" s="110">
        <v>2074.8000000000002</v>
      </c>
    </row>
    <row r="828" spans="1:10" x14ac:dyDescent="0.25">
      <c r="A828" s="109" t="s">
        <v>883</v>
      </c>
      <c r="B828" s="112">
        <v>45739</v>
      </c>
      <c r="C828" s="109" t="s">
        <v>25</v>
      </c>
      <c r="D828" s="109" t="s">
        <v>55</v>
      </c>
      <c r="E828" s="109" t="s">
        <v>27</v>
      </c>
      <c r="F828" s="109" t="s">
        <v>39</v>
      </c>
      <c r="G828" s="109" t="s">
        <v>15</v>
      </c>
      <c r="H828" s="110">
        <v>206.63</v>
      </c>
      <c r="I828" s="109">
        <v>6</v>
      </c>
      <c r="J828" s="110">
        <v>1239.78</v>
      </c>
    </row>
    <row r="829" spans="1:10" x14ac:dyDescent="0.25">
      <c r="A829" s="109" t="s">
        <v>884</v>
      </c>
      <c r="B829" s="112">
        <v>45905</v>
      </c>
      <c r="C829" s="109" t="s">
        <v>11</v>
      </c>
      <c r="D829" s="109" t="s">
        <v>26</v>
      </c>
      <c r="E829" s="109" t="s">
        <v>41</v>
      </c>
      <c r="F829" s="109" t="s">
        <v>14</v>
      </c>
      <c r="G829" s="109" t="s">
        <v>15</v>
      </c>
      <c r="H829" s="110">
        <v>31.02</v>
      </c>
      <c r="I829" s="109">
        <v>12</v>
      </c>
      <c r="J829" s="110">
        <v>372.24</v>
      </c>
    </row>
    <row r="830" spans="1:10" x14ac:dyDescent="0.25">
      <c r="A830" s="109" t="s">
        <v>885</v>
      </c>
      <c r="B830" s="112">
        <v>45793</v>
      </c>
      <c r="C830" s="109" t="s">
        <v>30</v>
      </c>
      <c r="D830" s="109" t="s">
        <v>22</v>
      </c>
      <c r="E830" s="109" t="s">
        <v>27</v>
      </c>
      <c r="F830" s="109" t="s">
        <v>14</v>
      </c>
      <c r="G830" s="109" t="s">
        <v>20</v>
      </c>
      <c r="H830" s="110">
        <v>103.37</v>
      </c>
      <c r="I830" s="109">
        <v>12</v>
      </c>
      <c r="J830" s="110">
        <v>1240.44</v>
      </c>
    </row>
    <row r="831" spans="1:10" x14ac:dyDescent="0.25">
      <c r="A831" s="109" t="s">
        <v>886</v>
      </c>
      <c r="B831" s="112">
        <v>45842</v>
      </c>
      <c r="C831" s="109" t="s">
        <v>38</v>
      </c>
      <c r="D831" s="109" t="s">
        <v>31</v>
      </c>
      <c r="E831" s="109" t="s">
        <v>45</v>
      </c>
      <c r="F831" s="109" t="s">
        <v>19</v>
      </c>
      <c r="G831" s="109" t="s">
        <v>20</v>
      </c>
      <c r="H831" s="110">
        <v>117.6</v>
      </c>
      <c r="I831" s="109">
        <v>13</v>
      </c>
      <c r="J831" s="110">
        <v>1528.8</v>
      </c>
    </row>
    <row r="832" spans="1:10" x14ac:dyDescent="0.25">
      <c r="A832" s="109" t="s">
        <v>887</v>
      </c>
      <c r="B832" s="112">
        <v>45823</v>
      </c>
      <c r="C832" s="109" t="s">
        <v>17</v>
      </c>
      <c r="D832" s="109" t="s">
        <v>55</v>
      </c>
      <c r="E832" s="109" t="s">
        <v>27</v>
      </c>
      <c r="F832" s="109" t="s">
        <v>39</v>
      </c>
      <c r="G832" s="109" t="s">
        <v>36</v>
      </c>
      <c r="H832" s="110">
        <v>148.22999999999999</v>
      </c>
      <c r="I832" s="109">
        <v>4</v>
      </c>
      <c r="J832" s="110">
        <v>592.91999999999996</v>
      </c>
    </row>
    <row r="833" spans="1:10" x14ac:dyDescent="0.25">
      <c r="A833" s="109" t="s">
        <v>888</v>
      </c>
      <c r="B833" s="112">
        <v>45792</v>
      </c>
      <c r="C833" s="109" t="s">
        <v>25</v>
      </c>
      <c r="D833" s="109" t="s">
        <v>55</v>
      </c>
      <c r="E833" s="109" t="s">
        <v>23</v>
      </c>
      <c r="F833" s="109" t="s">
        <v>61</v>
      </c>
      <c r="G833" s="109" t="s">
        <v>20</v>
      </c>
      <c r="H833" s="110">
        <v>232.37</v>
      </c>
      <c r="I833" s="109">
        <v>19</v>
      </c>
      <c r="J833" s="110">
        <v>4415.03</v>
      </c>
    </row>
    <row r="834" spans="1:10" x14ac:dyDescent="0.25">
      <c r="A834" s="109" t="s">
        <v>889</v>
      </c>
      <c r="B834" s="112">
        <v>45851</v>
      </c>
      <c r="C834" s="109" t="s">
        <v>25</v>
      </c>
      <c r="D834" s="109" t="s">
        <v>12</v>
      </c>
      <c r="E834" s="109" t="s">
        <v>45</v>
      </c>
      <c r="F834" s="109" t="s">
        <v>42</v>
      </c>
      <c r="G834" s="109" t="s">
        <v>36</v>
      </c>
      <c r="H834" s="110">
        <v>106.2</v>
      </c>
      <c r="I834" s="109">
        <v>12</v>
      </c>
      <c r="J834" s="110">
        <v>1274.4000000000001</v>
      </c>
    </row>
    <row r="835" spans="1:10" x14ac:dyDescent="0.25">
      <c r="A835" s="109" t="s">
        <v>890</v>
      </c>
      <c r="B835" s="112">
        <v>45850</v>
      </c>
      <c r="C835" s="109" t="s">
        <v>25</v>
      </c>
      <c r="D835" s="109" t="s">
        <v>31</v>
      </c>
      <c r="E835" s="109" t="s">
        <v>13</v>
      </c>
      <c r="F835" s="109" t="s">
        <v>39</v>
      </c>
      <c r="G835" s="109" t="s">
        <v>36</v>
      </c>
      <c r="H835" s="110">
        <v>106.33</v>
      </c>
      <c r="I835" s="109">
        <v>8</v>
      </c>
      <c r="J835" s="110">
        <v>850.64</v>
      </c>
    </row>
    <row r="836" spans="1:10" x14ac:dyDescent="0.25">
      <c r="A836" s="109" t="s">
        <v>891</v>
      </c>
      <c r="B836" s="112">
        <v>45907</v>
      </c>
      <c r="C836" s="109" t="s">
        <v>25</v>
      </c>
      <c r="D836" s="109" t="s">
        <v>22</v>
      </c>
      <c r="E836" s="109" t="s">
        <v>18</v>
      </c>
      <c r="F836" s="109" t="s">
        <v>14</v>
      </c>
      <c r="G836" s="109" t="s">
        <v>36</v>
      </c>
      <c r="H836" s="110">
        <v>192.25</v>
      </c>
      <c r="I836" s="109">
        <v>16</v>
      </c>
      <c r="J836" s="110">
        <v>3076</v>
      </c>
    </row>
    <row r="837" spans="1:10" x14ac:dyDescent="0.25">
      <c r="A837" s="109" t="s">
        <v>892</v>
      </c>
      <c r="B837" s="112">
        <v>45742</v>
      </c>
      <c r="C837" s="109" t="s">
        <v>11</v>
      </c>
      <c r="D837" s="109" t="s">
        <v>55</v>
      </c>
      <c r="E837" s="109" t="s">
        <v>27</v>
      </c>
      <c r="F837" s="109" t="s">
        <v>32</v>
      </c>
      <c r="G837" s="109" t="s">
        <v>15</v>
      </c>
      <c r="H837" s="110">
        <v>129.49</v>
      </c>
      <c r="I837" s="109">
        <v>8</v>
      </c>
      <c r="J837" s="110">
        <v>1035.92</v>
      </c>
    </row>
    <row r="838" spans="1:10" x14ac:dyDescent="0.25">
      <c r="A838" s="109" t="s">
        <v>893</v>
      </c>
      <c r="B838" s="112">
        <v>45734</v>
      </c>
      <c r="C838" s="109" t="s">
        <v>30</v>
      </c>
      <c r="D838" s="109" t="s">
        <v>35</v>
      </c>
      <c r="E838" s="109" t="s">
        <v>18</v>
      </c>
      <c r="F838" s="109" t="s">
        <v>28</v>
      </c>
      <c r="G838" s="109" t="s">
        <v>15</v>
      </c>
      <c r="H838" s="110">
        <v>79.41</v>
      </c>
      <c r="I838" s="109">
        <v>6</v>
      </c>
      <c r="J838" s="110">
        <v>476.46</v>
      </c>
    </row>
    <row r="839" spans="1:10" x14ac:dyDescent="0.25">
      <c r="A839" s="109" t="s">
        <v>894</v>
      </c>
      <c r="B839" s="112">
        <v>45996</v>
      </c>
      <c r="C839" s="109" t="s">
        <v>38</v>
      </c>
      <c r="D839" s="109" t="s">
        <v>35</v>
      </c>
      <c r="E839" s="109" t="s">
        <v>27</v>
      </c>
      <c r="F839" s="109" t="s">
        <v>19</v>
      </c>
      <c r="G839" s="109" t="s">
        <v>36</v>
      </c>
      <c r="H839" s="110">
        <v>129.54</v>
      </c>
      <c r="I839" s="109">
        <v>8</v>
      </c>
      <c r="J839" s="110">
        <v>1036.32</v>
      </c>
    </row>
    <row r="840" spans="1:10" x14ac:dyDescent="0.25">
      <c r="A840" s="109" t="s">
        <v>895</v>
      </c>
      <c r="B840" s="112">
        <v>46003</v>
      </c>
      <c r="C840" s="109" t="s">
        <v>38</v>
      </c>
      <c r="D840" s="109" t="s">
        <v>26</v>
      </c>
      <c r="E840" s="109" t="s">
        <v>18</v>
      </c>
      <c r="F840" s="109" t="s">
        <v>14</v>
      </c>
      <c r="G840" s="109" t="s">
        <v>20</v>
      </c>
      <c r="H840" s="110">
        <v>60.99</v>
      </c>
      <c r="I840" s="109">
        <v>16</v>
      </c>
      <c r="J840" s="110">
        <v>975.84</v>
      </c>
    </row>
    <row r="841" spans="1:10" x14ac:dyDescent="0.25">
      <c r="A841" s="109" t="s">
        <v>896</v>
      </c>
      <c r="B841" s="112">
        <v>45868</v>
      </c>
      <c r="C841" s="109" t="s">
        <v>30</v>
      </c>
      <c r="D841" s="109" t="s">
        <v>22</v>
      </c>
      <c r="E841" s="109" t="s">
        <v>23</v>
      </c>
      <c r="F841" s="109" t="s">
        <v>42</v>
      </c>
      <c r="G841" s="109" t="s">
        <v>20</v>
      </c>
      <c r="H841" s="110">
        <v>68.81</v>
      </c>
      <c r="I841" s="109">
        <v>1</v>
      </c>
      <c r="J841" s="110">
        <v>68.81</v>
      </c>
    </row>
    <row r="842" spans="1:10" x14ac:dyDescent="0.25">
      <c r="A842" s="109" t="s">
        <v>897</v>
      </c>
      <c r="B842" s="112">
        <v>45740</v>
      </c>
      <c r="C842" s="109" t="s">
        <v>17</v>
      </c>
      <c r="D842" s="109" t="s">
        <v>55</v>
      </c>
      <c r="E842" s="109" t="s">
        <v>45</v>
      </c>
      <c r="F842" s="109" t="s">
        <v>42</v>
      </c>
      <c r="G842" s="109" t="s">
        <v>15</v>
      </c>
      <c r="H842" s="110">
        <v>139.63999999999999</v>
      </c>
      <c r="I842" s="109">
        <v>5</v>
      </c>
      <c r="J842" s="110">
        <v>698.2</v>
      </c>
    </row>
    <row r="843" spans="1:10" x14ac:dyDescent="0.25">
      <c r="A843" s="109" t="s">
        <v>898</v>
      </c>
      <c r="B843" s="112">
        <v>45686</v>
      </c>
      <c r="C843" s="109" t="s">
        <v>34</v>
      </c>
      <c r="D843" s="109" t="s">
        <v>26</v>
      </c>
      <c r="E843" s="109" t="s">
        <v>18</v>
      </c>
      <c r="F843" s="109" t="s">
        <v>61</v>
      </c>
      <c r="G843" s="109" t="s">
        <v>20</v>
      </c>
      <c r="H843" s="110">
        <v>122.16</v>
      </c>
      <c r="I843" s="109">
        <v>6</v>
      </c>
      <c r="J843" s="110">
        <v>732.96</v>
      </c>
    </row>
    <row r="844" spans="1:10" x14ac:dyDescent="0.25">
      <c r="A844" s="109" t="s">
        <v>899</v>
      </c>
      <c r="B844" s="112">
        <v>45946</v>
      </c>
      <c r="C844" s="109" t="s">
        <v>17</v>
      </c>
      <c r="D844" s="109" t="s">
        <v>12</v>
      </c>
      <c r="E844" s="109" t="s">
        <v>27</v>
      </c>
      <c r="F844" s="109" t="s">
        <v>39</v>
      </c>
      <c r="G844" s="109" t="s">
        <v>36</v>
      </c>
      <c r="H844" s="110">
        <v>231.27</v>
      </c>
      <c r="I844" s="109">
        <v>1</v>
      </c>
      <c r="J844" s="110">
        <v>231.27</v>
      </c>
    </row>
    <row r="845" spans="1:10" x14ac:dyDescent="0.25">
      <c r="A845" s="109" t="s">
        <v>900</v>
      </c>
      <c r="B845" s="112">
        <v>45701</v>
      </c>
      <c r="C845" s="109" t="s">
        <v>38</v>
      </c>
      <c r="D845" s="109" t="s">
        <v>55</v>
      </c>
      <c r="E845" s="109" t="s">
        <v>41</v>
      </c>
      <c r="F845" s="109" t="s">
        <v>39</v>
      </c>
      <c r="G845" s="109" t="s">
        <v>36</v>
      </c>
      <c r="H845" s="110">
        <v>109.73</v>
      </c>
      <c r="I845" s="109">
        <v>7</v>
      </c>
      <c r="J845" s="110">
        <v>768.11</v>
      </c>
    </row>
    <row r="846" spans="1:10" x14ac:dyDescent="0.25">
      <c r="A846" s="109" t="s">
        <v>901</v>
      </c>
      <c r="B846" s="112">
        <v>45745</v>
      </c>
      <c r="C846" s="109" t="s">
        <v>38</v>
      </c>
      <c r="D846" s="109" t="s">
        <v>55</v>
      </c>
      <c r="E846" s="109" t="s">
        <v>23</v>
      </c>
      <c r="F846" s="109" t="s">
        <v>39</v>
      </c>
      <c r="G846" s="109" t="s">
        <v>20</v>
      </c>
      <c r="H846" s="110">
        <v>157.72999999999999</v>
      </c>
      <c r="I846" s="109">
        <v>8</v>
      </c>
      <c r="J846" s="110">
        <v>1261.8399999999999</v>
      </c>
    </row>
    <row r="847" spans="1:10" x14ac:dyDescent="0.25">
      <c r="A847" s="109" t="s">
        <v>902</v>
      </c>
      <c r="B847" s="112">
        <v>45751</v>
      </c>
      <c r="C847" s="109" t="s">
        <v>17</v>
      </c>
      <c r="D847" s="109" t="s">
        <v>55</v>
      </c>
      <c r="E847" s="109" t="s">
        <v>13</v>
      </c>
      <c r="F847" s="109" t="s">
        <v>14</v>
      </c>
      <c r="G847" s="109" t="s">
        <v>20</v>
      </c>
      <c r="H847" s="110">
        <v>169.1</v>
      </c>
      <c r="I847" s="109">
        <v>20</v>
      </c>
      <c r="J847" s="110">
        <v>3382</v>
      </c>
    </row>
    <row r="848" spans="1:10" x14ac:dyDescent="0.25">
      <c r="A848" s="109" t="s">
        <v>903</v>
      </c>
      <c r="B848" s="112">
        <v>46009</v>
      </c>
      <c r="C848" s="109" t="s">
        <v>38</v>
      </c>
      <c r="D848" s="109" t="s">
        <v>55</v>
      </c>
      <c r="E848" s="109" t="s">
        <v>18</v>
      </c>
      <c r="F848" s="109" t="s">
        <v>19</v>
      </c>
      <c r="G848" s="109" t="s">
        <v>15</v>
      </c>
      <c r="H848" s="110">
        <v>32.880000000000003</v>
      </c>
      <c r="I848" s="109">
        <v>11</v>
      </c>
      <c r="J848" s="110">
        <v>361.68</v>
      </c>
    </row>
    <row r="849" spans="1:10" x14ac:dyDescent="0.25">
      <c r="A849" s="109" t="s">
        <v>904</v>
      </c>
      <c r="B849" s="112">
        <v>45851</v>
      </c>
      <c r="C849" s="109" t="s">
        <v>30</v>
      </c>
      <c r="D849" s="109" t="s">
        <v>22</v>
      </c>
      <c r="E849" s="109" t="s">
        <v>45</v>
      </c>
      <c r="F849" s="109" t="s">
        <v>14</v>
      </c>
      <c r="G849" s="109" t="s">
        <v>20</v>
      </c>
      <c r="H849" s="110">
        <v>175.98</v>
      </c>
      <c r="I849" s="109">
        <v>13</v>
      </c>
      <c r="J849" s="110">
        <v>2287.7399999999998</v>
      </c>
    </row>
    <row r="850" spans="1:10" x14ac:dyDescent="0.25">
      <c r="A850" s="109" t="s">
        <v>905</v>
      </c>
      <c r="B850" s="112">
        <v>45916</v>
      </c>
      <c r="C850" s="109" t="s">
        <v>30</v>
      </c>
      <c r="D850" s="109" t="s">
        <v>55</v>
      </c>
      <c r="E850" s="109" t="s">
        <v>45</v>
      </c>
      <c r="F850" s="109" t="s">
        <v>14</v>
      </c>
      <c r="G850" s="109" t="s">
        <v>36</v>
      </c>
      <c r="H850" s="110">
        <v>69.17</v>
      </c>
      <c r="I850" s="109">
        <v>14</v>
      </c>
      <c r="J850" s="110">
        <v>968.38</v>
      </c>
    </row>
    <row r="851" spans="1:10" x14ac:dyDescent="0.25">
      <c r="A851" s="109" t="s">
        <v>906</v>
      </c>
      <c r="B851" s="112">
        <v>45972</v>
      </c>
      <c r="C851" s="109" t="s">
        <v>11</v>
      </c>
      <c r="D851" s="109" t="s">
        <v>55</v>
      </c>
      <c r="E851" s="109" t="s">
        <v>18</v>
      </c>
      <c r="F851" s="109" t="s">
        <v>39</v>
      </c>
      <c r="G851" s="109" t="s">
        <v>15</v>
      </c>
      <c r="H851" s="110">
        <v>241.44</v>
      </c>
      <c r="I851" s="109">
        <v>20</v>
      </c>
      <c r="J851" s="110">
        <v>4828.8</v>
      </c>
    </row>
    <row r="852" spans="1:10" x14ac:dyDescent="0.25">
      <c r="A852" s="109" t="s">
        <v>907</v>
      </c>
      <c r="B852" s="112">
        <v>45705</v>
      </c>
      <c r="C852" s="109" t="s">
        <v>17</v>
      </c>
      <c r="D852" s="109" t="s">
        <v>26</v>
      </c>
      <c r="E852" s="109" t="s">
        <v>18</v>
      </c>
      <c r="F852" s="109" t="s">
        <v>42</v>
      </c>
      <c r="G852" s="109" t="s">
        <v>15</v>
      </c>
      <c r="H852" s="110">
        <v>62.71</v>
      </c>
      <c r="I852" s="109">
        <v>16</v>
      </c>
      <c r="J852" s="110">
        <v>1003.36</v>
      </c>
    </row>
    <row r="853" spans="1:10" x14ac:dyDescent="0.25">
      <c r="A853" s="109" t="s">
        <v>908</v>
      </c>
      <c r="B853" s="112">
        <v>46005</v>
      </c>
      <c r="C853" s="109" t="s">
        <v>25</v>
      </c>
      <c r="D853" s="109" t="s">
        <v>31</v>
      </c>
      <c r="E853" s="109" t="s">
        <v>13</v>
      </c>
      <c r="F853" s="109" t="s">
        <v>39</v>
      </c>
      <c r="G853" s="109" t="s">
        <v>15</v>
      </c>
      <c r="H853" s="110">
        <v>121.22</v>
      </c>
      <c r="I853" s="109">
        <v>14</v>
      </c>
      <c r="J853" s="110">
        <v>1697.08</v>
      </c>
    </row>
    <row r="854" spans="1:10" x14ac:dyDescent="0.25">
      <c r="A854" s="109" t="s">
        <v>909</v>
      </c>
      <c r="B854" s="112">
        <v>46015</v>
      </c>
      <c r="C854" s="109" t="s">
        <v>38</v>
      </c>
      <c r="D854" s="109" t="s">
        <v>26</v>
      </c>
      <c r="E854" s="109" t="s">
        <v>41</v>
      </c>
      <c r="F854" s="109" t="s">
        <v>39</v>
      </c>
      <c r="G854" s="109" t="s">
        <v>36</v>
      </c>
      <c r="H854" s="110">
        <v>48.78</v>
      </c>
      <c r="I854" s="109">
        <v>17</v>
      </c>
      <c r="J854" s="110">
        <v>829.26</v>
      </c>
    </row>
    <row r="855" spans="1:10" x14ac:dyDescent="0.25">
      <c r="A855" s="109" t="s">
        <v>910</v>
      </c>
      <c r="B855" s="112">
        <v>45837</v>
      </c>
      <c r="C855" s="109" t="s">
        <v>17</v>
      </c>
      <c r="D855" s="109" t="s">
        <v>12</v>
      </c>
      <c r="E855" s="109" t="s">
        <v>18</v>
      </c>
      <c r="F855" s="109" t="s">
        <v>19</v>
      </c>
      <c r="G855" s="109" t="s">
        <v>36</v>
      </c>
      <c r="H855" s="110">
        <v>249.31</v>
      </c>
      <c r="I855" s="109">
        <v>19</v>
      </c>
      <c r="J855" s="110">
        <v>4736.8900000000003</v>
      </c>
    </row>
    <row r="856" spans="1:10" x14ac:dyDescent="0.25">
      <c r="A856" s="109" t="s">
        <v>911</v>
      </c>
      <c r="B856" s="112">
        <v>45726</v>
      </c>
      <c r="C856" s="109" t="s">
        <v>38</v>
      </c>
      <c r="D856" s="109" t="s">
        <v>26</v>
      </c>
      <c r="E856" s="109" t="s">
        <v>45</v>
      </c>
      <c r="F856" s="109" t="s">
        <v>32</v>
      </c>
      <c r="G856" s="109" t="s">
        <v>20</v>
      </c>
      <c r="H856" s="110">
        <v>140.47999999999999</v>
      </c>
      <c r="I856" s="109">
        <v>9</v>
      </c>
      <c r="J856" s="110">
        <v>1264.32</v>
      </c>
    </row>
    <row r="857" spans="1:10" x14ac:dyDescent="0.25">
      <c r="A857" s="109" t="s">
        <v>912</v>
      </c>
      <c r="B857" s="112">
        <v>45936</v>
      </c>
      <c r="C857" s="109" t="s">
        <v>34</v>
      </c>
      <c r="D857" s="109" t="s">
        <v>26</v>
      </c>
      <c r="E857" s="109" t="s">
        <v>45</v>
      </c>
      <c r="F857" s="109" t="s">
        <v>28</v>
      </c>
      <c r="G857" s="109" t="s">
        <v>20</v>
      </c>
      <c r="H857" s="110">
        <v>160.97999999999999</v>
      </c>
      <c r="I857" s="109">
        <v>14</v>
      </c>
      <c r="J857" s="110">
        <v>2253.7199999999998</v>
      </c>
    </row>
    <row r="858" spans="1:10" x14ac:dyDescent="0.25">
      <c r="A858" s="109" t="s">
        <v>913</v>
      </c>
      <c r="B858" s="112">
        <v>45661</v>
      </c>
      <c r="C858" s="109" t="s">
        <v>25</v>
      </c>
      <c r="D858" s="109" t="s">
        <v>22</v>
      </c>
      <c r="E858" s="109" t="s">
        <v>18</v>
      </c>
      <c r="F858" s="109" t="s">
        <v>19</v>
      </c>
      <c r="G858" s="109" t="s">
        <v>36</v>
      </c>
      <c r="H858" s="110">
        <v>44.76</v>
      </c>
      <c r="I858" s="109">
        <v>19</v>
      </c>
      <c r="J858" s="110">
        <v>850.44</v>
      </c>
    </row>
    <row r="859" spans="1:10" x14ac:dyDescent="0.25">
      <c r="A859" s="109" t="s">
        <v>914</v>
      </c>
      <c r="B859" s="112">
        <v>45993</v>
      </c>
      <c r="C859" s="109" t="s">
        <v>17</v>
      </c>
      <c r="D859" s="109" t="s">
        <v>35</v>
      </c>
      <c r="E859" s="109" t="s">
        <v>41</v>
      </c>
      <c r="F859" s="109" t="s">
        <v>32</v>
      </c>
      <c r="G859" s="109" t="s">
        <v>15</v>
      </c>
      <c r="H859" s="110">
        <v>194.99</v>
      </c>
      <c r="I859" s="109">
        <v>7</v>
      </c>
      <c r="J859" s="110">
        <v>1364.93</v>
      </c>
    </row>
    <row r="860" spans="1:10" x14ac:dyDescent="0.25">
      <c r="A860" s="109" t="s">
        <v>915</v>
      </c>
      <c r="B860" s="112">
        <v>45737</v>
      </c>
      <c r="C860" s="109" t="s">
        <v>17</v>
      </c>
      <c r="D860" s="109" t="s">
        <v>55</v>
      </c>
      <c r="E860" s="109" t="s">
        <v>13</v>
      </c>
      <c r="F860" s="109" t="s">
        <v>32</v>
      </c>
      <c r="G860" s="109" t="s">
        <v>20</v>
      </c>
      <c r="H860" s="110">
        <v>76.180000000000007</v>
      </c>
      <c r="I860" s="109">
        <v>14</v>
      </c>
      <c r="J860" s="110">
        <v>1066.52</v>
      </c>
    </row>
    <row r="861" spans="1:10" x14ac:dyDescent="0.25">
      <c r="A861" s="109" t="s">
        <v>916</v>
      </c>
      <c r="B861" s="112">
        <v>45874</v>
      </c>
      <c r="C861" s="109" t="s">
        <v>34</v>
      </c>
      <c r="D861" s="109" t="s">
        <v>55</v>
      </c>
      <c r="E861" s="109" t="s">
        <v>13</v>
      </c>
      <c r="F861" s="109" t="s">
        <v>28</v>
      </c>
      <c r="G861" s="109" t="s">
        <v>36</v>
      </c>
      <c r="H861" s="110">
        <v>227.57</v>
      </c>
      <c r="I861" s="109">
        <v>19</v>
      </c>
      <c r="J861" s="110">
        <v>4323.83</v>
      </c>
    </row>
    <row r="862" spans="1:10" x14ac:dyDescent="0.25">
      <c r="A862" s="109" t="s">
        <v>917</v>
      </c>
      <c r="B862" s="112">
        <v>45762</v>
      </c>
      <c r="C862" s="109" t="s">
        <v>25</v>
      </c>
      <c r="D862" s="109" t="s">
        <v>55</v>
      </c>
      <c r="E862" s="109" t="s">
        <v>41</v>
      </c>
      <c r="F862" s="109" t="s">
        <v>14</v>
      </c>
      <c r="G862" s="109" t="s">
        <v>36</v>
      </c>
      <c r="H862" s="110">
        <v>75.13</v>
      </c>
      <c r="I862" s="109">
        <v>14</v>
      </c>
      <c r="J862" s="110">
        <v>1051.82</v>
      </c>
    </row>
    <row r="863" spans="1:10" x14ac:dyDescent="0.25">
      <c r="A863" s="109" t="s">
        <v>918</v>
      </c>
      <c r="B863" s="112">
        <v>45944</v>
      </c>
      <c r="C863" s="109" t="s">
        <v>38</v>
      </c>
      <c r="D863" s="109" t="s">
        <v>35</v>
      </c>
      <c r="E863" s="109" t="s">
        <v>13</v>
      </c>
      <c r="F863" s="109" t="s">
        <v>42</v>
      </c>
      <c r="G863" s="109" t="s">
        <v>36</v>
      </c>
      <c r="H863" s="110">
        <v>71.95</v>
      </c>
      <c r="I863" s="109">
        <v>18</v>
      </c>
      <c r="J863" s="110">
        <v>1295.0999999999999</v>
      </c>
    </row>
    <row r="864" spans="1:10" x14ac:dyDescent="0.25">
      <c r="A864" s="109" t="s">
        <v>919</v>
      </c>
      <c r="B864" s="112">
        <v>46019</v>
      </c>
      <c r="C864" s="109" t="s">
        <v>17</v>
      </c>
      <c r="D864" s="109" t="s">
        <v>26</v>
      </c>
      <c r="E864" s="109" t="s">
        <v>27</v>
      </c>
      <c r="F864" s="109" t="s">
        <v>19</v>
      </c>
      <c r="G864" s="109" t="s">
        <v>20</v>
      </c>
      <c r="H864" s="110">
        <v>38.04</v>
      </c>
      <c r="I864" s="109">
        <v>13</v>
      </c>
      <c r="J864" s="110">
        <v>494.52</v>
      </c>
    </row>
    <row r="865" spans="1:10" x14ac:dyDescent="0.25">
      <c r="A865" s="109" t="s">
        <v>920</v>
      </c>
      <c r="B865" s="112">
        <v>45775</v>
      </c>
      <c r="C865" s="109" t="s">
        <v>17</v>
      </c>
      <c r="D865" s="109" t="s">
        <v>26</v>
      </c>
      <c r="E865" s="109" t="s">
        <v>45</v>
      </c>
      <c r="F865" s="109" t="s">
        <v>14</v>
      </c>
      <c r="G865" s="109" t="s">
        <v>20</v>
      </c>
      <c r="H865" s="110">
        <v>133.85</v>
      </c>
      <c r="I865" s="109">
        <v>15</v>
      </c>
      <c r="J865" s="110">
        <v>2007.75</v>
      </c>
    </row>
    <row r="866" spans="1:10" x14ac:dyDescent="0.25">
      <c r="A866" s="109" t="s">
        <v>921</v>
      </c>
      <c r="B866" s="112">
        <v>45863</v>
      </c>
      <c r="C866" s="109" t="s">
        <v>25</v>
      </c>
      <c r="D866" s="109" t="s">
        <v>55</v>
      </c>
      <c r="E866" s="109" t="s">
        <v>27</v>
      </c>
      <c r="F866" s="109" t="s">
        <v>28</v>
      </c>
      <c r="G866" s="109" t="s">
        <v>20</v>
      </c>
      <c r="H866" s="110">
        <v>154.27000000000001</v>
      </c>
      <c r="I866" s="109">
        <v>11</v>
      </c>
      <c r="J866" s="110">
        <v>1696.97</v>
      </c>
    </row>
    <row r="867" spans="1:10" x14ac:dyDescent="0.25">
      <c r="A867" s="109" t="s">
        <v>922</v>
      </c>
      <c r="B867" s="112">
        <v>45684</v>
      </c>
      <c r="C867" s="109" t="s">
        <v>38</v>
      </c>
      <c r="D867" s="109" t="s">
        <v>12</v>
      </c>
      <c r="E867" s="109" t="s">
        <v>45</v>
      </c>
      <c r="F867" s="109" t="s">
        <v>39</v>
      </c>
      <c r="G867" s="109" t="s">
        <v>15</v>
      </c>
      <c r="H867" s="110">
        <v>44.46</v>
      </c>
      <c r="I867" s="109">
        <v>6</v>
      </c>
      <c r="J867" s="110">
        <v>266.76</v>
      </c>
    </row>
    <row r="868" spans="1:10" x14ac:dyDescent="0.25">
      <c r="A868" s="109" t="s">
        <v>923</v>
      </c>
      <c r="B868" s="112">
        <v>45732</v>
      </c>
      <c r="C868" s="109" t="s">
        <v>25</v>
      </c>
      <c r="D868" s="109" t="s">
        <v>31</v>
      </c>
      <c r="E868" s="109" t="s">
        <v>45</v>
      </c>
      <c r="F868" s="109" t="s">
        <v>19</v>
      </c>
      <c r="G868" s="109" t="s">
        <v>36</v>
      </c>
      <c r="H868" s="110">
        <v>200.62</v>
      </c>
      <c r="I868" s="109">
        <v>16</v>
      </c>
      <c r="J868" s="110">
        <v>3209.92</v>
      </c>
    </row>
    <row r="869" spans="1:10" x14ac:dyDescent="0.25">
      <c r="A869" s="109" t="s">
        <v>924</v>
      </c>
      <c r="B869" s="112">
        <v>45771</v>
      </c>
      <c r="C869" s="109" t="s">
        <v>11</v>
      </c>
      <c r="D869" s="109" t="s">
        <v>55</v>
      </c>
      <c r="E869" s="109" t="s">
        <v>45</v>
      </c>
      <c r="F869" s="109" t="s">
        <v>28</v>
      </c>
      <c r="G869" s="109" t="s">
        <v>36</v>
      </c>
      <c r="H869" s="110">
        <v>129.72</v>
      </c>
      <c r="I869" s="109">
        <v>12</v>
      </c>
      <c r="J869" s="110">
        <v>1556.64</v>
      </c>
    </row>
    <row r="870" spans="1:10" x14ac:dyDescent="0.25">
      <c r="A870" s="109" t="s">
        <v>925</v>
      </c>
      <c r="B870" s="112">
        <v>45863</v>
      </c>
      <c r="C870" s="109" t="s">
        <v>17</v>
      </c>
      <c r="D870" s="109" t="s">
        <v>55</v>
      </c>
      <c r="E870" s="109" t="s">
        <v>13</v>
      </c>
      <c r="F870" s="109" t="s">
        <v>28</v>
      </c>
      <c r="G870" s="109" t="s">
        <v>20</v>
      </c>
      <c r="H870" s="110">
        <v>145.37</v>
      </c>
      <c r="I870" s="109">
        <v>20</v>
      </c>
      <c r="J870" s="110">
        <v>2907.4</v>
      </c>
    </row>
    <row r="871" spans="1:10" x14ac:dyDescent="0.25">
      <c r="A871" s="109" t="s">
        <v>926</v>
      </c>
      <c r="B871" s="112">
        <v>45687</v>
      </c>
      <c r="C871" s="109" t="s">
        <v>17</v>
      </c>
      <c r="D871" s="109" t="s">
        <v>31</v>
      </c>
      <c r="E871" s="109" t="s">
        <v>41</v>
      </c>
      <c r="F871" s="109" t="s">
        <v>19</v>
      </c>
      <c r="G871" s="109" t="s">
        <v>15</v>
      </c>
      <c r="H871" s="110">
        <v>126.97</v>
      </c>
      <c r="I871" s="109">
        <v>6</v>
      </c>
      <c r="J871" s="110">
        <v>761.82</v>
      </c>
    </row>
    <row r="872" spans="1:10" x14ac:dyDescent="0.25">
      <c r="A872" s="109" t="s">
        <v>927</v>
      </c>
      <c r="B872" s="112">
        <v>45994</v>
      </c>
      <c r="C872" s="109" t="s">
        <v>34</v>
      </c>
      <c r="D872" s="109" t="s">
        <v>26</v>
      </c>
      <c r="E872" s="109" t="s">
        <v>45</v>
      </c>
      <c r="F872" s="109" t="s">
        <v>39</v>
      </c>
      <c r="G872" s="109" t="s">
        <v>20</v>
      </c>
      <c r="H872" s="110">
        <v>118.17</v>
      </c>
      <c r="I872" s="109">
        <v>17</v>
      </c>
      <c r="J872" s="110">
        <v>2008.89</v>
      </c>
    </row>
    <row r="873" spans="1:10" x14ac:dyDescent="0.25">
      <c r="A873" s="109" t="s">
        <v>928</v>
      </c>
      <c r="B873" s="112">
        <v>45919</v>
      </c>
      <c r="C873" s="109" t="s">
        <v>17</v>
      </c>
      <c r="D873" s="109" t="s">
        <v>26</v>
      </c>
      <c r="E873" s="109" t="s">
        <v>18</v>
      </c>
      <c r="F873" s="109" t="s">
        <v>14</v>
      </c>
      <c r="G873" s="109" t="s">
        <v>20</v>
      </c>
      <c r="H873" s="110">
        <v>153.12</v>
      </c>
      <c r="I873" s="109">
        <v>17</v>
      </c>
      <c r="J873" s="110">
        <v>2603.04</v>
      </c>
    </row>
    <row r="874" spans="1:10" x14ac:dyDescent="0.25">
      <c r="A874" s="109" t="s">
        <v>929</v>
      </c>
      <c r="B874" s="112">
        <v>45676</v>
      </c>
      <c r="C874" s="109" t="s">
        <v>30</v>
      </c>
      <c r="D874" s="109" t="s">
        <v>12</v>
      </c>
      <c r="E874" s="109" t="s">
        <v>45</v>
      </c>
      <c r="F874" s="109" t="s">
        <v>14</v>
      </c>
      <c r="G874" s="109" t="s">
        <v>15</v>
      </c>
      <c r="H874" s="110">
        <v>64.150000000000006</v>
      </c>
      <c r="I874" s="109">
        <v>12</v>
      </c>
      <c r="J874" s="110">
        <v>769.8</v>
      </c>
    </row>
    <row r="875" spans="1:10" x14ac:dyDescent="0.25">
      <c r="A875" s="109" t="s">
        <v>930</v>
      </c>
      <c r="B875" s="112">
        <v>45799</v>
      </c>
      <c r="C875" s="109" t="s">
        <v>34</v>
      </c>
      <c r="D875" s="109" t="s">
        <v>12</v>
      </c>
      <c r="E875" s="109" t="s">
        <v>41</v>
      </c>
      <c r="F875" s="109" t="s">
        <v>61</v>
      </c>
      <c r="G875" s="109" t="s">
        <v>20</v>
      </c>
      <c r="H875" s="110">
        <v>70.02</v>
      </c>
      <c r="I875" s="109">
        <v>13</v>
      </c>
      <c r="J875" s="110">
        <v>910.26</v>
      </c>
    </row>
    <row r="876" spans="1:10" x14ac:dyDescent="0.25">
      <c r="A876" s="109" t="s">
        <v>931</v>
      </c>
      <c r="B876" s="112">
        <v>45760</v>
      </c>
      <c r="C876" s="109" t="s">
        <v>11</v>
      </c>
      <c r="D876" s="109" t="s">
        <v>12</v>
      </c>
      <c r="E876" s="109" t="s">
        <v>27</v>
      </c>
      <c r="F876" s="109" t="s">
        <v>19</v>
      </c>
      <c r="G876" s="109" t="s">
        <v>15</v>
      </c>
      <c r="H876" s="110">
        <v>219.59</v>
      </c>
      <c r="I876" s="109">
        <v>17</v>
      </c>
      <c r="J876" s="110">
        <v>3733.03</v>
      </c>
    </row>
    <row r="877" spans="1:10" x14ac:dyDescent="0.25">
      <c r="A877" s="109" t="s">
        <v>932</v>
      </c>
      <c r="B877" s="112">
        <v>45939</v>
      </c>
      <c r="C877" s="109" t="s">
        <v>17</v>
      </c>
      <c r="D877" s="109" t="s">
        <v>55</v>
      </c>
      <c r="E877" s="109" t="s">
        <v>18</v>
      </c>
      <c r="F877" s="109" t="s">
        <v>32</v>
      </c>
      <c r="G877" s="109" t="s">
        <v>36</v>
      </c>
      <c r="H877" s="110">
        <v>238.15</v>
      </c>
      <c r="I877" s="109">
        <v>10</v>
      </c>
      <c r="J877" s="110">
        <v>2381.5</v>
      </c>
    </row>
    <row r="878" spans="1:10" x14ac:dyDescent="0.25">
      <c r="A878" s="109" t="s">
        <v>933</v>
      </c>
      <c r="B878" s="112">
        <v>45799</v>
      </c>
      <c r="C878" s="109" t="s">
        <v>25</v>
      </c>
      <c r="D878" s="109" t="s">
        <v>26</v>
      </c>
      <c r="E878" s="109" t="s">
        <v>41</v>
      </c>
      <c r="F878" s="109" t="s">
        <v>61</v>
      </c>
      <c r="G878" s="109" t="s">
        <v>20</v>
      </c>
      <c r="H878" s="110">
        <v>112.13</v>
      </c>
      <c r="I878" s="109">
        <v>8</v>
      </c>
      <c r="J878" s="110">
        <v>897.04</v>
      </c>
    </row>
    <row r="879" spans="1:10" x14ac:dyDescent="0.25">
      <c r="A879" s="109" t="s">
        <v>934</v>
      </c>
      <c r="B879" s="112">
        <v>45660</v>
      </c>
      <c r="C879" s="109" t="s">
        <v>30</v>
      </c>
      <c r="D879" s="109" t="s">
        <v>31</v>
      </c>
      <c r="E879" s="109" t="s">
        <v>18</v>
      </c>
      <c r="F879" s="109" t="s">
        <v>19</v>
      </c>
      <c r="G879" s="109" t="s">
        <v>20</v>
      </c>
      <c r="H879" s="110">
        <v>89.56</v>
      </c>
      <c r="I879" s="109">
        <v>9</v>
      </c>
      <c r="J879" s="110">
        <v>806.04</v>
      </c>
    </row>
    <row r="880" spans="1:10" x14ac:dyDescent="0.25">
      <c r="A880" s="109" t="s">
        <v>935</v>
      </c>
      <c r="B880" s="112">
        <v>45695</v>
      </c>
      <c r="C880" s="109" t="s">
        <v>34</v>
      </c>
      <c r="D880" s="109" t="s">
        <v>35</v>
      </c>
      <c r="E880" s="109" t="s">
        <v>45</v>
      </c>
      <c r="F880" s="109" t="s">
        <v>39</v>
      </c>
      <c r="G880" s="109" t="s">
        <v>20</v>
      </c>
      <c r="H880" s="110">
        <v>171.68</v>
      </c>
      <c r="I880" s="109">
        <v>17</v>
      </c>
      <c r="J880" s="110">
        <v>2918.56</v>
      </c>
    </row>
    <row r="881" spans="1:10" x14ac:dyDescent="0.25">
      <c r="A881" s="109" t="s">
        <v>936</v>
      </c>
      <c r="B881" s="112">
        <v>45789</v>
      </c>
      <c r="C881" s="109" t="s">
        <v>25</v>
      </c>
      <c r="D881" s="109" t="s">
        <v>35</v>
      </c>
      <c r="E881" s="109" t="s">
        <v>27</v>
      </c>
      <c r="F881" s="109" t="s">
        <v>61</v>
      </c>
      <c r="G881" s="109" t="s">
        <v>36</v>
      </c>
      <c r="H881" s="110">
        <v>119.92</v>
      </c>
      <c r="I881" s="109">
        <v>18</v>
      </c>
      <c r="J881" s="110">
        <v>2158.56</v>
      </c>
    </row>
    <row r="882" spans="1:10" x14ac:dyDescent="0.25">
      <c r="A882" s="109" t="s">
        <v>937</v>
      </c>
      <c r="B882" s="112">
        <v>45946</v>
      </c>
      <c r="C882" s="109" t="s">
        <v>30</v>
      </c>
      <c r="D882" s="109" t="s">
        <v>35</v>
      </c>
      <c r="E882" s="109" t="s">
        <v>41</v>
      </c>
      <c r="F882" s="109" t="s">
        <v>28</v>
      </c>
      <c r="G882" s="109" t="s">
        <v>36</v>
      </c>
      <c r="H882" s="110">
        <v>35.58</v>
      </c>
      <c r="I882" s="109">
        <v>16</v>
      </c>
      <c r="J882" s="110">
        <v>569.28</v>
      </c>
    </row>
    <row r="883" spans="1:10" x14ac:dyDescent="0.25">
      <c r="A883" s="109" t="s">
        <v>938</v>
      </c>
      <c r="B883" s="112">
        <v>45958</v>
      </c>
      <c r="C883" s="109" t="s">
        <v>38</v>
      </c>
      <c r="D883" s="109" t="s">
        <v>22</v>
      </c>
      <c r="E883" s="109" t="s">
        <v>13</v>
      </c>
      <c r="F883" s="109" t="s">
        <v>19</v>
      </c>
      <c r="G883" s="109" t="s">
        <v>36</v>
      </c>
      <c r="H883" s="110">
        <v>64.349999999999994</v>
      </c>
      <c r="I883" s="109">
        <v>1</v>
      </c>
      <c r="J883" s="110">
        <v>64.349999999999994</v>
      </c>
    </row>
    <row r="884" spans="1:10" x14ac:dyDescent="0.25">
      <c r="A884" s="109" t="s">
        <v>939</v>
      </c>
      <c r="B884" s="112">
        <v>45982</v>
      </c>
      <c r="C884" s="109" t="s">
        <v>17</v>
      </c>
      <c r="D884" s="109" t="s">
        <v>12</v>
      </c>
      <c r="E884" s="109" t="s">
        <v>23</v>
      </c>
      <c r="F884" s="109" t="s">
        <v>39</v>
      </c>
      <c r="G884" s="109" t="s">
        <v>36</v>
      </c>
      <c r="H884" s="110">
        <v>187.51</v>
      </c>
      <c r="I884" s="109">
        <v>8</v>
      </c>
      <c r="J884" s="110">
        <v>1500.08</v>
      </c>
    </row>
    <row r="885" spans="1:10" x14ac:dyDescent="0.25">
      <c r="A885" s="109" t="s">
        <v>940</v>
      </c>
      <c r="B885" s="112">
        <v>45869</v>
      </c>
      <c r="C885" s="109" t="s">
        <v>25</v>
      </c>
      <c r="D885" s="109" t="s">
        <v>55</v>
      </c>
      <c r="E885" s="109" t="s">
        <v>45</v>
      </c>
      <c r="F885" s="109" t="s">
        <v>28</v>
      </c>
      <c r="G885" s="109" t="s">
        <v>36</v>
      </c>
      <c r="H885" s="110">
        <v>174.96</v>
      </c>
      <c r="I885" s="109">
        <v>12</v>
      </c>
      <c r="J885" s="110">
        <v>2099.52</v>
      </c>
    </row>
    <row r="886" spans="1:10" x14ac:dyDescent="0.25">
      <c r="A886" s="109" t="s">
        <v>941</v>
      </c>
      <c r="B886" s="112">
        <v>45785</v>
      </c>
      <c r="C886" s="109" t="s">
        <v>11</v>
      </c>
      <c r="D886" s="109" t="s">
        <v>31</v>
      </c>
      <c r="E886" s="109" t="s">
        <v>27</v>
      </c>
      <c r="F886" s="109" t="s">
        <v>28</v>
      </c>
      <c r="G886" s="109" t="s">
        <v>36</v>
      </c>
      <c r="H886" s="110">
        <v>35.96</v>
      </c>
      <c r="I886" s="109">
        <v>10</v>
      </c>
      <c r="J886" s="110">
        <v>359.6</v>
      </c>
    </row>
    <row r="887" spans="1:10" x14ac:dyDescent="0.25">
      <c r="A887" s="109" t="s">
        <v>942</v>
      </c>
      <c r="B887" s="112">
        <v>45696</v>
      </c>
      <c r="C887" s="109" t="s">
        <v>30</v>
      </c>
      <c r="D887" s="109" t="s">
        <v>31</v>
      </c>
      <c r="E887" s="109" t="s">
        <v>13</v>
      </c>
      <c r="F887" s="109" t="s">
        <v>32</v>
      </c>
      <c r="G887" s="109" t="s">
        <v>15</v>
      </c>
      <c r="H887" s="110">
        <v>78.83</v>
      </c>
      <c r="I887" s="109">
        <v>18</v>
      </c>
      <c r="J887" s="110">
        <v>1418.94</v>
      </c>
    </row>
    <row r="888" spans="1:10" x14ac:dyDescent="0.25">
      <c r="A888" s="109" t="s">
        <v>943</v>
      </c>
      <c r="B888" s="112">
        <v>45951</v>
      </c>
      <c r="C888" s="109" t="s">
        <v>30</v>
      </c>
      <c r="D888" s="109" t="s">
        <v>12</v>
      </c>
      <c r="E888" s="109" t="s">
        <v>27</v>
      </c>
      <c r="F888" s="109" t="s">
        <v>14</v>
      </c>
      <c r="G888" s="109" t="s">
        <v>36</v>
      </c>
      <c r="H888" s="110">
        <v>80.84</v>
      </c>
      <c r="I888" s="109">
        <v>9</v>
      </c>
      <c r="J888" s="110">
        <v>727.56</v>
      </c>
    </row>
    <row r="889" spans="1:10" x14ac:dyDescent="0.25">
      <c r="A889" s="109" t="s">
        <v>944</v>
      </c>
      <c r="B889" s="112">
        <v>45760</v>
      </c>
      <c r="C889" s="109" t="s">
        <v>17</v>
      </c>
      <c r="D889" s="109" t="s">
        <v>26</v>
      </c>
      <c r="E889" s="109" t="s">
        <v>13</v>
      </c>
      <c r="F889" s="109" t="s">
        <v>14</v>
      </c>
      <c r="G889" s="109" t="s">
        <v>15</v>
      </c>
      <c r="H889" s="110">
        <v>177.82</v>
      </c>
      <c r="I889" s="109">
        <v>8</v>
      </c>
      <c r="J889" s="110">
        <v>1422.56</v>
      </c>
    </row>
    <row r="890" spans="1:10" x14ac:dyDescent="0.25">
      <c r="A890" s="109" t="s">
        <v>945</v>
      </c>
      <c r="B890" s="112">
        <v>45761</v>
      </c>
      <c r="C890" s="109" t="s">
        <v>25</v>
      </c>
      <c r="D890" s="109" t="s">
        <v>35</v>
      </c>
      <c r="E890" s="109" t="s">
        <v>23</v>
      </c>
      <c r="F890" s="109" t="s">
        <v>39</v>
      </c>
      <c r="G890" s="109" t="s">
        <v>15</v>
      </c>
      <c r="H890" s="110">
        <v>34.340000000000003</v>
      </c>
      <c r="I890" s="109">
        <v>8</v>
      </c>
      <c r="J890" s="110">
        <v>274.72000000000003</v>
      </c>
    </row>
    <row r="891" spans="1:10" x14ac:dyDescent="0.25">
      <c r="A891" s="109" t="s">
        <v>946</v>
      </c>
      <c r="B891" s="112">
        <v>45719</v>
      </c>
      <c r="C891" s="109" t="s">
        <v>17</v>
      </c>
      <c r="D891" s="109" t="s">
        <v>12</v>
      </c>
      <c r="E891" s="109" t="s">
        <v>41</v>
      </c>
      <c r="F891" s="109" t="s">
        <v>42</v>
      </c>
      <c r="G891" s="109" t="s">
        <v>15</v>
      </c>
      <c r="H891" s="110">
        <v>52.9</v>
      </c>
      <c r="I891" s="109">
        <v>3</v>
      </c>
      <c r="J891" s="110">
        <v>158.69999999999999</v>
      </c>
    </row>
    <row r="892" spans="1:10" x14ac:dyDescent="0.25">
      <c r="A892" s="109" t="s">
        <v>947</v>
      </c>
      <c r="B892" s="112">
        <v>45935</v>
      </c>
      <c r="C892" s="109" t="s">
        <v>38</v>
      </c>
      <c r="D892" s="109" t="s">
        <v>35</v>
      </c>
      <c r="E892" s="109" t="s">
        <v>18</v>
      </c>
      <c r="F892" s="109" t="s">
        <v>32</v>
      </c>
      <c r="G892" s="109" t="s">
        <v>36</v>
      </c>
      <c r="H892" s="110">
        <v>205.98</v>
      </c>
      <c r="I892" s="109">
        <v>2</v>
      </c>
      <c r="J892" s="110">
        <v>411.96</v>
      </c>
    </row>
    <row r="893" spans="1:10" x14ac:dyDescent="0.25">
      <c r="A893" s="109" t="s">
        <v>948</v>
      </c>
      <c r="B893" s="112">
        <v>45952</v>
      </c>
      <c r="C893" s="109" t="s">
        <v>38</v>
      </c>
      <c r="D893" s="109" t="s">
        <v>26</v>
      </c>
      <c r="E893" s="109" t="s">
        <v>18</v>
      </c>
      <c r="F893" s="109" t="s">
        <v>32</v>
      </c>
      <c r="G893" s="109" t="s">
        <v>36</v>
      </c>
      <c r="H893" s="110">
        <v>69.28</v>
      </c>
      <c r="I893" s="109">
        <v>9</v>
      </c>
      <c r="J893" s="110">
        <v>623.52</v>
      </c>
    </row>
    <row r="894" spans="1:10" x14ac:dyDescent="0.25">
      <c r="A894" s="109" t="s">
        <v>949</v>
      </c>
      <c r="B894" s="112">
        <v>45771</v>
      </c>
      <c r="C894" s="109" t="s">
        <v>30</v>
      </c>
      <c r="D894" s="109" t="s">
        <v>22</v>
      </c>
      <c r="E894" s="109" t="s">
        <v>18</v>
      </c>
      <c r="F894" s="109" t="s">
        <v>39</v>
      </c>
      <c r="G894" s="109" t="s">
        <v>36</v>
      </c>
      <c r="H894" s="110">
        <v>173.6</v>
      </c>
      <c r="I894" s="109">
        <v>19</v>
      </c>
      <c r="J894" s="110">
        <v>3298.4</v>
      </c>
    </row>
    <row r="895" spans="1:10" x14ac:dyDescent="0.25">
      <c r="A895" s="109" t="s">
        <v>950</v>
      </c>
      <c r="B895" s="112">
        <v>45902</v>
      </c>
      <c r="C895" s="109" t="s">
        <v>11</v>
      </c>
      <c r="D895" s="109" t="s">
        <v>55</v>
      </c>
      <c r="E895" s="109" t="s">
        <v>13</v>
      </c>
      <c r="F895" s="109" t="s">
        <v>61</v>
      </c>
      <c r="G895" s="109" t="s">
        <v>20</v>
      </c>
      <c r="H895" s="110">
        <v>82.4</v>
      </c>
      <c r="I895" s="109">
        <v>18</v>
      </c>
      <c r="J895" s="110">
        <v>1483.2</v>
      </c>
    </row>
    <row r="896" spans="1:10" x14ac:dyDescent="0.25">
      <c r="A896" s="109" t="s">
        <v>951</v>
      </c>
      <c r="B896" s="112">
        <v>45747</v>
      </c>
      <c r="C896" s="109" t="s">
        <v>11</v>
      </c>
      <c r="D896" s="109" t="s">
        <v>12</v>
      </c>
      <c r="E896" s="109" t="s">
        <v>18</v>
      </c>
      <c r="F896" s="109" t="s">
        <v>61</v>
      </c>
      <c r="G896" s="109" t="s">
        <v>36</v>
      </c>
      <c r="H896" s="110">
        <v>51.88</v>
      </c>
      <c r="I896" s="109">
        <v>15</v>
      </c>
      <c r="J896" s="110">
        <v>778.2</v>
      </c>
    </row>
    <row r="897" spans="1:10" x14ac:dyDescent="0.25">
      <c r="A897" s="109" t="s">
        <v>952</v>
      </c>
      <c r="B897" s="112">
        <v>46010</v>
      </c>
      <c r="C897" s="109" t="s">
        <v>11</v>
      </c>
      <c r="D897" s="109" t="s">
        <v>12</v>
      </c>
      <c r="E897" s="109" t="s">
        <v>23</v>
      </c>
      <c r="F897" s="109" t="s">
        <v>61</v>
      </c>
      <c r="G897" s="109" t="s">
        <v>20</v>
      </c>
      <c r="H897" s="110">
        <v>83.5</v>
      </c>
      <c r="I897" s="109">
        <v>1</v>
      </c>
      <c r="J897" s="110">
        <v>83.5</v>
      </c>
    </row>
    <row r="898" spans="1:10" x14ac:dyDescent="0.25">
      <c r="A898" s="109" t="s">
        <v>953</v>
      </c>
      <c r="B898" s="112">
        <v>45709</v>
      </c>
      <c r="C898" s="109" t="s">
        <v>34</v>
      </c>
      <c r="D898" s="109" t="s">
        <v>55</v>
      </c>
      <c r="E898" s="109" t="s">
        <v>13</v>
      </c>
      <c r="F898" s="109" t="s">
        <v>14</v>
      </c>
      <c r="G898" s="109" t="s">
        <v>20</v>
      </c>
      <c r="H898" s="110">
        <v>188.9</v>
      </c>
      <c r="I898" s="109">
        <v>11</v>
      </c>
      <c r="J898" s="110">
        <v>2077.9</v>
      </c>
    </row>
    <row r="899" spans="1:10" x14ac:dyDescent="0.25">
      <c r="A899" s="109" t="s">
        <v>954</v>
      </c>
      <c r="B899" s="112">
        <v>45792</v>
      </c>
      <c r="C899" s="109" t="s">
        <v>34</v>
      </c>
      <c r="D899" s="109" t="s">
        <v>31</v>
      </c>
      <c r="E899" s="109" t="s">
        <v>18</v>
      </c>
      <c r="F899" s="109" t="s">
        <v>32</v>
      </c>
      <c r="G899" s="109" t="s">
        <v>36</v>
      </c>
      <c r="H899" s="110">
        <v>218.25</v>
      </c>
      <c r="I899" s="109">
        <v>8</v>
      </c>
      <c r="J899" s="110">
        <v>1746</v>
      </c>
    </row>
    <row r="900" spans="1:10" x14ac:dyDescent="0.25">
      <c r="A900" s="109" t="s">
        <v>955</v>
      </c>
      <c r="B900" s="112">
        <v>45752</v>
      </c>
      <c r="C900" s="109" t="s">
        <v>38</v>
      </c>
      <c r="D900" s="109" t="s">
        <v>26</v>
      </c>
      <c r="E900" s="109" t="s">
        <v>41</v>
      </c>
      <c r="F900" s="109" t="s">
        <v>28</v>
      </c>
      <c r="G900" s="109" t="s">
        <v>36</v>
      </c>
      <c r="H900" s="110">
        <v>212.65</v>
      </c>
      <c r="I900" s="109">
        <v>16</v>
      </c>
      <c r="J900" s="110">
        <v>3402.4</v>
      </c>
    </row>
    <row r="901" spans="1:10" x14ac:dyDescent="0.25">
      <c r="A901" s="109" t="s">
        <v>956</v>
      </c>
      <c r="B901" s="112">
        <v>45844</v>
      </c>
      <c r="C901" s="109" t="s">
        <v>34</v>
      </c>
      <c r="D901" s="109" t="s">
        <v>31</v>
      </c>
      <c r="E901" s="109" t="s">
        <v>23</v>
      </c>
      <c r="F901" s="109" t="s">
        <v>42</v>
      </c>
      <c r="G901" s="109" t="s">
        <v>15</v>
      </c>
      <c r="H901" s="110">
        <v>117.38</v>
      </c>
      <c r="I901" s="109">
        <v>13</v>
      </c>
      <c r="J901" s="110">
        <v>1525.94</v>
      </c>
    </row>
    <row r="902" spans="1:10" x14ac:dyDescent="0.25">
      <c r="A902" s="109" t="s">
        <v>957</v>
      </c>
      <c r="B902" s="112">
        <v>45952</v>
      </c>
      <c r="C902" s="109" t="s">
        <v>11</v>
      </c>
      <c r="D902" s="109" t="s">
        <v>12</v>
      </c>
      <c r="E902" s="109" t="s">
        <v>13</v>
      </c>
      <c r="F902" s="109" t="s">
        <v>39</v>
      </c>
      <c r="G902" s="109" t="s">
        <v>15</v>
      </c>
      <c r="H902" s="110">
        <v>176.98</v>
      </c>
      <c r="I902" s="109">
        <v>8</v>
      </c>
      <c r="J902" s="110">
        <v>1415.84</v>
      </c>
    </row>
    <row r="903" spans="1:10" x14ac:dyDescent="0.25">
      <c r="A903" s="109" t="s">
        <v>958</v>
      </c>
      <c r="B903" s="112">
        <v>45942</v>
      </c>
      <c r="C903" s="109" t="s">
        <v>38</v>
      </c>
      <c r="D903" s="109" t="s">
        <v>26</v>
      </c>
      <c r="E903" s="109" t="s">
        <v>23</v>
      </c>
      <c r="F903" s="109" t="s">
        <v>39</v>
      </c>
      <c r="G903" s="109" t="s">
        <v>20</v>
      </c>
      <c r="H903" s="110">
        <v>75.099999999999994</v>
      </c>
      <c r="I903" s="109">
        <v>14</v>
      </c>
      <c r="J903" s="110">
        <v>1051.4000000000001</v>
      </c>
    </row>
    <row r="904" spans="1:10" x14ac:dyDescent="0.25">
      <c r="A904" s="109" t="s">
        <v>959</v>
      </c>
      <c r="B904" s="112">
        <v>45734</v>
      </c>
      <c r="C904" s="109" t="s">
        <v>11</v>
      </c>
      <c r="D904" s="109" t="s">
        <v>26</v>
      </c>
      <c r="E904" s="109" t="s">
        <v>41</v>
      </c>
      <c r="F904" s="109" t="s">
        <v>61</v>
      </c>
      <c r="G904" s="109" t="s">
        <v>15</v>
      </c>
      <c r="H904" s="110">
        <v>94.49</v>
      </c>
      <c r="I904" s="109">
        <v>16</v>
      </c>
      <c r="J904" s="110">
        <v>1511.84</v>
      </c>
    </row>
    <row r="905" spans="1:10" x14ac:dyDescent="0.25">
      <c r="A905" s="109" t="s">
        <v>960</v>
      </c>
      <c r="B905" s="112">
        <v>45980</v>
      </c>
      <c r="C905" s="109" t="s">
        <v>25</v>
      </c>
      <c r="D905" s="109" t="s">
        <v>12</v>
      </c>
      <c r="E905" s="109" t="s">
        <v>13</v>
      </c>
      <c r="F905" s="109" t="s">
        <v>39</v>
      </c>
      <c r="G905" s="109" t="s">
        <v>36</v>
      </c>
      <c r="H905" s="110">
        <v>227.19</v>
      </c>
      <c r="I905" s="109">
        <v>17</v>
      </c>
      <c r="J905" s="110">
        <v>3862.23</v>
      </c>
    </row>
    <row r="906" spans="1:10" x14ac:dyDescent="0.25">
      <c r="A906" s="109" t="s">
        <v>961</v>
      </c>
      <c r="B906" s="112">
        <v>45811</v>
      </c>
      <c r="C906" s="109" t="s">
        <v>25</v>
      </c>
      <c r="D906" s="109" t="s">
        <v>55</v>
      </c>
      <c r="E906" s="109" t="s">
        <v>45</v>
      </c>
      <c r="F906" s="109" t="s">
        <v>61</v>
      </c>
      <c r="G906" s="109" t="s">
        <v>15</v>
      </c>
      <c r="H906" s="110">
        <v>32.86</v>
      </c>
      <c r="I906" s="109">
        <v>9</v>
      </c>
      <c r="J906" s="110">
        <v>295.74</v>
      </c>
    </row>
    <row r="907" spans="1:10" x14ac:dyDescent="0.25">
      <c r="A907" s="109" t="s">
        <v>962</v>
      </c>
      <c r="B907" s="112">
        <v>46011</v>
      </c>
      <c r="C907" s="109" t="s">
        <v>11</v>
      </c>
      <c r="D907" s="109" t="s">
        <v>26</v>
      </c>
      <c r="E907" s="109" t="s">
        <v>13</v>
      </c>
      <c r="F907" s="109" t="s">
        <v>61</v>
      </c>
      <c r="G907" s="109" t="s">
        <v>20</v>
      </c>
      <c r="H907" s="110">
        <v>48.81</v>
      </c>
      <c r="I907" s="109">
        <v>6</v>
      </c>
      <c r="J907" s="110">
        <v>292.86</v>
      </c>
    </row>
    <row r="908" spans="1:10" x14ac:dyDescent="0.25">
      <c r="A908" s="109" t="s">
        <v>963</v>
      </c>
      <c r="B908" s="112">
        <v>45707</v>
      </c>
      <c r="C908" s="109" t="s">
        <v>17</v>
      </c>
      <c r="D908" s="109" t="s">
        <v>35</v>
      </c>
      <c r="E908" s="109" t="s">
        <v>13</v>
      </c>
      <c r="F908" s="109" t="s">
        <v>32</v>
      </c>
      <c r="G908" s="109" t="s">
        <v>36</v>
      </c>
      <c r="H908" s="110">
        <v>75.73</v>
      </c>
      <c r="I908" s="109">
        <v>15</v>
      </c>
      <c r="J908" s="110">
        <v>1135.95</v>
      </c>
    </row>
    <row r="909" spans="1:10" x14ac:dyDescent="0.25">
      <c r="A909" s="109" t="s">
        <v>964</v>
      </c>
      <c r="B909" s="112">
        <v>45944</v>
      </c>
      <c r="C909" s="109" t="s">
        <v>34</v>
      </c>
      <c r="D909" s="109" t="s">
        <v>35</v>
      </c>
      <c r="E909" s="109" t="s">
        <v>45</v>
      </c>
      <c r="F909" s="109" t="s">
        <v>61</v>
      </c>
      <c r="G909" s="109" t="s">
        <v>15</v>
      </c>
      <c r="H909" s="110">
        <v>35.840000000000003</v>
      </c>
      <c r="I909" s="109">
        <v>18</v>
      </c>
      <c r="J909" s="110">
        <v>645.12</v>
      </c>
    </row>
    <row r="910" spans="1:10" x14ac:dyDescent="0.25">
      <c r="A910" s="109" t="s">
        <v>965</v>
      </c>
      <c r="B910" s="112">
        <v>45837</v>
      </c>
      <c r="C910" s="109" t="s">
        <v>30</v>
      </c>
      <c r="D910" s="109" t="s">
        <v>55</v>
      </c>
      <c r="E910" s="109" t="s">
        <v>18</v>
      </c>
      <c r="F910" s="109" t="s">
        <v>28</v>
      </c>
      <c r="G910" s="109" t="s">
        <v>20</v>
      </c>
      <c r="H910" s="110">
        <v>69.92</v>
      </c>
      <c r="I910" s="109">
        <v>20</v>
      </c>
      <c r="J910" s="110">
        <v>1398.4</v>
      </c>
    </row>
    <row r="911" spans="1:10" x14ac:dyDescent="0.25">
      <c r="A911" s="109" t="s">
        <v>966</v>
      </c>
      <c r="B911" s="112">
        <v>45933</v>
      </c>
      <c r="C911" s="109" t="s">
        <v>34</v>
      </c>
      <c r="D911" s="109" t="s">
        <v>35</v>
      </c>
      <c r="E911" s="109" t="s">
        <v>13</v>
      </c>
      <c r="F911" s="109" t="s">
        <v>28</v>
      </c>
      <c r="G911" s="109" t="s">
        <v>20</v>
      </c>
      <c r="H911" s="110">
        <v>158.27000000000001</v>
      </c>
      <c r="I911" s="109">
        <v>6</v>
      </c>
      <c r="J911" s="110">
        <v>949.62</v>
      </c>
    </row>
    <row r="912" spans="1:10" x14ac:dyDescent="0.25">
      <c r="A912" s="109" t="s">
        <v>967</v>
      </c>
      <c r="B912" s="112">
        <v>45907</v>
      </c>
      <c r="C912" s="109" t="s">
        <v>11</v>
      </c>
      <c r="D912" s="109" t="s">
        <v>31</v>
      </c>
      <c r="E912" s="109" t="s">
        <v>18</v>
      </c>
      <c r="F912" s="109" t="s">
        <v>32</v>
      </c>
      <c r="G912" s="109" t="s">
        <v>36</v>
      </c>
      <c r="H912" s="110">
        <v>122.71</v>
      </c>
      <c r="I912" s="109">
        <v>15</v>
      </c>
      <c r="J912" s="110">
        <v>1840.65</v>
      </c>
    </row>
    <row r="913" spans="1:10" x14ac:dyDescent="0.25">
      <c r="A913" s="109" t="s">
        <v>968</v>
      </c>
      <c r="B913" s="112">
        <v>45981</v>
      </c>
      <c r="C913" s="109" t="s">
        <v>30</v>
      </c>
      <c r="D913" s="109" t="s">
        <v>12</v>
      </c>
      <c r="E913" s="109" t="s">
        <v>13</v>
      </c>
      <c r="F913" s="109" t="s">
        <v>61</v>
      </c>
      <c r="G913" s="109" t="s">
        <v>20</v>
      </c>
      <c r="H913" s="110">
        <v>226.39</v>
      </c>
      <c r="I913" s="109">
        <v>5</v>
      </c>
      <c r="J913" s="110">
        <v>1131.95</v>
      </c>
    </row>
    <row r="914" spans="1:10" x14ac:dyDescent="0.25">
      <c r="A914" s="109" t="s">
        <v>969</v>
      </c>
      <c r="B914" s="112">
        <v>45971</v>
      </c>
      <c r="C914" s="109" t="s">
        <v>38</v>
      </c>
      <c r="D914" s="109" t="s">
        <v>22</v>
      </c>
      <c r="E914" s="109" t="s">
        <v>45</v>
      </c>
      <c r="F914" s="109" t="s">
        <v>14</v>
      </c>
      <c r="G914" s="109" t="s">
        <v>36</v>
      </c>
      <c r="H914" s="110">
        <v>209.84</v>
      </c>
      <c r="I914" s="109">
        <v>19</v>
      </c>
      <c r="J914" s="110">
        <v>3986.96</v>
      </c>
    </row>
    <row r="915" spans="1:10" x14ac:dyDescent="0.25">
      <c r="A915" s="109" t="s">
        <v>970</v>
      </c>
      <c r="B915" s="112">
        <v>45774</v>
      </c>
      <c r="C915" s="109" t="s">
        <v>34</v>
      </c>
      <c r="D915" s="109" t="s">
        <v>12</v>
      </c>
      <c r="E915" s="109" t="s">
        <v>13</v>
      </c>
      <c r="F915" s="109" t="s">
        <v>28</v>
      </c>
      <c r="G915" s="109" t="s">
        <v>36</v>
      </c>
      <c r="H915" s="110">
        <v>105.2</v>
      </c>
      <c r="I915" s="109">
        <v>11</v>
      </c>
      <c r="J915" s="110">
        <v>1157.2</v>
      </c>
    </row>
    <row r="916" spans="1:10" x14ac:dyDescent="0.25">
      <c r="A916" s="109" t="s">
        <v>971</v>
      </c>
      <c r="B916" s="112">
        <v>45967</v>
      </c>
      <c r="C916" s="109" t="s">
        <v>34</v>
      </c>
      <c r="D916" s="109" t="s">
        <v>31</v>
      </c>
      <c r="E916" s="109" t="s">
        <v>13</v>
      </c>
      <c r="F916" s="109" t="s">
        <v>28</v>
      </c>
      <c r="G916" s="109" t="s">
        <v>20</v>
      </c>
      <c r="H916" s="110">
        <v>87.07</v>
      </c>
      <c r="I916" s="109">
        <v>13</v>
      </c>
      <c r="J916" s="110">
        <v>1131.9100000000001</v>
      </c>
    </row>
    <row r="917" spans="1:10" x14ac:dyDescent="0.25">
      <c r="A917" s="109" t="s">
        <v>972</v>
      </c>
      <c r="B917" s="112">
        <v>45924</v>
      </c>
      <c r="C917" s="109" t="s">
        <v>38</v>
      </c>
      <c r="D917" s="109" t="s">
        <v>26</v>
      </c>
      <c r="E917" s="109" t="s">
        <v>23</v>
      </c>
      <c r="F917" s="109" t="s">
        <v>39</v>
      </c>
      <c r="G917" s="109" t="s">
        <v>15</v>
      </c>
      <c r="H917" s="110">
        <v>113.53</v>
      </c>
      <c r="I917" s="109">
        <v>15</v>
      </c>
      <c r="J917" s="110">
        <v>1702.95</v>
      </c>
    </row>
    <row r="918" spans="1:10" x14ac:dyDescent="0.25">
      <c r="A918" s="109" t="s">
        <v>973</v>
      </c>
      <c r="B918" s="112">
        <v>45722</v>
      </c>
      <c r="C918" s="109" t="s">
        <v>17</v>
      </c>
      <c r="D918" s="109" t="s">
        <v>35</v>
      </c>
      <c r="E918" s="109" t="s">
        <v>27</v>
      </c>
      <c r="F918" s="109" t="s">
        <v>28</v>
      </c>
      <c r="G918" s="109" t="s">
        <v>20</v>
      </c>
      <c r="H918" s="110">
        <v>159.86000000000001</v>
      </c>
      <c r="I918" s="109">
        <v>8</v>
      </c>
      <c r="J918" s="110">
        <v>1278.8800000000001</v>
      </c>
    </row>
    <row r="919" spans="1:10" x14ac:dyDescent="0.25">
      <c r="A919" s="109" t="s">
        <v>974</v>
      </c>
      <c r="B919" s="112">
        <v>45698</v>
      </c>
      <c r="C919" s="109" t="s">
        <v>30</v>
      </c>
      <c r="D919" s="109" t="s">
        <v>31</v>
      </c>
      <c r="E919" s="109" t="s">
        <v>45</v>
      </c>
      <c r="F919" s="109" t="s">
        <v>19</v>
      </c>
      <c r="G919" s="109" t="s">
        <v>15</v>
      </c>
      <c r="H919" s="110">
        <v>88.97</v>
      </c>
      <c r="I919" s="109">
        <v>7</v>
      </c>
      <c r="J919" s="110">
        <v>622.79</v>
      </c>
    </row>
    <row r="920" spans="1:10" x14ac:dyDescent="0.25">
      <c r="A920" s="109" t="s">
        <v>975</v>
      </c>
      <c r="B920" s="112">
        <v>45900</v>
      </c>
      <c r="C920" s="109" t="s">
        <v>11</v>
      </c>
      <c r="D920" s="109" t="s">
        <v>22</v>
      </c>
      <c r="E920" s="109" t="s">
        <v>41</v>
      </c>
      <c r="F920" s="109" t="s">
        <v>42</v>
      </c>
      <c r="G920" s="109" t="s">
        <v>15</v>
      </c>
      <c r="H920" s="110">
        <v>167.31</v>
      </c>
      <c r="I920" s="109">
        <v>18</v>
      </c>
      <c r="J920" s="110">
        <v>3011.58</v>
      </c>
    </row>
    <row r="921" spans="1:10" x14ac:dyDescent="0.25">
      <c r="A921" s="109" t="s">
        <v>976</v>
      </c>
      <c r="B921" s="112">
        <v>45711</v>
      </c>
      <c r="C921" s="109" t="s">
        <v>25</v>
      </c>
      <c r="D921" s="109" t="s">
        <v>26</v>
      </c>
      <c r="E921" s="109" t="s">
        <v>45</v>
      </c>
      <c r="F921" s="109" t="s">
        <v>28</v>
      </c>
      <c r="G921" s="109" t="s">
        <v>36</v>
      </c>
      <c r="H921" s="110">
        <v>120.07</v>
      </c>
      <c r="I921" s="109">
        <v>9</v>
      </c>
      <c r="J921" s="110">
        <v>1080.6300000000001</v>
      </c>
    </row>
    <row r="922" spans="1:10" x14ac:dyDescent="0.25">
      <c r="A922" s="109" t="s">
        <v>977</v>
      </c>
      <c r="B922" s="112">
        <v>45816</v>
      </c>
      <c r="C922" s="109" t="s">
        <v>30</v>
      </c>
      <c r="D922" s="109" t="s">
        <v>12</v>
      </c>
      <c r="E922" s="109" t="s">
        <v>13</v>
      </c>
      <c r="F922" s="109" t="s">
        <v>61</v>
      </c>
      <c r="G922" s="109" t="s">
        <v>20</v>
      </c>
      <c r="H922" s="110">
        <v>151.44999999999999</v>
      </c>
      <c r="I922" s="109">
        <v>8</v>
      </c>
      <c r="J922" s="110">
        <v>1211.5999999999999</v>
      </c>
    </row>
    <row r="923" spans="1:10" x14ac:dyDescent="0.25">
      <c r="A923" s="109" t="s">
        <v>978</v>
      </c>
      <c r="B923" s="112">
        <v>45722</v>
      </c>
      <c r="C923" s="109" t="s">
        <v>25</v>
      </c>
      <c r="D923" s="109" t="s">
        <v>26</v>
      </c>
      <c r="E923" s="109" t="s">
        <v>45</v>
      </c>
      <c r="F923" s="109" t="s">
        <v>19</v>
      </c>
      <c r="G923" s="109" t="s">
        <v>20</v>
      </c>
      <c r="H923" s="110">
        <v>125.95</v>
      </c>
      <c r="I923" s="109">
        <v>5</v>
      </c>
      <c r="J923" s="110">
        <v>629.75</v>
      </c>
    </row>
    <row r="924" spans="1:10" x14ac:dyDescent="0.25">
      <c r="A924" s="109" t="s">
        <v>979</v>
      </c>
      <c r="B924" s="112">
        <v>45840</v>
      </c>
      <c r="C924" s="109" t="s">
        <v>38</v>
      </c>
      <c r="D924" s="109" t="s">
        <v>31</v>
      </c>
      <c r="E924" s="109" t="s">
        <v>18</v>
      </c>
      <c r="F924" s="109" t="s">
        <v>32</v>
      </c>
      <c r="G924" s="109" t="s">
        <v>20</v>
      </c>
      <c r="H924" s="110">
        <v>94.78</v>
      </c>
      <c r="I924" s="109">
        <v>11</v>
      </c>
      <c r="J924" s="110">
        <v>1042.58</v>
      </c>
    </row>
    <row r="925" spans="1:10" x14ac:dyDescent="0.25">
      <c r="A925" s="109" t="s">
        <v>980</v>
      </c>
      <c r="B925" s="112">
        <v>45885</v>
      </c>
      <c r="C925" s="109" t="s">
        <v>17</v>
      </c>
      <c r="D925" s="109" t="s">
        <v>55</v>
      </c>
      <c r="E925" s="109" t="s">
        <v>23</v>
      </c>
      <c r="F925" s="109" t="s">
        <v>42</v>
      </c>
      <c r="G925" s="109" t="s">
        <v>20</v>
      </c>
      <c r="H925" s="110">
        <v>238.66</v>
      </c>
      <c r="I925" s="109">
        <v>5</v>
      </c>
      <c r="J925" s="110">
        <v>1193.3</v>
      </c>
    </row>
    <row r="926" spans="1:10" x14ac:dyDescent="0.25">
      <c r="A926" s="109" t="s">
        <v>981</v>
      </c>
      <c r="B926" s="112">
        <v>45891</v>
      </c>
      <c r="C926" s="109" t="s">
        <v>38</v>
      </c>
      <c r="D926" s="109" t="s">
        <v>55</v>
      </c>
      <c r="E926" s="109" t="s">
        <v>27</v>
      </c>
      <c r="F926" s="109" t="s">
        <v>28</v>
      </c>
      <c r="G926" s="109" t="s">
        <v>20</v>
      </c>
      <c r="H926" s="110">
        <v>197.99</v>
      </c>
      <c r="I926" s="109">
        <v>19</v>
      </c>
      <c r="J926" s="110">
        <v>3761.81</v>
      </c>
    </row>
    <row r="927" spans="1:10" x14ac:dyDescent="0.25">
      <c r="A927" s="109" t="s">
        <v>982</v>
      </c>
      <c r="B927" s="112">
        <v>45816</v>
      </c>
      <c r="C927" s="109" t="s">
        <v>38</v>
      </c>
      <c r="D927" s="109" t="s">
        <v>55</v>
      </c>
      <c r="E927" s="109" t="s">
        <v>23</v>
      </c>
      <c r="F927" s="109" t="s">
        <v>39</v>
      </c>
      <c r="G927" s="109" t="s">
        <v>15</v>
      </c>
      <c r="H927" s="110">
        <v>60.82</v>
      </c>
      <c r="I927" s="109">
        <v>12</v>
      </c>
      <c r="J927" s="110">
        <v>729.84</v>
      </c>
    </row>
    <row r="928" spans="1:10" x14ac:dyDescent="0.25">
      <c r="A928" s="109" t="s">
        <v>983</v>
      </c>
      <c r="B928" s="112">
        <v>45884</v>
      </c>
      <c r="C928" s="109" t="s">
        <v>34</v>
      </c>
      <c r="D928" s="109" t="s">
        <v>31</v>
      </c>
      <c r="E928" s="109" t="s">
        <v>13</v>
      </c>
      <c r="F928" s="109" t="s">
        <v>14</v>
      </c>
      <c r="G928" s="109" t="s">
        <v>36</v>
      </c>
      <c r="H928" s="110">
        <v>221.06</v>
      </c>
      <c r="I928" s="109">
        <v>10</v>
      </c>
      <c r="J928" s="110">
        <v>2210.6</v>
      </c>
    </row>
    <row r="929" spans="1:10" x14ac:dyDescent="0.25">
      <c r="A929" s="109" t="s">
        <v>984</v>
      </c>
      <c r="B929" s="112">
        <v>45663</v>
      </c>
      <c r="C929" s="109" t="s">
        <v>25</v>
      </c>
      <c r="D929" s="109" t="s">
        <v>26</v>
      </c>
      <c r="E929" s="109" t="s">
        <v>13</v>
      </c>
      <c r="F929" s="109" t="s">
        <v>32</v>
      </c>
      <c r="G929" s="109" t="s">
        <v>36</v>
      </c>
      <c r="H929" s="110">
        <v>137.22999999999999</v>
      </c>
      <c r="I929" s="109">
        <v>1</v>
      </c>
      <c r="J929" s="110">
        <v>137.22999999999999</v>
      </c>
    </row>
    <row r="930" spans="1:10" x14ac:dyDescent="0.25">
      <c r="A930" s="109" t="s">
        <v>985</v>
      </c>
      <c r="B930" s="112">
        <v>45931</v>
      </c>
      <c r="C930" s="109" t="s">
        <v>17</v>
      </c>
      <c r="D930" s="109" t="s">
        <v>31</v>
      </c>
      <c r="E930" s="109" t="s">
        <v>41</v>
      </c>
      <c r="F930" s="109" t="s">
        <v>32</v>
      </c>
      <c r="G930" s="109" t="s">
        <v>15</v>
      </c>
      <c r="H930" s="110">
        <v>226.8</v>
      </c>
      <c r="I930" s="109">
        <v>1</v>
      </c>
      <c r="J930" s="110">
        <v>226.8</v>
      </c>
    </row>
    <row r="931" spans="1:10" x14ac:dyDescent="0.25">
      <c r="A931" s="109" t="s">
        <v>986</v>
      </c>
      <c r="B931" s="112">
        <v>45878</v>
      </c>
      <c r="C931" s="109" t="s">
        <v>25</v>
      </c>
      <c r="D931" s="109" t="s">
        <v>26</v>
      </c>
      <c r="E931" s="109" t="s">
        <v>45</v>
      </c>
      <c r="F931" s="109" t="s">
        <v>42</v>
      </c>
      <c r="G931" s="109" t="s">
        <v>36</v>
      </c>
      <c r="H931" s="110">
        <v>205.97</v>
      </c>
      <c r="I931" s="109">
        <v>10</v>
      </c>
      <c r="J931" s="110">
        <v>2059.6999999999998</v>
      </c>
    </row>
    <row r="932" spans="1:10" x14ac:dyDescent="0.25">
      <c r="A932" s="109" t="s">
        <v>987</v>
      </c>
      <c r="B932" s="112">
        <v>45754</v>
      </c>
      <c r="C932" s="109" t="s">
        <v>25</v>
      </c>
      <c r="D932" s="109" t="s">
        <v>31</v>
      </c>
      <c r="E932" s="109" t="s">
        <v>41</v>
      </c>
      <c r="F932" s="109" t="s">
        <v>14</v>
      </c>
      <c r="G932" s="109" t="s">
        <v>15</v>
      </c>
      <c r="H932" s="110">
        <v>123.55</v>
      </c>
      <c r="I932" s="109">
        <v>14</v>
      </c>
      <c r="J932" s="110">
        <v>1729.7</v>
      </c>
    </row>
    <row r="933" spans="1:10" x14ac:dyDescent="0.25">
      <c r="A933" s="109" t="s">
        <v>988</v>
      </c>
      <c r="B933" s="112">
        <v>45988</v>
      </c>
      <c r="C933" s="109" t="s">
        <v>38</v>
      </c>
      <c r="D933" s="109" t="s">
        <v>26</v>
      </c>
      <c r="E933" s="109" t="s">
        <v>13</v>
      </c>
      <c r="F933" s="109" t="s">
        <v>19</v>
      </c>
      <c r="G933" s="109" t="s">
        <v>36</v>
      </c>
      <c r="H933" s="110">
        <v>34.94</v>
      </c>
      <c r="I933" s="109">
        <v>13</v>
      </c>
      <c r="J933" s="110">
        <v>454.22</v>
      </c>
    </row>
    <row r="934" spans="1:10" x14ac:dyDescent="0.25">
      <c r="A934" s="109" t="s">
        <v>989</v>
      </c>
      <c r="B934" s="112">
        <v>45978</v>
      </c>
      <c r="C934" s="109" t="s">
        <v>25</v>
      </c>
      <c r="D934" s="109" t="s">
        <v>55</v>
      </c>
      <c r="E934" s="109" t="s">
        <v>27</v>
      </c>
      <c r="F934" s="109" t="s">
        <v>28</v>
      </c>
      <c r="G934" s="109" t="s">
        <v>36</v>
      </c>
      <c r="H934" s="110">
        <v>89.11</v>
      </c>
      <c r="I934" s="109">
        <v>8</v>
      </c>
      <c r="J934" s="110">
        <v>712.88</v>
      </c>
    </row>
    <row r="935" spans="1:10" x14ac:dyDescent="0.25">
      <c r="A935" s="109" t="s">
        <v>990</v>
      </c>
      <c r="B935" s="112">
        <v>45803</v>
      </c>
      <c r="C935" s="109" t="s">
        <v>34</v>
      </c>
      <c r="D935" s="109" t="s">
        <v>31</v>
      </c>
      <c r="E935" s="109" t="s">
        <v>23</v>
      </c>
      <c r="F935" s="109" t="s">
        <v>39</v>
      </c>
      <c r="G935" s="109" t="s">
        <v>15</v>
      </c>
      <c r="H935" s="110">
        <v>149.16</v>
      </c>
      <c r="I935" s="109">
        <v>18</v>
      </c>
      <c r="J935" s="110">
        <v>2684.88</v>
      </c>
    </row>
    <row r="936" spans="1:10" x14ac:dyDescent="0.25">
      <c r="A936" s="109" t="s">
        <v>991</v>
      </c>
      <c r="B936" s="112">
        <v>45751</v>
      </c>
      <c r="C936" s="109" t="s">
        <v>34</v>
      </c>
      <c r="D936" s="109" t="s">
        <v>22</v>
      </c>
      <c r="E936" s="109" t="s">
        <v>27</v>
      </c>
      <c r="F936" s="109" t="s">
        <v>61</v>
      </c>
      <c r="G936" s="109" t="s">
        <v>20</v>
      </c>
      <c r="H936" s="110">
        <v>169.37</v>
      </c>
      <c r="I936" s="109">
        <v>5</v>
      </c>
      <c r="J936" s="110">
        <v>846.85</v>
      </c>
    </row>
    <row r="937" spans="1:10" x14ac:dyDescent="0.25">
      <c r="A937" s="109" t="s">
        <v>992</v>
      </c>
      <c r="B937" s="112">
        <v>45889</v>
      </c>
      <c r="C937" s="109" t="s">
        <v>17</v>
      </c>
      <c r="D937" s="109" t="s">
        <v>55</v>
      </c>
      <c r="E937" s="109" t="s">
        <v>41</v>
      </c>
      <c r="F937" s="109" t="s">
        <v>14</v>
      </c>
      <c r="G937" s="109" t="s">
        <v>36</v>
      </c>
      <c r="H937" s="110">
        <v>86.74</v>
      </c>
      <c r="I937" s="109">
        <v>9</v>
      </c>
      <c r="J937" s="110">
        <v>780.66</v>
      </c>
    </row>
    <row r="938" spans="1:10" x14ac:dyDescent="0.25">
      <c r="A938" s="109" t="s">
        <v>993</v>
      </c>
      <c r="B938" s="112">
        <v>45667</v>
      </c>
      <c r="C938" s="109" t="s">
        <v>11</v>
      </c>
      <c r="D938" s="109" t="s">
        <v>55</v>
      </c>
      <c r="E938" s="109" t="s">
        <v>45</v>
      </c>
      <c r="F938" s="109" t="s">
        <v>14</v>
      </c>
      <c r="G938" s="109" t="s">
        <v>15</v>
      </c>
      <c r="H938" s="110">
        <v>60.66</v>
      </c>
      <c r="I938" s="109">
        <v>5</v>
      </c>
      <c r="J938" s="110">
        <v>303.3</v>
      </c>
    </row>
    <row r="939" spans="1:10" x14ac:dyDescent="0.25">
      <c r="A939" s="109" t="s">
        <v>994</v>
      </c>
      <c r="B939" s="112">
        <v>45802</v>
      </c>
      <c r="C939" s="109" t="s">
        <v>30</v>
      </c>
      <c r="D939" s="109" t="s">
        <v>12</v>
      </c>
      <c r="E939" s="109" t="s">
        <v>41</v>
      </c>
      <c r="F939" s="109" t="s">
        <v>28</v>
      </c>
      <c r="G939" s="109" t="s">
        <v>15</v>
      </c>
      <c r="H939" s="110">
        <v>213.68</v>
      </c>
      <c r="I939" s="109">
        <v>9</v>
      </c>
      <c r="J939" s="110">
        <v>1923.12</v>
      </c>
    </row>
    <row r="940" spans="1:10" x14ac:dyDescent="0.25">
      <c r="A940" s="109" t="s">
        <v>995</v>
      </c>
      <c r="B940" s="112">
        <v>45777</v>
      </c>
      <c r="C940" s="109" t="s">
        <v>30</v>
      </c>
      <c r="D940" s="109" t="s">
        <v>22</v>
      </c>
      <c r="E940" s="109" t="s">
        <v>41</v>
      </c>
      <c r="F940" s="109" t="s">
        <v>14</v>
      </c>
      <c r="G940" s="109" t="s">
        <v>36</v>
      </c>
      <c r="H940" s="110">
        <v>246.57</v>
      </c>
      <c r="I940" s="109">
        <v>3</v>
      </c>
      <c r="J940" s="110">
        <v>739.71</v>
      </c>
    </row>
    <row r="941" spans="1:10" x14ac:dyDescent="0.25">
      <c r="A941" s="109" t="s">
        <v>996</v>
      </c>
      <c r="B941" s="112">
        <v>45873</v>
      </c>
      <c r="C941" s="109" t="s">
        <v>38</v>
      </c>
      <c r="D941" s="109" t="s">
        <v>35</v>
      </c>
      <c r="E941" s="109" t="s">
        <v>41</v>
      </c>
      <c r="F941" s="109" t="s">
        <v>28</v>
      </c>
      <c r="G941" s="109" t="s">
        <v>15</v>
      </c>
      <c r="H941" s="110">
        <v>145.65</v>
      </c>
      <c r="I941" s="109">
        <v>10</v>
      </c>
      <c r="J941" s="110">
        <v>1456.5</v>
      </c>
    </row>
    <row r="942" spans="1:10" x14ac:dyDescent="0.25">
      <c r="A942" s="109" t="s">
        <v>997</v>
      </c>
      <c r="B942" s="112">
        <v>45827</v>
      </c>
      <c r="C942" s="109" t="s">
        <v>30</v>
      </c>
      <c r="D942" s="109" t="s">
        <v>22</v>
      </c>
      <c r="E942" s="109" t="s">
        <v>13</v>
      </c>
      <c r="F942" s="109" t="s">
        <v>39</v>
      </c>
      <c r="G942" s="109" t="s">
        <v>36</v>
      </c>
      <c r="H942" s="110">
        <v>67.77</v>
      </c>
      <c r="I942" s="109">
        <v>3</v>
      </c>
      <c r="J942" s="110">
        <v>203.31</v>
      </c>
    </row>
    <row r="943" spans="1:10" x14ac:dyDescent="0.25">
      <c r="A943" s="109" t="s">
        <v>998</v>
      </c>
      <c r="B943" s="112">
        <v>45694</v>
      </c>
      <c r="C943" s="109" t="s">
        <v>38</v>
      </c>
      <c r="D943" s="109" t="s">
        <v>26</v>
      </c>
      <c r="E943" s="109" t="s">
        <v>23</v>
      </c>
      <c r="F943" s="109" t="s">
        <v>39</v>
      </c>
      <c r="G943" s="109" t="s">
        <v>36</v>
      </c>
      <c r="H943" s="110">
        <v>89.91</v>
      </c>
      <c r="I943" s="109">
        <v>18</v>
      </c>
      <c r="J943" s="110">
        <v>1618.38</v>
      </c>
    </row>
    <row r="944" spans="1:10" x14ac:dyDescent="0.25">
      <c r="A944" s="109" t="s">
        <v>999</v>
      </c>
      <c r="B944" s="112">
        <v>45853</v>
      </c>
      <c r="C944" s="109" t="s">
        <v>11</v>
      </c>
      <c r="D944" s="109" t="s">
        <v>12</v>
      </c>
      <c r="E944" s="109" t="s">
        <v>23</v>
      </c>
      <c r="F944" s="109" t="s">
        <v>61</v>
      </c>
      <c r="G944" s="109" t="s">
        <v>36</v>
      </c>
      <c r="H944" s="110">
        <v>34.049999999999997</v>
      </c>
      <c r="I944" s="109">
        <v>1</v>
      </c>
      <c r="J944" s="110">
        <v>34.049999999999997</v>
      </c>
    </row>
    <row r="945" spans="1:10" x14ac:dyDescent="0.25">
      <c r="A945" s="109" t="s">
        <v>1000</v>
      </c>
      <c r="B945" s="112">
        <v>45784</v>
      </c>
      <c r="C945" s="109" t="s">
        <v>30</v>
      </c>
      <c r="D945" s="109" t="s">
        <v>31</v>
      </c>
      <c r="E945" s="109" t="s">
        <v>27</v>
      </c>
      <c r="F945" s="109" t="s">
        <v>39</v>
      </c>
      <c r="G945" s="109" t="s">
        <v>15</v>
      </c>
      <c r="H945" s="110">
        <v>231.15</v>
      </c>
      <c r="I945" s="109">
        <v>2</v>
      </c>
      <c r="J945" s="110">
        <v>462.3</v>
      </c>
    </row>
    <row r="946" spans="1:10" x14ac:dyDescent="0.25">
      <c r="A946" s="109" t="s">
        <v>1001</v>
      </c>
      <c r="B946" s="112">
        <v>45924</v>
      </c>
      <c r="C946" s="109" t="s">
        <v>38</v>
      </c>
      <c r="D946" s="109" t="s">
        <v>31</v>
      </c>
      <c r="E946" s="109" t="s">
        <v>27</v>
      </c>
      <c r="F946" s="109" t="s">
        <v>32</v>
      </c>
      <c r="G946" s="109" t="s">
        <v>36</v>
      </c>
      <c r="H946" s="110">
        <v>55.91</v>
      </c>
      <c r="I946" s="109">
        <v>7</v>
      </c>
      <c r="J946" s="110">
        <v>391.37</v>
      </c>
    </row>
    <row r="947" spans="1:10" x14ac:dyDescent="0.25">
      <c r="A947" s="109" t="s">
        <v>1002</v>
      </c>
      <c r="B947" s="112">
        <v>45739</v>
      </c>
      <c r="C947" s="109" t="s">
        <v>17</v>
      </c>
      <c r="D947" s="109" t="s">
        <v>55</v>
      </c>
      <c r="E947" s="109" t="s">
        <v>18</v>
      </c>
      <c r="F947" s="109" t="s">
        <v>19</v>
      </c>
      <c r="G947" s="109" t="s">
        <v>36</v>
      </c>
      <c r="H947" s="110">
        <v>156.83000000000001</v>
      </c>
      <c r="I947" s="109">
        <v>2</v>
      </c>
      <c r="J947" s="110">
        <v>313.66000000000003</v>
      </c>
    </row>
    <row r="948" spans="1:10" x14ac:dyDescent="0.25">
      <c r="A948" s="109" t="s">
        <v>1003</v>
      </c>
      <c r="B948" s="112">
        <v>45904</v>
      </c>
      <c r="C948" s="109" t="s">
        <v>30</v>
      </c>
      <c r="D948" s="109" t="s">
        <v>35</v>
      </c>
      <c r="E948" s="109" t="s">
        <v>45</v>
      </c>
      <c r="F948" s="109" t="s">
        <v>39</v>
      </c>
      <c r="G948" s="109" t="s">
        <v>20</v>
      </c>
      <c r="H948" s="110">
        <v>90.29</v>
      </c>
      <c r="I948" s="109">
        <v>10</v>
      </c>
      <c r="J948" s="110">
        <v>902.9</v>
      </c>
    </row>
    <row r="949" spans="1:10" x14ac:dyDescent="0.25">
      <c r="A949" s="109" t="s">
        <v>1004</v>
      </c>
      <c r="B949" s="112">
        <v>45769</v>
      </c>
      <c r="C949" s="109" t="s">
        <v>30</v>
      </c>
      <c r="D949" s="109" t="s">
        <v>12</v>
      </c>
      <c r="E949" s="109" t="s">
        <v>41</v>
      </c>
      <c r="F949" s="109" t="s">
        <v>32</v>
      </c>
      <c r="G949" s="109" t="s">
        <v>15</v>
      </c>
      <c r="H949" s="110">
        <v>151.91999999999999</v>
      </c>
      <c r="I949" s="109">
        <v>4</v>
      </c>
      <c r="J949" s="110">
        <v>607.67999999999995</v>
      </c>
    </row>
    <row r="950" spans="1:10" x14ac:dyDescent="0.25">
      <c r="A950" s="109" t="s">
        <v>1005</v>
      </c>
      <c r="B950" s="112">
        <v>45743</v>
      </c>
      <c r="C950" s="109" t="s">
        <v>25</v>
      </c>
      <c r="D950" s="109" t="s">
        <v>22</v>
      </c>
      <c r="E950" s="109" t="s">
        <v>41</v>
      </c>
      <c r="F950" s="109" t="s">
        <v>39</v>
      </c>
      <c r="G950" s="109" t="s">
        <v>15</v>
      </c>
      <c r="H950" s="110">
        <v>173.31</v>
      </c>
      <c r="I950" s="109">
        <v>9</v>
      </c>
      <c r="J950" s="110">
        <v>1559.79</v>
      </c>
    </row>
    <row r="951" spans="1:10" x14ac:dyDescent="0.25">
      <c r="A951" s="109" t="s">
        <v>1006</v>
      </c>
      <c r="B951" s="112">
        <v>45662</v>
      </c>
      <c r="C951" s="109" t="s">
        <v>25</v>
      </c>
      <c r="D951" s="109" t="s">
        <v>12</v>
      </c>
      <c r="E951" s="109" t="s">
        <v>41</v>
      </c>
      <c r="F951" s="109" t="s">
        <v>28</v>
      </c>
      <c r="G951" s="109" t="s">
        <v>20</v>
      </c>
      <c r="H951" s="110">
        <v>212.54</v>
      </c>
      <c r="I951" s="109">
        <v>2</v>
      </c>
      <c r="J951" s="110">
        <v>425.08</v>
      </c>
    </row>
    <row r="952" spans="1:10" x14ac:dyDescent="0.25">
      <c r="A952" s="109" t="s">
        <v>1007</v>
      </c>
      <c r="B952" s="112">
        <v>45737</v>
      </c>
      <c r="C952" s="109" t="s">
        <v>11</v>
      </c>
      <c r="D952" s="109" t="s">
        <v>26</v>
      </c>
      <c r="E952" s="109" t="s">
        <v>23</v>
      </c>
      <c r="F952" s="109" t="s">
        <v>61</v>
      </c>
      <c r="G952" s="109" t="s">
        <v>15</v>
      </c>
      <c r="H952" s="110">
        <v>75.41</v>
      </c>
      <c r="I952" s="109">
        <v>12</v>
      </c>
      <c r="J952" s="110">
        <v>904.92</v>
      </c>
    </row>
    <row r="953" spans="1:10" x14ac:dyDescent="0.25">
      <c r="A953" s="109" t="s">
        <v>1008</v>
      </c>
      <c r="B953" s="112">
        <v>46009</v>
      </c>
      <c r="C953" s="109" t="s">
        <v>34</v>
      </c>
      <c r="D953" s="109" t="s">
        <v>12</v>
      </c>
      <c r="E953" s="109" t="s">
        <v>45</v>
      </c>
      <c r="F953" s="109" t="s">
        <v>19</v>
      </c>
      <c r="G953" s="109" t="s">
        <v>36</v>
      </c>
      <c r="H953" s="110">
        <v>32.42</v>
      </c>
      <c r="I953" s="109">
        <v>20</v>
      </c>
      <c r="J953" s="110">
        <v>648.4</v>
      </c>
    </row>
    <row r="954" spans="1:10" x14ac:dyDescent="0.25">
      <c r="A954" s="109" t="s">
        <v>1009</v>
      </c>
      <c r="B954" s="112">
        <v>45988</v>
      </c>
      <c r="C954" s="109" t="s">
        <v>17</v>
      </c>
      <c r="D954" s="109" t="s">
        <v>55</v>
      </c>
      <c r="E954" s="109" t="s">
        <v>45</v>
      </c>
      <c r="F954" s="109" t="s">
        <v>14</v>
      </c>
      <c r="G954" s="109" t="s">
        <v>36</v>
      </c>
      <c r="H954" s="110">
        <v>60.11</v>
      </c>
      <c r="I954" s="109">
        <v>5</v>
      </c>
      <c r="J954" s="110">
        <v>300.55</v>
      </c>
    </row>
    <row r="955" spans="1:10" x14ac:dyDescent="0.25">
      <c r="A955" s="109" t="s">
        <v>1010</v>
      </c>
      <c r="B955" s="112">
        <v>45777</v>
      </c>
      <c r="C955" s="109" t="s">
        <v>25</v>
      </c>
      <c r="D955" s="109" t="s">
        <v>12</v>
      </c>
      <c r="E955" s="109" t="s">
        <v>13</v>
      </c>
      <c r="F955" s="109" t="s">
        <v>39</v>
      </c>
      <c r="G955" s="109" t="s">
        <v>36</v>
      </c>
      <c r="H955" s="110">
        <v>228</v>
      </c>
      <c r="I955" s="109">
        <v>11</v>
      </c>
      <c r="J955" s="110">
        <v>2508</v>
      </c>
    </row>
    <row r="956" spans="1:10" x14ac:dyDescent="0.25">
      <c r="A956" s="109" t="s">
        <v>1011</v>
      </c>
      <c r="B956" s="112">
        <v>45756</v>
      </c>
      <c r="C956" s="109" t="s">
        <v>17</v>
      </c>
      <c r="D956" s="109" t="s">
        <v>31</v>
      </c>
      <c r="E956" s="109" t="s">
        <v>13</v>
      </c>
      <c r="F956" s="109" t="s">
        <v>28</v>
      </c>
      <c r="G956" s="109" t="s">
        <v>15</v>
      </c>
      <c r="H956" s="110">
        <v>222.26</v>
      </c>
      <c r="I956" s="109">
        <v>1</v>
      </c>
      <c r="J956" s="110">
        <v>222.26</v>
      </c>
    </row>
    <row r="957" spans="1:10" x14ac:dyDescent="0.25">
      <c r="A957" s="109" t="s">
        <v>1012</v>
      </c>
      <c r="B957" s="112">
        <v>45786</v>
      </c>
      <c r="C957" s="109" t="s">
        <v>38</v>
      </c>
      <c r="D957" s="109" t="s">
        <v>12</v>
      </c>
      <c r="E957" s="109" t="s">
        <v>41</v>
      </c>
      <c r="F957" s="109" t="s">
        <v>42</v>
      </c>
      <c r="G957" s="109" t="s">
        <v>36</v>
      </c>
      <c r="H957" s="110">
        <v>161.43</v>
      </c>
      <c r="I957" s="109">
        <v>2</v>
      </c>
      <c r="J957" s="110">
        <v>322.86</v>
      </c>
    </row>
    <row r="958" spans="1:10" x14ac:dyDescent="0.25">
      <c r="A958" s="109" t="s">
        <v>1013</v>
      </c>
      <c r="B958" s="112">
        <v>45935</v>
      </c>
      <c r="C958" s="109" t="s">
        <v>30</v>
      </c>
      <c r="D958" s="109" t="s">
        <v>55</v>
      </c>
      <c r="E958" s="109" t="s">
        <v>23</v>
      </c>
      <c r="F958" s="109" t="s">
        <v>42</v>
      </c>
      <c r="G958" s="109" t="s">
        <v>36</v>
      </c>
      <c r="H958" s="110">
        <v>162.11000000000001</v>
      </c>
      <c r="I958" s="109">
        <v>16</v>
      </c>
      <c r="J958" s="110">
        <v>2593.7600000000002</v>
      </c>
    </row>
    <row r="959" spans="1:10" x14ac:dyDescent="0.25">
      <c r="A959" s="109" t="s">
        <v>1014</v>
      </c>
      <c r="B959" s="112">
        <v>45823</v>
      </c>
      <c r="C959" s="109" t="s">
        <v>34</v>
      </c>
      <c r="D959" s="109" t="s">
        <v>55</v>
      </c>
      <c r="E959" s="109" t="s">
        <v>18</v>
      </c>
      <c r="F959" s="109" t="s">
        <v>14</v>
      </c>
      <c r="G959" s="109" t="s">
        <v>15</v>
      </c>
      <c r="H959" s="110">
        <v>176.31</v>
      </c>
      <c r="I959" s="109">
        <v>15</v>
      </c>
      <c r="J959" s="110">
        <v>2644.65</v>
      </c>
    </row>
    <row r="960" spans="1:10" x14ac:dyDescent="0.25">
      <c r="A960" s="109" t="s">
        <v>1015</v>
      </c>
      <c r="B960" s="112">
        <v>45929</v>
      </c>
      <c r="C960" s="109" t="s">
        <v>38</v>
      </c>
      <c r="D960" s="109" t="s">
        <v>35</v>
      </c>
      <c r="E960" s="109" t="s">
        <v>13</v>
      </c>
      <c r="F960" s="109" t="s">
        <v>42</v>
      </c>
      <c r="G960" s="109" t="s">
        <v>36</v>
      </c>
      <c r="H960" s="110">
        <v>68.58</v>
      </c>
      <c r="I960" s="109">
        <v>5</v>
      </c>
      <c r="J960" s="110">
        <v>342.9</v>
      </c>
    </row>
    <row r="961" spans="1:10" x14ac:dyDescent="0.25">
      <c r="A961" s="109" t="s">
        <v>1016</v>
      </c>
      <c r="B961" s="112">
        <v>45890</v>
      </c>
      <c r="C961" s="109" t="s">
        <v>17</v>
      </c>
      <c r="D961" s="109" t="s">
        <v>55</v>
      </c>
      <c r="E961" s="109" t="s">
        <v>41</v>
      </c>
      <c r="F961" s="109" t="s">
        <v>28</v>
      </c>
      <c r="G961" s="109" t="s">
        <v>15</v>
      </c>
      <c r="H961" s="110">
        <v>231.17</v>
      </c>
      <c r="I961" s="109">
        <v>1</v>
      </c>
      <c r="J961" s="110">
        <v>231.17</v>
      </c>
    </row>
    <row r="962" spans="1:10" x14ac:dyDescent="0.25">
      <c r="A962" s="109" t="s">
        <v>1017</v>
      </c>
      <c r="B962" s="112">
        <v>45667</v>
      </c>
      <c r="C962" s="109" t="s">
        <v>34</v>
      </c>
      <c r="D962" s="109" t="s">
        <v>55</v>
      </c>
      <c r="E962" s="109" t="s">
        <v>23</v>
      </c>
      <c r="F962" s="109" t="s">
        <v>32</v>
      </c>
      <c r="G962" s="109" t="s">
        <v>20</v>
      </c>
      <c r="H962" s="110">
        <v>122.13</v>
      </c>
      <c r="I962" s="109">
        <v>20</v>
      </c>
      <c r="J962" s="110">
        <v>2442.6</v>
      </c>
    </row>
    <row r="963" spans="1:10" x14ac:dyDescent="0.25">
      <c r="A963" s="109" t="s">
        <v>1018</v>
      </c>
      <c r="B963" s="112">
        <v>45690</v>
      </c>
      <c r="C963" s="109" t="s">
        <v>38</v>
      </c>
      <c r="D963" s="109" t="s">
        <v>26</v>
      </c>
      <c r="E963" s="109" t="s">
        <v>18</v>
      </c>
      <c r="F963" s="109" t="s">
        <v>28</v>
      </c>
      <c r="G963" s="109" t="s">
        <v>36</v>
      </c>
      <c r="H963" s="110">
        <v>114.29</v>
      </c>
      <c r="I963" s="109">
        <v>18</v>
      </c>
      <c r="J963" s="110">
        <v>2057.2199999999998</v>
      </c>
    </row>
    <row r="964" spans="1:10" x14ac:dyDescent="0.25">
      <c r="A964" s="109" t="s">
        <v>1019</v>
      </c>
      <c r="B964" s="112">
        <v>45940</v>
      </c>
      <c r="C964" s="109" t="s">
        <v>25</v>
      </c>
      <c r="D964" s="109" t="s">
        <v>35</v>
      </c>
      <c r="E964" s="109" t="s">
        <v>13</v>
      </c>
      <c r="F964" s="109" t="s">
        <v>61</v>
      </c>
      <c r="G964" s="109" t="s">
        <v>20</v>
      </c>
      <c r="H964" s="110">
        <v>144.16</v>
      </c>
      <c r="I964" s="109">
        <v>5</v>
      </c>
      <c r="J964" s="110">
        <v>720.8</v>
      </c>
    </row>
    <row r="965" spans="1:10" x14ac:dyDescent="0.25">
      <c r="A965" s="109" t="s">
        <v>1020</v>
      </c>
      <c r="B965" s="112">
        <v>45822</v>
      </c>
      <c r="C965" s="109" t="s">
        <v>11</v>
      </c>
      <c r="D965" s="109" t="s">
        <v>55</v>
      </c>
      <c r="E965" s="109" t="s">
        <v>27</v>
      </c>
      <c r="F965" s="109" t="s">
        <v>19</v>
      </c>
      <c r="G965" s="109" t="s">
        <v>15</v>
      </c>
      <c r="H965" s="110">
        <v>40.33</v>
      </c>
      <c r="I965" s="109">
        <v>4</v>
      </c>
      <c r="J965" s="110">
        <v>161.32</v>
      </c>
    </row>
    <row r="966" spans="1:10" x14ac:dyDescent="0.25">
      <c r="A966" s="109" t="s">
        <v>1021</v>
      </c>
      <c r="B966" s="112">
        <v>45724</v>
      </c>
      <c r="C966" s="109" t="s">
        <v>11</v>
      </c>
      <c r="D966" s="109" t="s">
        <v>26</v>
      </c>
      <c r="E966" s="109" t="s">
        <v>45</v>
      </c>
      <c r="F966" s="109" t="s">
        <v>61</v>
      </c>
      <c r="G966" s="109" t="s">
        <v>15</v>
      </c>
      <c r="H966" s="110">
        <v>66.58</v>
      </c>
      <c r="I966" s="109">
        <v>6</v>
      </c>
      <c r="J966" s="110">
        <v>399.48</v>
      </c>
    </row>
    <row r="967" spans="1:10" x14ac:dyDescent="0.25">
      <c r="A967" s="109" t="s">
        <v>1022</v>
      </c>
      <c r="B967" s="112">
        <v>45708</v>
      </c>
      <c r="C967" s="109" t="s">
        <v>25</v>
      </c>
      <c r="D967" s="109" t="s">
        <v>12</v>
      </c>
      <c r="E967" s="109" t="s">
        <v>41</v>
      </c>
      <c r="F967" s="109" t="s">
        <v>28</v>
      </c>
      <c r="G967" s="109" t="s">
        <v>36</v>
      </c>
      <c r="H967" s="110">
        <v>192.37</v>
      </c>
      <c r="I967" s="109">
        <v>2</v>
      </c>
      <c r="J967" s="110">
        <v>384.74</v>
      </c>
    </row>
    <row r="968" spans="1:10" x14ac:dyDescent="0.25">
      <c r="A968" s="109" t="s">
        <v>1023</v>
      </c>
      <c r="B968" s="112">
        <v>45927</v>
      </c>
      <c r="C968" s="109" t="s">
        <v>17</v>
      </c>
      <c r="D968" s="109" t="s">
        <v>55</v>
      </c>
      <c r="E968" s="109" t="s">
        <v>13</v>
      </c>
      <c r="F968" s="109" t="s">
        <v>19</v>
      </c>
      <c r="G968" s="109" t="s">
        <v>36</v>
      </c>
      <c r="H968" s="110">
        <v>48.22</v>
      </c>
      <c r="I968" s="109">
        <v>20</v>
      </c>
      <c r="J968" s="110">
        <v>964.4</v>
      </c>
    </row>
    <row r="969" spans="1:10" x14ac:dyDescent="0.25">
      <c r="A969" s="109" t="s">
        <v>1024</v>
      </c>
      <c r="B969" s="112">
        <v>45771</v>
      </c>
      <c r="C969" s="109" t="s">
        <v>17</v>
      </c>
      <c r="D969" s="109" t="s">
        <v>22</v>
      </c>
      <c r="E969" s="109" t="s">
        <v>45</v>
      </c>
      <c r="F969" s="109" t="s">
        <v>14</v>
      </c>
      <c r="G969" s="109" t="s">
        <v>20</v>
      </c>
      <c r="H969" s="110">
        <v>162.69</v>
      </c>
      <c r="I969" s="109">
        <v>20</v>
      </c>
      <c r="J969" s="110">
        <v>3253.8</v>
      </c>
    </row>
    <row r="970" spans="1:10" x14ac:dyDescent="0.25">
      <c r="A970" s="109" t="s">
        <v>1025</v>
      </c>
      <c r="B970" s="112">
        <v>45909</v>
      </c>
      <c r="C970" s="109" t="s">
        <v>38</v>
      </c>
      <c r="D970" s="109" t="s">
        <v>12</v>
      </c>
      <c r="E970" s="109" t="s">
        <v>45</v>
      </c>
      <c r="F970" s="109" t="s">
        <v>32</v>
      </c>
      <c r="G970" s="109" t="s">
        <v>20</v>
      </c>
      <c r="H970" s="110">
        <v>83.98</v>
      </c>
      <c r="I970" s="109">
        <v>3</v>
      </c>
      <c r="J970" s="110">
        <v>251.94</v>
      </c>
    </row>
    <row r="971" spans="1:10" x14ac:dyDescent="0.25">
      <c r="A971" s="109" t="s">
        <v>1026</v>
      </c>
      <c r="B971" s="112">
        <v>45870</v>
      </c>
      <c r="C971" s="109" t="s">
        <v>17</v>
      </c>
      <c r="D971" s="109" t="s">
        <v>22</v>
      </c>
      <c r="E971" s="109" t="s">
        <v>18</v>
      </c>
      <c r="F971" s="109" t="s">
        <v>32</v>
      </c>
      <c r="G971" s="109" t="s">
        <v>20</v>
      </c>
      <c r="H971" s="110">
        <v>115.65</v>
      </c>
      <c r="I971" s="109">
        <v>12</v>
      </c>
      <c r="J971" s="110">
        <v>1387.8</v>
      </c>
    </row>
    <row r="972" spans="1:10" x14ac:dyDescent="0.25">
      <c r="A972" s="109" t="s">
        <v>1027</v>
      </c>
      <c r="B972" s="112">
        <v>45678</v>
      </c>
      <c r="C972" s="109" t="s">
        <v>34</v>
      </c>
      <c r="D972" s="109" t="s">
        <v>22</v>
      </c>
      <c r="E972" s="109" t="s">
        <v>23</v>
      </c>
      <c r="F972" s="109" t="s">
        <v>42</v>
      </c>
      <c r="G972" s="109" t="s">
        <v>15</v>
      </c>
      <c r="H972" s="110">
        <v>93.51</v>
      </c>
      <c r="I972" s="109">
        <v>3</v>
      </c>
      <c r="J972" s="110">
        <v>280.52999999999997</v>
      </c>
    </row>
    <row r="973" spans="1:10" x14ac:dyDescent="0.25">
      <c r="A973" s="109" t="s">
        <v>1028</v>
      </c>
      <c r="B973" s="112">
        <v>45709</v>
      </c>
      <c r="C973" s="109" t="s">
        <v>25</v>
      </c>
      <c r="D973" s="109" t="s">
        <v>31</v>
      </c>
      <c r="E973" s="109" t="s">
        <v>23</v>
      </c>
      <c r="F973" s="109" t="s">
        <v>14</v>
      </c>
      <c r="G973" s="109" t="s">
        <v>20</v>
      </c>
      <c r="H973" s="110">
        <v>108.25</v>
      </c>
      <c r="I973" s="109">
        <v>8</v>
      </c>
      <c r="J973" s="110">
        <v>866</v>
      </c>
    </row>
    <row r="974" spans="1:10" x14ac:dyDescent="0.25">
      <c r="A974" s="109" t="s">
        <v>1029</v>
      </c>
      <c r="B974" s="112">
        <v>45994</v>
      </c>
      <c r="C974" s="109" t="s">
        <v>25</v>
      </c>
      <c r="D974" s="109" t="s">
        <v>12</v>
      </c>
      <c r="E974" s="109" t="s">
        <v>23</v>
      </c>
      <c r="F974" s="109" t="s">
        <v>42</v>
      </c>
      <c r="G974" s="109" t="s">
        <v>20</v>
      </c>
      <c r="H974" s="110">
        <v>188.19</v>
      </c>
      <c r="I974" s="109">
        <v>8</v>
      </c>
      <c r="J974" s="110">
        <v>1505.52</v>
      </c>
    </row>
    <row r="975" spans="1:10" x14ac:dyDescent="0.25">
      <c r="A975" s="109" t="s">
        <v>1030</v>
      </c>
      <c r="B975" s="112">
        <v>45943</v>
      </c>
      <c r="C975" s="109" t="s">
        <v>17</v>
      </c>
      <c r="D975" s="109" t="s">
        <v>22</v>
      </c>
      <c r="E975" s="109" t="s">
        <v>27</v>
      </c>
      <c r="F975" s="109" t="s">
        <v>42</v>
      </c>
      <c r="G975" s="109" t="s">
        <v>36</v>
      </c>
      <c r="H975" s="110">
        <v>95.37</v>
      </c>
      <c r="I975" s="109">
        <v>14</v>
      </c>
      <c r="J975" s="110">
        <v>1335.18</v>
      </c>
    </row>
    <row r="976" spans="1:10" x14ac:dyDescent="0.25">
      <c r="A976" s="109" t="s">
        <v>1031</v>
      </c>
      <c r="B976" s="112">
        <v>46003</v>
      </c>
      <c r="C976" s="109" t="s">
        <v>17</v>
      </c>
      <c r="D976" s="109" t="s">
        <v>12</v>
      </c>
      <c r="E976" s="109" t="s">
        <v>41</v>
      </c>
      <c r="F976" s="109" t="s">
        <v>19</v>
      </c>
      <c r="G976" s="109" t="s">
        <v>15</v>
      </c>
      <c r="H976" s="110">
        <v>154.61000000000001</v>
      </c>
      <c r="I976" s="109">
        <v>15</v>
      </c>
      <c r="J976" s="110">
        <v>2319.15</v>
      </c>
    </row>
    <row r="977" spans="1:10" x14ac:dyDescent="0.25">
      <c r="A977" s="109" t="s">
        <v>1032</v>
      </c>
      <c r="B977" s="112">
        <v>45750</v>
      </c>
      <c r="C977" s="109" t="s">
        <v>38</v>
      </c>
      <c r="D977" s="109" t="s">
        <v>55</v>
      </c>
      <c r="E977" s="109" t="s">
        <v>13</v>
      </c>
      <c r="F977" s="109" t="s">
        <v>28</v>
      </c>
      <c r="G977" s="109" t="s">
        <v>15</v>
      </c>
      <c r="H977" s="110">
        <v>134.72999999999999</v>
      </c>
      <c r="I977" s="109">
        <v>18</v>
      </c>
      <c r="J977" s="110">
        <v>2425.14</v>
      </c>
    </row>
    <row r="978" spans="1:10" x14ac:dyDescent="0.25">
      <c r="A978" s="109" t="s">
        <v>1033</v>
      </c>
      <c r="B978" s="112">
        <v>45931</v>
      </c>
      <c r="C978" s="109" t="s">
        <v>38</v>
      </c>
      <c r="D978" s="109" t="s">
        <v>35</v>
      </c>
      <c r="E978" s="109" t="s">
        <v>13</v>
      </c>
      <c r="F978" s="109" t="s">
        <v>42</v>
      </c>
      <c r="G978" s="109" t="s">
        <v>36</v>
      </c>
      <c r="H978" s="110">
        <v>176.01</v>
      </c>
      <c r="I978" s="109">
        <v>20</v>
      </c>
      <c r="J978" s="110">
        <v>3520.2</v>
      </c>
    </row>
    <row r="979" spans="1:10" x14ac:dyDescent="0.25">
      <c r="A979" s="109" t="s">
        <v>1034</v>
      </c>
      <c r="B979" s="112">
        <v>45848</v>
      </c>
      <c r="C979" s="109" t="s">
        <v>17</v>
      </c>
      <c r="D979" s="109" t="s">
        <v>31</v>
      </c>
      <c r="E979" s="109" t="s">
        <v>27</v>
      </c>
      <c r="F979" s="109" t="s">
        <v>32</v>
      </c>
      <c r="G979" s="109" t="s">
        <v>20</v>
      </c>
      <c r="H979" s="110">
        <v>236.1</v>
      </c>
      <c r="I979" s="109">
        <v>14</v>
      </c>
      <c r="J979" s="110">
        <v>3305.4</v>
      </c>
    </row>
    <row r="980" spans="1:10" x14ac:dyDescent="0.25">
      <c r="A980" s="109" t="s">
        <v>1035</v>
      </c>
      <c r="B980" s="112">
        <v>45781</v>
      </c>
      <c r="C980" s="109" t="s">
        <v>25</v>
      </c>
      <c r="D980" s="109" t="s">
        <v>26</v>
      </c>
      <c r="E980" s="109" t="s">
        <v>41</v>
      </c>
      <c r="F980" s="109" t="s">
        <v>39</v>
      </c>
      <c r="G980" s="109" t="s">
        <v>20</v>
      </c>
      <c r="H980" s="110">
        <v>191.17</v>
      </c>
      <c r="I980" s="109">
        <v>19</v>
      </c>
      <c r="J980" s="110">
        <v>3632.23</v>
      </c>
    </row>
    <row r="981" spans="1:10" x14ac:dyDescent="0.25">
      <c r="A981" s="109" t="s">
        <v>1036</v>
      </c>
      <c r="B981" s="112">
        <v>45788</v>
      </c>
      <c r="C981" s="109" t="s">
        <v>38</v>
      </c>
      <c r="D981" s="109" t="s">
        <v>31</v>
      </c>
      <c r="E981" s="109" t="s">
        <v>41</v>
      </c>
      <c r="F981" s="109" t="s">
        <v>19</v>
      </c>
      <c r="G981" s="109" t="s">
        <v>20</v>
      </c>
      <c r="H981" s="110">
        <v>77.290000000000006</v>
      </c>
      <c r="I981" s="109">
        <v>12</v>
      </c>
      <c r="J981" s="110">
        <v>927.48</v>
      </c>
    </row>
    <row r="982" spans="1:10" x14ac:dyDescent="0.25">
      <c r="A982" s="109" t="s">
        <v>1037</v>
      </c>
      <c r="B982" s="112">
        <v>45675</v>
      </c>
      <c r="C982" s="109" t="s">
        <v>25</v>
      </c>
      <c r="D982" s="109" t="s">
        <v>22</v>
      </c>
      <c r="E982" s="109" t="s">
        <v>18</v>
      </c>
      <c r="F982" s="109" t="s">
        <v>14</v>
      </c>
      <c r="G982" s="109" t="s">
        <v>36</v>
      </c>
      <c r="H982" s="110">
        <v>36.86</v>
      </c>
      <c r="I982" s="109">
        <v>10</v>
      </c>
      <c r="J982" s="110">
        <v>368.6</v>
      </c>
    </row>
    <row r="983" spans="1:10" x14ac:dyDescent="0.25">
      <c r="A983" s="109" t="s">
        <v>1038</v>
      </c>
      <c r="B983" s="112">
        <v>45661</v>
      </c>
      <c r="C983" s="109" t="s">
        <v>30</v>
      </c>
      <c r="D983" s="109" t="s">
        <v>26</v>
      </c>
      <c r="E983" s="109" t="s">
        <v>13</v>
      </c>
      <c r="F983" s="109" t="s">
        <v>19</v>
      </c>
      <c r="G983" s="109" t="s">
        <v>20</v>
      </c>
      <c r="H983" s="110">
        <v>87.7</v>
      </c>
      <c r="I983" s="109">
        <v>10</v>
      </c>
      <c r="J983" s="110">
        <v>877</v>
      </c>
    </row>
    <row r="984" spans="1:10" x14ac:dyDescent="0.25">
      <c r="A984" s="109" t="s">
        <v>1039</v>
      </c>
      <c r="B984" s="112">
        <v>45799</v>
      </c>
      <c r="C984" s="109" t="s">
        <v>25</v>
      </c>
      <c r="D984" s="109" t="s">
        <v>55</v>
      </c>
      <c r="E984" s="109" t="s">
        <v>18</v>
      </c>
      <c r="F984" s="109" t="s">
        <v>42</v>
      </c>
      <c r="G984" s="109" t="s">
        <v>15</v>
      </c>
      <c r="H984" s="110">
        <v>160.91999999999999</v>
      </c>
      <c r="I984" s="109">
        <v>18</v>
      </c>
      <c r="J984" s="110">
        <v>2896.56</v>
      </c>
    </row>
    <row r="985" spans="1:10" x14ac:dyDescent="0.25">
      <c r="A985" s="109" t="s">
        <v>1040</v>
      </c>
      <c r="B985" s="112">
        <v>45706</v>
      </c>
      <c r="C985" s="109" t="s">
        <v>38</v>
      </c>
      <c r="D985" s="109" t="s">
        <v>35</v>
      </c>
      <c r="E985" s="109" t="s">
        <v>23</v>
      </c>
      <c r="F985" s="109" t="s">
        <v>14</v>
      </c>
      <c r="G985" s="109" t="s">
        <v>36</v>
      </c>
      <c r="H985" s="110">
        <v>41.31</v>
      </c>
      <c r="I985" s="109">
        <v>2</v>
      </c>
      <c r="J985" s="110">
        <v>82.62</v>
      </c>
    </row>
    <row r="986" spans="1:10" x14ac:dyDescent="0.25">
      <c r="A986" s="109" t="s">
        <v>1041</v>
      </c>
      <c r="B986" s="112">
        <v>45845</v>
      </c>
      <c r="C986" s="109" t="s">
        <v>30</v>
      </c>
      <c r="D986" s="109" t="s">
        <v>26</v>
      </c>
      <c r="E986" s="109" t="s">
        <v>13</v>
      </c>
      <c r="F986" s="109" t="s">
        <v>39</v>
      </c>
      <c r="G986" s="109" t="s">
        <v>36</v>
      </c>
      <c r="H986" s="110">
        <v>139.19999999999999</v>
      </c>
      <c r="I986" s="109">
        <v>19</v>
      </c>
      <c r="J986" s="110">
        <v>2644.8</v>
      </c>
    </row>
    <row r="987" spans="1:10" x14ac:dyDescent="0.25">
      <c r="A987" s="109" t="s">
        <v>1042</v>
      </c>
      <c r="B987" s="112">
        <v>45705</v>
      </c>
      <c r="C987" s="109" t="s">
        <v>38</v>
      </c>
      <c r="D987" s="109" t="s">
        <v>55</v>
      </c>
      <c r="E987" s="109" t="s">
        <v>23</v>
      </c>
      <c r="F987" s="109" t="s">
        <v>28</v>
      </c>
      <c r="G987" s="109" t="s">
        <v>15</v>
      </c>
      <c r="H987" s="110">
        <v>161.31</v>
      </c>
      <c r="I987" s="109">
        <v>19</v>
      </c>
      <c r="J987" s="110">
        <v>3064.89</v>
      </c>
    </row>
    <row r="988" spans="1:10" x14ac:dyDescent="0.25">
      <c r="A988" s="109" t="s">
        <v>1043</v>
      </c>
      <c r="B988" s="112">
        <v>45824</v>
      </c>
      <c r="C988" s="109" t="s">
        <v>30</v>
      </c>
      <c r="D988" s="109" t="s">
        <v>31</v>
      </c>
      <c r="E988" s="109" t="s">
        <v>27</v>
      </c>
      <c r="F988" s="109" t="s">
        <v>28</v>
      </c>
      <c r="G988" s="109" t="s">
        <v>20</v>
      </c>
      <c r="H988" s="110">
        <v>103.53</v>
      </c>
      <c r="I988" s="109">
        <v>16</v>
      </c>
      <c r="J988" s="110">
        <v>1656.48</v>
      </c>
    </row>
    <row r="989" spans="1:10" x14ac:dyDescent="0.25">
      <c r="A989" s="109" t="s">
        <v>1044</v>
      </c>
      <c r="B989" s="112">
        <v>45706</v>
      </c>
      <c r="C989" s="109" t="s">
        <v>17</v>
      </c>
      <c r="D989" s="109" t="s">
        <v>35</v>
      </c>
      <c r="E989" s="109" t="s">
        <v>45</v>
      </c>
      <c r="F989" s="109" t="s">
        <v>28</v>
      </c>
      <c r="G989" s="109" t="s">
        <v>20</v>
      </c>
      <c r="H989" s="110">
        <v>199.6</v>
      </c>
      <c r="I989" s="109">
        <v>20</v>
      </c>
      <c r="J989" s="110">
        <v>3992</v>
      </c>
    </row>
    <row r="990" spans="1:10" x14ac:dyDescent="0.25">
      <c r="A990" s="109" t="s">
        <v>1045</v>
      </c>
      <c r="B990" s="112">
        <v>45853</v>
      </c>
      <c r="C990" s="109" t="s">
        <v>11</v>
      </c>
      <c r="D990" s="109" t="s">
        <v>35</v>
      </c>
      <c r="E990" s="109" t="s">
        <v>13</v>
      </c>
      <c r="F990" s="109" t="s">
        <v>39</v>
      </c>
      <c r="G990" s="109" t="s">
        <v>36</v>
      </c>
      <c r="H990" s="110">
        <v>53.45</v>
      </c>
      <c r="I990" s="109">
        <v>3</v>
      </c>
      <c r="J990" s="110">
        <v>160.35</v>
      </c>
    </row>
    <row r="991" spans="1:10" x14ac:dyDescent="0.25">
      <c r="A991" s="109" t="s">
        <v>1046</v>
      </c>
      <c r="B991" s="112">
        <v>45871</v>
      </c>
      <c r="C991" s="109" t="s">
        <v>30</v>
      </c>
      <c r="D991" s="109" t="s">
        <v>12</v>
      </c>
      <c r="E991" s="109" t="s">
        <v>27</v>
      </c>
      <c r="F991" s="109" t="s">
        <v>39</v>
      </c>
      <c r="G991" s="109" t="s">
        <v>20</v>
      </c>
      <c r="H991" s="110">
        <v>46.53</v>
      </c>
      <c r="I991" s="109">
        <v>4</v>
      </c>
      <c r="J991" s="110">
        <v>186.12</v>
      </c>
    </row>
    <row r="992" spans="1:10" x14ac:dyDescent="0.25">
      <c r="A992" s="109" t="s">
        <v>1047</v>
      </c>
      <c r="B992" s="112">
        <v>45663</v>
      </c>
      <c r="C992" s="109" t="s">
        <v>11</v>
      </c>
      <c r="D992" s="109" t="s">
        <v>35</v>
      </c>
      <c r="E992" s="109" t="s">
        <v>18</v>
      </c>
      <c r="F992" s="109" t="s">
        <v>19</v>
      </c>
      <c r="G992" s="109" t="s">
        <v>36</v>
      </c>
      <c r="H992" s="110">
        <v>190.2</v>
      </c>
      <c r="I992" s="109">
        <v>13</v>
      </c>
      <c r="J992" s="110">
        <v>2472.6</v>
      </c>
    </row>
    <row r="993" spans="1:10" x14ac:dyDescent="0.25">
      <c r="A993" s="109" t="s">
        <v>1048</v>
      </c>
      <c r="B993" s="112">
        <v>45934</v>
      </c>
      <c r="C993" s="109" t="s">
        <v>30</v>
      </c>
      <c r="D993" s="109" t="s">
        <v>35</v>
      </c>
      <c r="E993" s="109" t="s">
        <v>18</v>
      </c>
      <c r="F993" s="109" t="s">
        <v>28</v>
      </c>
      <c r="G993" s="109" t="s">
        <v>15</v>
      </c>
      <c r="H993" s="110">
        <v>139.01</v>
      </c>
      <c r="I993" s="109">
        <v>19</v>
      </c>
      <c r="J993" s="110">
        <v>2641.19</v>
      </c>
    </row>
    <row r="994" spans="1:10" x14ac:dyDescent="0.25">
      <c r="A994" s="109" t="s">
        <v>1049</v>
      </c>
      <c r="B994" s="112">
        <v>45736</v>
      </c>
      <c r="C994" s="109" t="s">
        <v>17</v>
      </c>
      <c r="D994" s="109" t="s">
        <v>12</v>
      </c>
      <c r="E994" s="109" t="s">
        <v>41</v>
      </c>
      <c r="F994" s="109" t="s">
        <v>61</v>
      </c>
      <c r="G994" s="109" t="s">
        <v>20</v>
      </c>
      <c r="H994" s="110">
        <v>181.45</v>
      </c>
      <c r="I994" s="109">
        <v>2</v>
      </c>
      <c r="J994" s="110">
        <v>362.9</v>
      </c>
    </row>
    <row r="995" spans="1:10" x14ac:dyDescent="0.25">
      <c r="A995" s="109" t="s">
        <v>1050</v>
      </c>
      <c r="B995" s="112">
        <v>45952</v>
      </c>
      <c r="C995" s="109" t="s">
        <v>11</v>
      </c>
      <c r="D995" s="109" t="s">
        <v>26</v>
      </c>
      <c r="E995" s="109" t="s">
        <v>41</v>
      </c>
      <c r="F995" s="109" t="s">
        <v>32</v>
      </c>
      <c r="G995" s="109" t="s">
        <v>36</v>
      </c>
      <c r="H995" s="110">
        <v>125.66</v>
      </c>
      <c r="I995" s="109">
        <v>17</v>
      </c>
      <c r="J995" s="110">
        <v>2136.2199999999998</v>
      </c>
    </row>
    <row r="996" spans="1:10" x14ac:dyDescent="0.25">
      <c r="A996" s="109" t="s">
        <v>1051</v>
      </c>
      <c r="B996" s="112">
        <v>45733</v>
      </c>
      <c r="C996" s="109" t="s">
        <v>34</v>
      </c>
      <c r="D996" s="109" t="s">
        <v>22</v>
      </c>
      <c r="E996" s="109" t="s">
        <v>41</v>
      </c>
      <c r="F996" s="109" t="s">
        <v>42</v>
      </c>
      <c r="G996" s="109" t="s">
        <v>20</v>
      </c>
      <c r="H996" s="110">
        <v>84.21</v>
      </c>
      <c r="I996" s="109">
        <v>5</v>
      </c>
      <c r="J996" s="110">
        <v>421.05</v>
      </c>
    </row>
    <row r="997" spans="1:10" x14ac:dyDescent="0.25">
      <c r="A997" s="109" t="s">
        <v>1052</v>
      </c>
      <c r="B997" s="112">
        <v>45683</v>
      </c>
      <c r="C997" s="109" t="s">
        <v>38</v>
      </c>
      <c r="D997" s="109" t="s">
        <v>35</v>
      </c>
      <c r="E997" s="109" t="s">
        <v>45</v>
      </c>
      <c r="F997" s="109" t="s">
        <v>61</v>
      </c>
      <c r="G997" s="109" t="s">
        <v>20</v>
      </c>
      <c r="H997" s="110">
        <v>210.2</v>
      </c>
      <c r="I997" s="109">
        <v>18</v>
      </c>
      <c r="J997" s="110">
        <v>3783.6</v>
      </c>
    </row>
    <row r="998" spans="1:10" x14ac:dyDescent="0.25">
      <c r="A998" s="109" t="s">
        <v>1053</v>
      </c>
      <c r="B998" s="112">
        <v>45880</v>
      </c>
      <c r="C998" s="109" t="s">
        <v>30</v>
      </c>
      <c r="D998" s="109" t="s">
        <v>31</v>
      </c>
      <c r="E998" s="109" t="s">
        <v>18</v>
      </c>
      <c r="F998" s="109" t="s">
        <v>14</v>
      </c>
      <c r="G998" s="109" t="s">
        <v>36</v>
      </c>
      <c r="H998" s="110">
        <v>205.87</v>
      </c>
      <c r="I998" s="109">
        <v>5</v>
      </c>
      <c r="J998" s="110">
        <v>1029.3499999999999</v>
      </c>
    </row>
    <row r="999" spans="1:10" x14ac:dyDescent="0.25">
      <c r="A999" s="109" t="s">
        <v>1054</v>
      </c>
      <c r="B999" s="112">
        <v>45860</v>
      </c>
      <c r="C999" s="109" t="s">
        <v>30</v>
      </c>
      <c r="D999" s="109" t="s">
        <v>55</v>
      </c>
      <c r="E999" s="109" t="s">
        <v>18</v>
      </c>
      <c r="F999" s="109" t="s">
        <v>28</v>
      </c>
      <c r="G999" s="109" t="s">
        <v>20</v>
      </c>
      <c r="H999" s="110">
        <v>182.83</v>
      </c>
      <c r="I999" s="109">
        <v>19</v>
      </c>
      <c r="J999" s="110">
        <v>3473.77</v>
      </c>
    </row>
    <row r="1000" spans="1:10" x14ac:dyDescent="0.25">
      <c r="A1000" s="109" t="s">
        <v>1055</v>
      </c>
      <c r="B1000" s="112">
        <v>45784</v>
      </c>
      <c r="C1000" s="109" t="s">
        <v>11</v>
      </c>
      <c r="D1000" s="109" t="s">
        <v>35</v>
      </c>
      <c r="E1000" s="109" t="s">
        <v>41</v>
      </c>
      <c r="F1000" s="109" t="s">
        <v>32</v>
      </c>
      <c r="G1000" s="109" t="s">
        <v>20</v>
      </c>
      <c r="H1000" s="110">
        <v>89.87</v>
      </c>
      <c r="I1000" s="109">
        <v>8</v>
      </c>
      <c r="J1000" s="110">
        <v>718.96</v>
      </c>
    </row>
    <row r="1001" spans="1:10" x14ac:dyDescent="0.25">
      <c r="A1001" s="109" t="s">
        <v>1056</v>
      </c>
      <c r="B1001" s="112">
        <v>45952</v>
      </c>
      <c r="C1001" s="109" t="s">
        <v>11</v>
      </c>
      <c r="D1001" s="109" t="s">
        <v>12</v>
      </c>
      <c r="E1001" s="109" t="s">
        <v>41</v>
      </c>
      <c r="F1001" s="109" t="s">
        <v>61</v>
      </c>
      <c r="G1001" s="109" t="s">
        <v>36</v>
      </c>
      <c r="H1001" s="110">
        <v>159.85</v>
      </c>
      <c r="I1001" s="109">
        <v>3</v>
      </c>
      <c r="J1001" s="110">
        <v>479.55</v>
      </c>
    </row>
    <row r="1002" spans="1:10" x14ac:dyDescent="0.25">
      <c r="A1002" s="109" t="s">
        <v>1057</v>
      </c>
      <c r="B1002" s="112">
        <v>45836</v>
      </c>
      <c r="C1002" s="109" t="s">
        <v>34</v>
      </c>
      <c r="D1002" s="109" t="s">
        <v>35</v>
      </c>
      <c r="E1002" s="109" t="s">
        <v>18</v>
      </c>
      <c r="F1002" s="109" t="s">
        <v>28</v>
      </c>
      <c r="G1002" s="109" t="s">
        <v>15</v>
      </c>
      <c r="H1002" s="110">
        <v>109.41</v>
      </c>
      <c r="I1002" s="109">
        <v>7</v>
      </c>
      <c r="J1002" s="110">
        <v>765.87</v>
      </c>
    </row>
    <row r="1003" spans="1:10" x14ac:dyDescent="0.25">
      <c r="A1003" s="109" t="s">
        <v>1058</v>
      </c>
      <c r="B1003" s="112">
        <v>45814</v>
      </c>
      <c r="C1003" s="109" t="s">
        <v>34</v>
      </c>
      <c r="D1003" s="109" t="s">
        <v>55</v>
      </c>
      <c r="E1003" s="109" t="s">
        <v>41</v>
      </c>
      <c r="F1003" s="109" t="s">
        <v>42</v>
      </c>
      <c r="G1003" s="109" t="s">
        <v>15</v>
      </c>
      <c r="H1003" s="110">
        <v>50.15</v>
      </c>
      <c r="I1003" s="109">
        <v>6</v>
      </c>
      <c r="J1003" s="110">
        <v>300.89999999999998</v>
      </c>
    </row>
    <row r="1004" spans="1:10" x14ac:dyDescent="0.25">
      <c r="A1004" s="109" t="s">
        <v>1059</v>
      </c>
      <c r="B1004" s="112">
        <v>45883</v>
      </c>
      <c r="C1004" s="109" t="s">
        <v>30</v>
      </c>
      <c r="D1004" s="109" t="s">
        <v>26</v>
      </c>
      <c r="E1004" s="109" t="s">
        <v>27</v>
      </c>
      <c r="F1004" s="109" t="s">
        <v>32</v>
      </c>
      <c r="G1004" s="109" t="s">
        <v>15</v>
      </c>
      <c r="H1004" s="110">
        <v>231.81</v>
      </c>
      <c r="I1004" s="109">
        <v>2</v>
      </c>
      <c r="J1004" s="110">
        <v>463.62</v>
      </c>
    </row>
    <row r="1005" spans="1:10" x14ac:dyDescent="0.25">
      <c r="A1005" s="109" t="s">
        <v>1060</v>
      </c>
      <c r="B1005" s="112">
        <v>45701</v>
      </c>
      <c r="C1005" s="109" t="s">
        <v>17</v>
      </c>
      <c r="D1005" s="109" t="s">
        <v>22</v>
      </c>
      <c r="E1005" s="109" t="s">
        <v>23</v>
      </c>
      <c r="F1005" s="109" t="s">
        <v>42</v>
      </c>
      <c r="G1005" s="109" t="s">
        <v>15</v>
      </c>
      <c r="H1005" s="110">
        <v>60.1</v>
      </c>
      <c r="I1005" s="109">
        <v>4</v>
      </c>
      <c r="J1005" s="110">
        <v>240.4</v>
      </c>
    </row>
    <row r="1006" spans="1:10" x14ac:dyDescent="0.25">
      <c r="A1006" s="109" t="s">
        <v>1061</v>
      </c>
      <c r="B1006" s="112">
        <v>45805</v>
      </c>
      <c r="C1006" s="109" t="s">
        <v>34</v>
      </c>
      <c r="D1006" s="109" t="s">
        <v>12</v>
      </c>
      <c r="E1006" s="109" t="s">
        <v>45</v>
      </c>
      <c r="F1006" s="109" t="s">
        <v>32</v>
      </c>
      <c r="G1006" s="109" t="s">
        <v>36</v>
      </c>
      <c r="H1006" s="110">
        <v>239.05</v>
      </c>
      <c r="I1006" s="109">
        <v>1</v>
      </c>
      <c r="J1006" s="110">
        <v>239.05</v>
      </c>
    </row>
    <row r="1007" spans="1:10" x14ac:dyDescent="0.25">
      <c r="A1007" s="109" t="s">
        <v>1062</v>
      </c>
      <c r="B1007" s="112">
        <v>45899</v>
      </c>
      <c r="C1007" s="109" t="s">
        <v>34</v>
      </c>
      <c r="D1007" s="109" t="s">
        <v>26</v>
      </c>
      <c r="E1007" s="109" t="s">
        <v>27</v>
      </c>
      <c r="F1007" s="109" t="s">
        <v>42</v>
      </c>
      <c r="G1007" s="109" t="s">
        <v>15</v>
      </c>
      <c r="H1007" s="110">
        <v>128.12</v>
      </c>
      <c r="I1007" s="109">
        <v>1</v>
      </c>
      <c r="J1007" s="110">
        <v>128.12</v>
      </c>
    </row>
  </sheetData>
  <mergeCells count="4">
    <mergeCell ref="L1:M1"/>
    <mergeCell ref="L8:M8"/>
    <mergeCell ref="L15:M15"/>
    <mergeCell ref="U2:U11"/>
  </mergeCells>
  <conditionalFormatting sqref="H2:H1007">
    <cfRule type="cellIs" dxfId="144" priority="96" operator="lessThan">
      <formula>$M$5</formula>
    </cfRule>
    <cfRule type="cellIs" dxfId="143" priority="97" operator="greaterThan">
      <formula>$M$6</formula>
    </cfRule>
  </conditionalFormatting>
  <conditionalFormatting sqref="I2:I1007">
    <cfRule type="cellIs" dxfId="142" priority="3" operator="lessThan">
      <formula>$M$12</formula>
    </cfRule>
    <cfRule type="cellIs" dxfId="141" priority="4" operator="greaterThan">
      <formula>$M$13</formula>
    </cfRule>
  </conditionalFormatting>
  <conditionalFormatting sqref="J2:J1007">
    <cfRule type="cellIs" dxfId="140" priority="1" operator="lessThan">
      <formula>$M$19</formula>
    </cfRule>
    <cfRule type="cellIs" dxfId="139" priority="2" operator="greaterThan">
      <formula>$M$20</formula>
    </cfRule>
  </conditionalFormatting>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3" tint="-0.499984740745262"/>
  </sheetPr>
  <dimension ref="A1:L1007"/>
  <sheetViews>
    <sheetView zoomScale="80" zoomScaleNormal="80" workbookViewId="0">
      <selection activeCell="L26" sqref="L26"/>
    </sheetView>
  </sheetViews>
  <sheetFormatPr defaultRowHeight="15" x14ac:dyDescent="0.25"/>
  <cols>
    <col min="1" max="1" width="9.85546875" bestFit="1" customWidth="1"/>
    <col min="2" max="2" width="18" customWidth="1"/>
    <col min="3" max="3" width="12.42578125" bestFit="1" customWidth="1"/>
    <col min="4" max="4" width="13" bestFit="1" customWidth="1"/>
    <col min="5" max="5" width="8" bestFit="1" customWidth="1"/>
    <col min="6" max="6" width="12" bestFit="1" customWidth="1"/>
    <col min="7" max="7" width="16.28515625" bestFit="1" customWidth="1"/>
    <col min="8" max="8" width="12.42578125" style="2" bestFit="1" customWidth="1"/>
    <col min="9" max="9" width="12.85546875" bestFit="1" customWidth="1"/>
    <col min="10" max="10" width="16" style="2" bestFit="1" customWidth="1"/>
    <col min="12" max="12" width="8.28515625" customWidth="1"/>
    <col min="13" max="13" width="15.140625" bestFit="1" customWidth="1"/>
    <col min="14" max="15" width="15.28515625" customWidth="1"/>
    <col min="16" max="16" width="19.42578125" customWidth="1"/>
  </cols>
  <sheetData>
    <row r="1" spans="1:10" x14ac:dyDescent="0.25">
      <c r="A1" t="s">
        <v>0</v>
      </c>
      <c r="B1" t="s">
        <v>1</v>
      </c>
      <c r="C1" t="s">
        <v>2</v>
      </c>
      <c r="D1" t="s">
        <v>3</v>
      </c>
      <c r="E1" t="s">
        <v>4</v>
      </c>
      <c r="F1" t="s">
        <v>5</v>
      </c>
      <c r="G1" t="s">
        <v>6</v>
      </c>
      <c r="H1" s="2" t="s">
        <v>7</v>
      </c>
      <c r="I1" t="s">
        <v>8</v>
      </c>
      <c r="J1" s="2" t="s">
        <v>9</v>
      </c>
    </row>
    <row r="2" spans="1:10" x14ac:dyDescent="0.25">
      <c r="A2" t="str">
        <f>'Data Cleaning'!A2</f>
        <v>S1</v>
      </c>
      <c r="B2" s="113">
        <f>'Data Cleaning'!B2</f>
        <v>45985</v>
      </c>
      <c r="C2" t="str">
        <f>'Data Cleaning'!C2</f>
        <v>Nike</v>
      </c>
      <c r="D2" t="str">
        <f>'Data Cleaning'!D2</f>
        <v>Boots</v>
      </c>
      <c r="E2" t="str">
        <f>'Data Cleaning'!E2</f>
        <v>Blue</v>
      </c>
      <c r="F2" t="str">
        <f>'Data Cleaning'!F2</f>
        <v>UK</v>
      </c>
      <c r="G2" t="str">
        <f>'Data Cleaning'!G2</f>
        <v>Online</v>
      </c>
      <c r="H2" s="2">
        <f>'Data Cleaning'!H2</f>
        <v>112.4</v>
      </c>
      <c r="I2">
        <f>'Data Cleaning'!I2</f>
        <v>4</v>
      </c>
      <c r="J2" s="2">
        <f>'Data Cleaning'!J2</f>
        <v>449.6</v>
      </c>
    </row>
    <row r="3" spans="1:10" ht="15" customHeight="1" x14ac:dyDescent="0.25">
      <c r="A3" t="str">
        <f>'Data Cleaning'!A3</f>
        <v>S2</v>
      </c>
      <c r="B3" s="113">
        <f>'Data Cleaning'!B3</f>
        <v>45729</v>
      </c>
      <c r="C3" t="str">
        <f>'Data Cleaning'!C3</f>
        <v>Skechers</v>
      </c>
      <c r="D3" t="str">
        <f>'Data Cleaning'!D3</f>
        <v>Boots</v>
      </c>
      <c r="E3" t="str">
        <f>'Data Cleaning'!E3</f>
        <v>Grey</v>
      </c>
      <c r="F3" t="str">
        <f>'Data Cleaning'!F3</f>
        <v>USA</v>
      </c>
      <c r="G3" t="str">
        <f>'Data Cleaning'!G3</f>
        <v>Mall</v>
      </c>
      <c r="H3" s="2">
        <f>'Data Cleaning'!H3</f>
        <v>239.16</v>
      </c>
      <c r="I3">
        <f>'Data Cleaning'!I3</f>
        <v>4</v>
      </c>
      <c r="J3" s="2">
        <f>'Data Cleaning'!J3</f>
        <v>956.64</v>
      </c>
    </row>
    <row r="4" spans="1:10" x14ac:dyDescent="0.25">
      <c r="A4" t="str">
        <f>'Data Cleaning'!A4</f>
        <v>S3</v>
      </c>
      <c r="B4" s="113">
        <f>'Data Cleaning'!B4</f>
        <v>45874</v>
      </c>
      <c r="C4" t="str">
        <f>'Data Cleaning'!C4</f>
        <v>Nike</v>
      </c>
      <c r="D4" t="str">
        <f>'Data Cleaning'!D4</f>
        <v>Running</v>
      </c>
      <c r="E4" t="str">
        <f>'Data Cleaning'!E4</f>
        <v>White</v>
      </c>
      <c r="F4" t="str">
        <f>'Data Cleaning'!F4</f>
        <v>UK</v>
      </c>
      <c r="G4" t="str">
        <f>'Data Cleaning'!G4</f>
        <v>Mall</v>
      </c>
      <c r="H4" s="2">
        <f>'Data Cleaning'!H4</f>
        <v>191.04</v>
      </c>
      <c r="I4">
        <f>'Data Cleaning'!I4</f>
        <v>2</v>
      </c>
      <c r="J4" s="2">
        <f>'Data Cleaning'!J4</f>
        <v>382.08</v>
      </c>
    </row>
    <row r="5" spans="1:10" x14ac:dyDescent="0.25">
      <c r="A5" t="str">
        <f>'Data Cleaning'!A5</f>
        <v>S4</v>
      </c>
      <c r="B5" s="113">
        <f>'Data Cleaning'!B5</f>
        <v>45966</v>
      </c>
      <c r="C5" t="str">
        <f>'Data Cleaning'!C5</f>
        <v>New Balance</v>
      </c>
      <c r="D5" t="str">
        <f>'Data Cleaning'!D5</f>
        <v>Casual</v>
      </c>
      <c r="E5" t="str">
        <f>'Data Cleaning'!E5</f>
        <v>Green</v>
      </c>
      <c r="F5" t="str">
        <f>'Data Cleaning'!F5</f>
        <v>UAE</v>
      </c>
      <c r="G5" t="str">
        <f>'Data Cleaning'!G5</f>
        <v>Mall</v>
      </c>
      <c r="H5" s="2">
        <f>'Data Cleaning'!H5</f>
        <v>161.69999999999999</v>
      </c>
      <c r="I5">
        <f>'Data Cleaning'!I5</f>
        <v>1</v>
      </c>
      <c r="J5" s="2">
        <f>'Data Cleaning'!J5</f>
        <v>161.69999999999999</v>
      </c>
    </row>
    <row r="6" spans="1:10" x14ac:dyDescent="0.25">
      <c r="A6" t="str">
        <f>'Data Cleaning'!A6</f>
        <v>S5</v>
      </c>
      <c r="B6" s="113">
        <f>'Data Cleaning'!B6</f>
        <v>45937</v>
      </c>
      <c r="C6" t="str">
        <f>'Data Cleaning'!C6</f>
        <v>Adidas</v>
      </c>
      <c r="D6" t="str">
        <f>'Data Cleaning'!D6</f>
        <v>Formal</v>
      </c>
      <c r="E6" t="str">
        <f>'Data Cleaning'!E6</f>
        <v>Grey</v>
      </c>
      <c r="F6" t="str">
        <f>'Data Cleaning'!F6</f>
        <v>France</v>
      </c>
      <c r="G6" t="str">
        <f>'Data Cleaning'!G6</f>
        <v>Online</v>
      </c>
      <c r="H6" s="2">
        <f>'Data Cleaning'!H6</f>
        <v>64.319999999999993</v>
      </c>
      <c r="I6">
        <f>'Data Cleaning'!I6</f>
        <v>14</v>
      </c>
      <c r="J6" s="2">
        <f>'Data Cleaning'!J6</f>
        <v>900.48</v>
      </c>
    </row>
    <row r="7" spans="1:10" x14ac:dyDescent="0.25">
      <c r="A7" t="str">
        <f>'Data Cleaning'!A7</f>
        <v>S6</v>
      </c>
      <c r="B7" s="113">
        <f>'Data Cleaning'!B7</f>
        <v>45739</v>
      </c>
      <c r="C7" t="str">
        <f>'Data Cleaning'!C7</f>
        <v>Puma</v>
      </c>
      <c r="D7" t="str">
        <f>'Data Cleaning'!D7</f>
        <v>Sports</v>
      </c>
      <c r="E7" t="str">
        <f>'Data Cleaning'!E7</f>
        <v>White</v>
      </c>
      <c r="F7" t="str">
        <f>'Data Cleaning'!F7</f>
        <v>UK</v>
      </c>
      <c r="G7" t="str">
        <f>'Data Cleaning'!G7</f>
        <v>Retail Store</v>
      </c>
      <c r="H7" s="2">
        <f>'Data Cleaning'!H7</f>
        <v>64.319999999999993</v>
      </c>
      <c r="I7">
        <f>'Data Cleaning'!I7</f>
        <v>14</v>
      </c>
      <c r="J7" s="2">
        <f>'Data Cleaning'!J7</f>
        <v>900.48</v>
      </c>
    </row>
    <row r="8" spans="1:10" x14ac:dyDescent="0.25">
      <c r="A8" t="str">
        <f>'Data Cleaning'!A8</f>
        <v>S7</v>
      </c>
      <c r="B8" s="113">
        <f>'Data Cleaning'!B8</f>
        <v>45710</v>
      </c>
      <c r="C8" t="str">
        <f>'Data Cleaning'!C8</f>
        <v>Reebok</v>
      </c>
      <c r="D8" t="str">
        <f>'Data Cleaning'!D8</f>
        <v>Running</v>
      </c>
      <c r="E8" t="str">
        <f>'Data Cleaning'!E8</f>
        <v>Blue</v>
      </c>
      <c r="F8" t="str">
        <f>'Data Cleaning'!F8</f>
        <v>Saudi Arabia</v>
      </c>
      <c r="G8" t="str">
        <f>'Data Cleaning'!G8</f>
        <v>Retail Store</v>
      </c>
      <c r="H8" s="2">
        <f>'Data Cleaning'!H8</f>
        <v>42.78</v>
      </c>
      <c r="I8">
        <f>'Data Cleaning'!I8</f>
        <v>3</v>
      </c>
      <c r="J8" s="2">
        <f>'Data Cleaning'!J8</f>
        <v>128.34</v>
      </c>
    </row>
    <row r="9" spans="1:10" x14ac:dyDescent="0.25">
      <c r="A9" t="str">
        <f>'Data Cleaning'!A9</f>
        <v>S8</v>
      </c>
      <c r="B9" s="113">
        <f>'Data Cleaning'!B9</f>
        <v>45967</v>
      </c>
      <c r="C9" t="str">
        <f>'Data Cleaning'!C9</f>
        <v>Nike</v>
      </c>
      <c r="D9" t="str">
        <f>'Data Cleaning'!D9</f>
        <v>Boots</v>
      </c>
      <c r="E9" t="str">
        <f>'Data Cleaning'!E9</f>
        <v>Red</v>
      </c>
      <c r="F9" t="str">
        <f>'Data Cleaning'!F9</f>
        <v>India</v>
      </c>
      <c r="G9" t="str">
        <f>'Data Cleaning'!G9</f>
        <v>Online</v>
      </c>
      <c r="H9" s="2">
        <f>'Data Cleaning'!H9</f>
        <v>220.56</v>
      </c>
      <c r="I9">
        <f>'Data Cleaning'!I9</f>
        <v>9</v>
      </c>
      <c r="J9" s="2">
        <f>'Data Cleaning'!J9</f>
        <v>1985.04</v>
      </c>
    </row>
    <row r="10" spans="1:10" x14ac:dyDescent="0.25">
      <c r="A10" t="str">
        <f>'Data Cleaning'!A10</f>
        <v>S9</v>
      </c>
      <c r="B10" s="113">
        <f>'Data Cleaning'!B10</f>
        <v>45851</v>
      </c>
      <c r="C10" t="str">
        <f>'Data Cleaning'!C10</f>
        <v>New Balance</v>
      </c>
      <c r="D10" t="str">
        <f>'Data Cleaning'!D10</f>
        <v>Sports</v>
      </c>
      <c r="E10" t="str">
        <f>'Data Cleaning'!E10</f>
        <v>Green</v>
      </c>
      <c r="F10" t="str">
        <f>'Data Cleaning'!F10</f>
        <v>India</v>
      </c>
      <c r="G10" t="str">
        <f>'Data Cleaning'!G10</f>
        <v>Retail Store</v>
      </c>
      <c r="H10" s="2">
        <f>'Data Cleaning'!H10</f>
        <v>162.25</v>
      </c>
      <c r="I10">
        <f>'Data Cleaning'!I10</f>
        <v>3</v>
      </c>
      <c r="J10" s="2">
        <f>'Data Cleaning'!J10</f>
        <v>486.75</v>
      </c>
    </row>
    <row r="11" spans="1:10" x14ac:dyDescent="0.25">
      <c r="A11" t="str">
        <f>'Data Cleaning'!A11</f>
        <v>S10</v>
      </c>
      <c r="B11" s="113">
        <f>'Data Cleaning'!B11</f>
        <v>45953</v>
      </c>
      <c r="C11" t="str">
        <f>'Data Cleaning'!C11</f>
        <v>Skechers</v>
      </c>
      <c r="D11" t="str">
        <f>'Data Cleaning'!D11</f>
        <v>Running</v>
      </c>
      <c r="E11" t="str">
        <f>'Data Cleaning'!E11</f>
        <v>Black</v>
      </c>
      <c r="F11" t="str">
        <f>'Data Cleaning'!F11</f>
        <v>UAE</v>
      </c>
      <c r="G11" t="str">
        <f>'Data Cleaning'!G11</f>
        <v>Online</v>
      </c>
      <c r="H11" s="2">
        <f>'Data Cleaning'!H11</f>
        <v>185.78</v>
      </c>
      <c r="I11">
        <f>'Data Cleaning'!I11</f>
        <v>7</v>
      </c>
      <c r="J11" s="2">
        <f>'Data Cleaning'!J11</f>
        <v>1300.46</v>
      </c>
    </row>
    <row r="12" spans="1:10" x14ac:dyDescent="0.25">
      <c r="A12" t="str">
        <f>'Data Cleaning'!A12</f>
        <v>S11</v>
      </c>
      <c r="B12" s="113">
        <f>'Data Cleaning'!B12</f>
        <v>45806</v>
      </c>
      <c r="C12" t="str">
        <f>'Data Cleaning'!C12</f>
        <v>Adidas</v>
      </c>
      <c r="D12" t="str">
        <f>'Data Cleaning'!D12</f>
        <v>Running</v>
      </c>
      <c r="E12" t="str">
        <f>'Data Cleaning'!E12</f>
        <v>Red</v>
      </c>
      <c r="F12" t="str">
        <f>'Data Cleaning'!F12</f>
        <v>France</v>
      </c>
      <c r="G12" t="str">
        <f>'Data Cleaning'!G12</f>
        <v>Retail Store</v>
      </c>
      <c r="H12" s="2">
        <f>'Data Cleaning'!H12</f>
        <v>34.53</v>
      </c>
      <c r="I12">
        <f>'Data Cleaning'!I12</f>
        <v>3</v>
      </c>
      <c r="J12" s="2">
        <f>'Data Cleaning'!J12</f>
        <v>103.59</v>
      </c>
    </row>
    <row r="13" spans="1:10" x14ac:dyDescent="0.25">
      <c r="A13" t="str">
        <f>'Data Cleaning'!A13</f>
        <v>S12</v>
      </c>
      <c r="B13" s="113">
        <f>'Data Cleaning'!B13</f>
        <v>45983</v>
      </c>
      <c r="C13" t="str">
        <f>'Data Cleaning'!C13</f>
        <v>Adidas</v>
      </c>
      <c r="D13" t="str">
        <f>'Data Cleaning'!D13</f>
        <v>Sports</v>
      </c>
      <c r="E13" t="str">
        <f>'Data Cleaning'!E13</f>
        <v>Blue</v>
      </c>
      <c r="F13" t="str">
        <f>'Data Cleaning'!F13</f>
        <v>UK</v>
      </c>
      <c r="G13" t="str">
        <f>'Data Cleaning'!G13</f>
        <v>Mall</v>
      </c>
      <c r="H13" s="2">
        <f>'Data Cleaning'!H13</f>
        <v>243.38</v>
      </c>
      <c r="I13">
        <f>'Data Cleaning'!I13</f>
        <v>12</v>
      </c>
      <c r="J13" s="2">
        <f>'Data Cleaning'!J13</f>
        <v>2920.56</v>
      </c>
    </row>
    <row r="14" spans="1:10" x14ac:dyDescent="0.25">
      <c r="A14" t="str">
        <f>'Data Cleaning'!A14</f>
        <v>S13</v>
      </c>
      <c r="B14" s="113">
        <f>'Data Cleaning'!B14</f>
        <v>45794</v>
      </c>
      <c r="C14" t="str">
        <f>'Data Cleaning'!C14</f>
        <v>New Balance</v>
      </c>
      <c r="D14" t="str">
        <f>'Data Cleaning'!D14</f>
        <v>Boots</v>
      </c>
      <c r="E14" t="str">
        <f>'Data Cleaning'!E14</f>
        <v>White</v>
      </c>
      <c r="F14" t="str">
        <f>'Data Cleaning'!F14</f>
        <v>India</v>
      </c>
      <c r="G14" t="str">
        <f>'Data Cleaning'!G14</f>
        <v>Mall</v>
      </c>
      <c r="H14" s="2">
        <f>'Data Cleaning'!H14</f>
        <v>213.14</v>
      </c>
      <c r="I14">
        <f>'Data Cleaning'!I14</f>
        <v>3</v>
      </c>
      <c r="J14" s="2">
        <f>'Data Cleaning'!J14</f>
        <v>639.41999999999996</v>
      </c>
    </row>
    <row r="15" spans="1:10" x14ac:dyDescent="0.25">
      <c r="A15" t="str">
        <f>'Data Cleaning'!A15</f>
        <v>S14</v>
      </c>
      <c r="B15" s="113">
        <f>'Data Cleaning'!B15</f>
        <v>45783</v>
      </c>
      <c r="C15" t="str">
        <f>'Data Cleaning'!C15</f>
        <v>Reebok</v>
      </c>
      <c r="D15" t="str">
        <f>'Data Cleaning'!D15</f>
        <v>Formal</v>
      </c>
      <c r="E15" t="str">
        <f>'Data Cleaning'!E15</f>
        <v>Blue</v>
      </c>
      <c r="F15" t="str">
        <f>'Data Cleaning'!F15</f>
        <v>UAE</v>
      </c>
      <c r="G15" t="str">
        <f>'Data Cleaning'!G15</f>
        <v>Mall</v>
      </c>
      <c r="H15" s="2">
        <f>'Data Cleaning'!H15</f>
        <v>76.709999999999994</v>
      </c>
      <c r="I15">
        <f>'Data Cleaning'!I15</f>
        <v>6</v>
      </c>
      <c r="J15" s="2">
        <f>'Data Cleaning'!J15</f>
        <v>460.26</v>
      </c>
    </row>
    <row r="16" spans="1:10" x14ac:dyDescent="0.25">
      <c r="A16" t="str">
        <f>'Data Cleaning'!A16</f>
        <v>S15</v>
      </c>
      <c r="B16" s="113">
        <f>'Data Cleaning'!B16</f>
        <v>45943</v>
      </c>
      <c r="C16" t="str">
        <f>'Data Cleaning'!C16</f>
        <v>Skechers</v>
      </c>
      <c r="D16" t="str">
        <f>'Data Cleaning'!D16</f>
        <v>Sports</v>
      </c>
      <c r="E16" t="str">
        <f>'Data Cleaning'!E16</f>
        <v>Black</v>
      </c>
      <c r="F16" t="str">
        <f>'Data Cleaning'!F16</f>
        <v>UK</v>
      </c>
      <c r="G16" t="str">
        <f>'Data Cleaning'!G16</f>
        <v>Online</v>
      </c>
      <c r="H16" s="2">
        <f>'Data Cleaning'!H16</f>
        <v>70</v>
      </c>
      <c r="I16">
        <f>'Data Cleaning'!I16</f>
        <v>8</v>
      </c>
      <c r="J16" s="2">
        <f>'Data Cleaning'!J16</f>
        <v>560</v>
      </c>
    </row>
    <row r="17" spans="1:12" x14ac:dyDescent="0.25">
      <c r="A17" t="str">
        <f>'Data Cleaning'!A17</f>
        <v>S16</v>
      </c>
      <c r="B17" s="113">
        <f>'Data Cleaning'!B17</f>
        <v>45819</v>
      </c>
      <c r="C17" t="str">
        <f>'Data Cleaning'!C17</f>
        <v>Puma</v>
      </c>
      <c r="D17" t="str">
        <f>'Data Cleaning'!D17</f>
        <v>Running</v>
      </c>
      <c r="E17" t="str">
        <f>'Data Cleaning'!E17</f>
        <v>White</v>
      </c>
      <c r="F17" t="str">
        <f>'Data Cleaning'!F17</f>
        <v>India</v>
      </c>
      <c r="G17" t="str">
        <f>'Data Cleaning'!G17</f>
        <v>Mall</v>
      </c>
      <c r="H17" s="2">
        <f>'Data Cleaning'!H17</f>
        <v>70.349999999999994</v>
      </c>
      <c r="I17">
        <f>'Data Cleaning'!I17</f>
        <v>13</v>
      </c>
      <c r="J17" s="2">
        <f>'Data Cleaning'!J17</f>
        <v>914.55</v>
      </c>
    </row>
    <row r="18" spans="1:12" x14ac:dyDescent="0.25">
      <c r="A18" t="str">
        <f>'Data Cleaning'!A18</f>
        <v>S17</v>
      </c>
      <c r="B18" s="113">
        <f>'Data Cleaning'!B18</f>
        <v>45819</v>
      </c>
      <c r="C18" t="str">
        <f>'Data Cleaning'!C18</f>
        <v>Skechers</v>
      </c>
      <c r="D18" t="str">
        <f>'Data Cleaning'!D18</f>
        <v>Formal</v>
      </c>
      <c r="E18" t="str">
        <f>'Data Cleaning'!E18</f>
        <v>Red</v>
      </c>
      <c r="F18" t="str">
        <f>'Data Cleaning'!F18</f>
        <v>UAE</v>
      </c>
      <c r="G18" t="str">
        <f>'Data Cleaning'!G18</f>
        <v>Retail Store</v>
      </c>
      <c r="H18" s="2">
        <f>'Data Cleaning'!H18</f>
        <v>96.93</v>
      </c>
      <c r="I18">
        <f>'Data Cleaning'!I18</f>
        <v>7</v>
      </c>
      <c r="J18" s="2">
        <f>'Data Cleaning'!J18</f>
        <v>678.51</v>
      </c>
    </row>
    <row r="19" spans="1:12" x14ac:dyDescent="0.25">
      <c r="A19" t="str">
        <f>'Data Cleaning'!A19</f>
        <v>S18</v>
      </c>
      <c r="B19" s="113">
        <f>'Data Cleaning'!B19</f>
        <v>45731</v>
      </c>
      <c r="C19" t="str">
        <f>'Data Cleaning'!C19</f>
        <v>Adidas</v>
      </c>
      <c r="D19" t="str">
        <f>'Data Cleaning'!D19</f>
        <v>Casual</v>
      </c>
      <c r="E19" t="str">
        <f>'Data Cleaning'!E19</f>
        <v>Green</v>
      </c>
      <c r="F19" t="str">
        <f>'Data Cleaning'!F19</f>
        <v>India</v>
      </c>
      <c r="G19" t="str">
        <f>'Data Cleaning'!G19</f>
        <v>Mall</v>
      </c>
      <c r="H19" s="2">
        <f>'Data Cleaning'!H19</f>
        <v>145.44999999999999</v>
      </c>
      <c r="I19">
        <f>'Data Cleaning'!I19</f>
        <v>9</v>
      </c>
      <c r="J19" s="2">
        <f>'Data Cleaning'!J19</f>
        <v>1309.05</v>
      </c>
    </row>
    <row r="20" spans="1:12" x14ac:dyDescent="0.25">
      <c r="A20" t="str">
        <f>'Data Cleaning'!A20</f>
        <v>S19</v>
      </c>
      <c r="B20" s="113">
        <f>'Data Cleaning'!B20</f>
        <v>45792</v>
      </c>
      <c r="C20" t="str">
        <f>'Data Cleaning'!C20</f>
        <v>Reebok</v>
      </c>
      <c r="D20" t="str">
        <f>'Data Cleaning'!D20</f>
        <v>Sneakers</v>
      </c>
      <c r="E20" t="str">
        <f>'Data Cleaning'!E20</f>
        <v>Red</v>
      </c>
      <c r="F20" t="str">
        <f>'Data Cleaning'!F20</f>
        <v>France</v>
      </c>
      <c r="G20" t="str">
        <f>'Data Cleaning'!G20</f>
        <v>Online</v>
      </c>
      <c r="H20" s="2">
        <f>'Data Cleaning'!H20</f>
        <v>125.03</v>
      </c>
      <c r="I20">
        <f>'Data Cleaning'!I20</f>
        <v>19</v>
      </c>
      <c r="J20" s="2">
        <f>'Data Cleaning'!J20</f>
        <v>2375.5700000000002</v>
      </c>
    </row>
    <row r="21" spans="1:12" x14ac:dyDescent="0.25">
      <c r="A21" t="str">
        <f>'Data Cleaning'!A21</f>
        <v>S20</v>
      </c>
      <c r="B21" s="113">
        <f>'Data Cleaning'!B21</f>
        <v>45728</v>
      </c>
      <c r="C21" t="str">
        <f>'Data Cleaning'!C21</f>
        <v>Reebok</v>
      </c>
      <c r="D21" t="str">
        <f>'Data Cleaning'!D21</f>
        <v>Running</v>
      </c>
      <c r="E21" t="str">
        <f>'Data Cleaning'!E21</f>
        <v>Black</v>
      </c>
      <c r="F21" t="str">
        <f>'Data Cleaning'!F21</f>
        <v>Saudi Arabia</v>
      </c>
      <c r="G21" t="str">
        <f>'Data Cleaning'!G21</f>
        <v>Online</v>
      </c>
      <c r="H21" s="2">
        <f>'Data Cleaning'!H21</f>
        <v>94.07</v>
      </c>
      <c r="I21">
        <f>'Data Cleaning'!I21</f>
        <v>17</v>
      </c>
      <c r="J21" s="2">
        <f>'Data Cleaning'!J21</f>
        <v>1599.19</v>
      </c>
    </row>
    <row r="22" spans="1:12" x14ac:dyDescent="0.25">
      <c r="A22" t="str">
        <f>'Data Cleaning'!A22</f>
        <v>S21</v>
      </c>
      <c r="B22" s="113">
        <f>'Data Cleaning'!B22</f>
        <v>45736</v>
      </c>
      <c r="C22" t="str">
        <f>'Data Cleaning'!C22</f>
        <v>Skechers</v>
      </c>
      <c r="D22" t="str">
        <f>'Data Cleaning'!D22</f>
        <v>Formal</v>
      </c>
      <c r="E22" t="str">
        <f>'Data Cleaning'!E22</f>
        <v>Grey</v>
      </c>
      <c r="F22" t="str">
        <f>'Data Cleaning'!F22</f>
        <v>USA</v>
      </c>
      <c r="G22" t="str">
        <f>'Data Cleaning'!G22</f>
        <v>Retail Store</v>
      </c>
      <c r="H22" s="2">
        <f>'Data Cleaning'!H22</f>
        <v>164.61</v>
      </c>
      <c r="I22">
        <f>'Data Cleaning'!I22</f>
        <v>6</v>
      </c>
      <c r="J22" s="2">
        <f>'Data Cleaning'!J22</f>
        <v>987.66</v>
      </c>
    </row>
    <row r="23" spans="1:12" x14ac:dyDescent="0.25">
      <c r="A23" t="str">
        <f>'Data Cleaning'!A23</f>
        <v>S22</v>
      </c>
      <c r="B23" s="113">
        <f>'Data Cleaning'!B23</f>
        <v>45853</v>
      </c>
      <c r="C23" t="str">
        <f>'Data Cleaning'!C23</f>
        <v>Reebok</v>
      </c>
      <c r="D23" t="str">
        <f>'Data Cleaning'!D23</f>
        <v>Sneakers</v>
      </c>
      <c r="E23" t="str">
        <f>'Data Cleaning'!E23</f>
        <v>Blue</v>
      </c>
      <c r="F23" t="str">
        <f>'Data Cleaning'!F23</f>
        <v>India</v>
      </c>
      <c r="G23" t="str">
        <f>'Data Cleaning'!G23</f>
        <v>Online</v>
      </c>
      <c r="H23" s="2">
        <f>'Data Cleaning'!H23</f>
        <v>60.69</v>
      </c>
      <c r="I23">
        <f>'Data Cleaning'!I23</f>
        <v>20</v>
      </c>
      <c r="J23" s="2">
        <f>'Data Cleaning'!J23</f>
        <v>1213.8</v>
      </c>
    </row>
    <row r="24" spans="1:12" x14ac:dyDescent="0.25">
      <c r="A24" t="str">
        <f>'Data Cleaning'!A24</f>
        <v>S23</v>
      </c>
      <c r="B24" s="113">
        <f>'Data Cleaning'!B24</f>
        <v>46006</v>
      </c>
      <c r="C24" t="str">
        <f>'Data Cleaning'!C24</f>
        <v>Skechers</v>
      </c>
      <c r="D24" t="str">
        <f>'Data Cleaning'!D24</f>
        <v>Sneakers</v>
      </c>
      <c r="E24" t="str">
        <f>'Data Cleaning'!E24</f>
        <v>Blue</v>
      </c>
      <c r="F24" t="str">
        <f>'Data Cleaning'!F24</f>
        <v>Saudi Arabia</v>
      </c>
      <c r="G24" t="str">
        <f>'Data Cleaning'!G24</f>
        <v>Mall</v>
      </c>
      <c r="H24" s="2">
        <f>'Data Cleaning'!H24</f>
        <v>94.27</v>
      </c>
      <c r="I24">
        <f>'Data Cleaning'!I24</f>
        <v>4</v>
      </c>
      <c r="J24" s="2">
        <f>'Data Cleaning'!J24</f>
        <v>377.08</v>
      </c>
      <c r="L24" s="1"/>
    </row>
    <row r="25" spans="1:12" x14ac:dyDescent="0.25">
      <c r="A25" t="str">
        <f>'Data Cleaning'!A25</f>
        <v>S24</v>
      </c>
      <c r="B25" s="113">
        <f>'Data Cleaning'!B25</f>
        <v>45832</v>
      </c>
      <c r="C25" t="str">
        <f>'Data Cleaning'!C25</f>
        <v>Puma</v>
      </c>
      <c r="D25" t="str">
        <f>'Data Cleaning'!D25</f>
        <v>Formal</v>
      </c>
      <c r="E25" t="str">
        <f>'Data Cleaning'!E25</f>
        <v>White</v>
      </c>
      <c r="F25" t="str">
        <f>'Data Cleaning'!F25</f>
        <v>Germany</v>
      </c>
      <c r="G25" t="str">
        <f>'Data Cleaning'!G25</f>
        <v>Online</v>
      </c>
      <c r="H25" s="2">
        <f>'Data Cleaning'!H25</f>
        <v>110.6</v>
      </c>
      <c r="I25">
        <f>'Data Cleaning'!I25</f>
        <v>4</v>
      </c>
      <c r="J25" s="2">
        <f>'Data Cleaning'!J25</f>
        <v>442.4</v>
      </c>
      <c r="L25" s="1"/>
    </row>
    <row r="26" spans="1:12" x14ac:dyDescent="0.25">
      <c r="A26" t="str">
        <f>'Data Cleaning'!A26</f>
        <v>S25</v>
      </c>
      <c r="B26" s="113">
        <f>'Data Cleaning'!B26</f>
        <v>45792</v>
      </c>
      <c r="C26" t="str">
        <f>'Data Cleaning'!C26</f>
        <v>Adidas</v>
      </c>
      <c r="D26" t="str">
        <f>'Data Cleaning'!D26</f>
        <v>Sneakers</v>
      </c>
      <c r="E26" t="str">
        <f>'Data Cleaning'!E26</f>
        <v>Black</v>
      </c>
      <c r="F26" t="str">
        <f>'Data Cleaning'!F26</f>
        <v>Saudi Arabia</v>
      </c>
      <c r="G26" t="str">
        <f>'Data Cleaning'!G26</f>
        <v>Mall</v>
      </c>
      <c r="H26" s="2">
        <f>'Data Cleaning'!H26</f>
        <v>130.34</v>
      </c>
      <c r="I26">
        <f>'Data Cleaning'!I26</f>
        <v>17</v>
      </c>
      <c r="J26" s="2">
        <f>'Data Cleaning'!J26</f>
        <v>2215.7800000000002</v>
      </c>
    </row>
    <row r="27" spans="1:12" x14ac:dyDescent="0.25">
      <c r="A27" t="str">
        <f>'Data Cleaning'!A27</f>
        <v>S26</v>
      </c>
      <c r="B27" s="113">
        <f>'Data Cleaning'!B27</f>
        <v>45810</v>
      </c>
      <c r="C27" t="str">
        <f>'Data Cleaning'!C27</f>
        <v>New Balance</v>
      </c>
      <c r="D27" t="str">
        <f>'Data Cleaning'!D27</f>
        <v>Casual</v>
      </c>
      <c r="E27" t="str">
        <f>'Data Cleaning'!E27</f>
        <v>White</v>
      </c>
      <c r="F27" t="str">
        <f>'Data Cleaning'!F27</f>
        <v>France</v>
      </c>
      <c r="G27" t="str">
        <f>'Data Cleaning'!G27</f>
        <v>Online</v>
      </c>
      <c r="H27" s="2">
        <f>'Data Cleaning'!H27</f>
        <v>202.74</v>
      </c>
      <c r="I27">
        <f>'Data Cleaning'!I27</f>
        <v>17</v>
      </c>
      <c r="J27" s="2">
        <f>'Data Cleaning'!J27</f>
        <v>3446.58</v>
      </c>
    </row>
    <row r="28" spans="1:12" x14ac:dyDescent="0.25">
      <c r="A28" t="str">
        <f>'Data Cleaning'!A28</f>
        <v>S27</v>
      </c>
      <c r="B28" s="113">
        <f>'Data Cleaning'!B28</f>
        <v>45934</v>
      </c>
      <c r="C28" t="str">
        <f>'Data Cleaning'!C28</f>
        <v>Nike</v>
      </c>
      <c r="D28" t="str">
        <f>'Data Cleaning'!D28</f>
        <v>Sneakers</v>
      </c>
      <c r="E28" t="str">
        <f>'Data Cleaning'!E28</f>
        <v>Blue</v>
      </c>
      <c r="F28" t="str">
        <f>'Data Cleaning'!F28</f>
        <v>Germany</v>
      </c>
      <c r="G28" t="str">
        <f>'Data Cleaning'!G28</f>
        <v>Online</v>
      </c>
      <c r="H28" s="2">
        <f>'Data Cleaning'!H28</f>
        <v>73.930000000000007</v>
      </c>
      <c r="I28">
        <f>'Data Cleaning'!I28</f>
        <v>17</v>
      </c>
      <c r="J28" s="2">
        <f>'Data Cleaning'!J28</f>
        <v>1256.81</v>
      </c>
    </row>
    <row r="29" spans="1:12" x14ac:dyDescent="0.25">
      <c r="A29" t="str">
        <f>'Data Cleaning'!A29</f>
        <v>S28</v>
      </c>
      <c r="B29" s="113">
        <f>'Data Cleaning'!B29</f>
        <v>45715</v>
      </c>
      <c r="C29" t="str">
        <f>'Data Cleaning'!C29</f>
        <v>Puma</v>
      </c>
      <c r="D29" t="str">
        <f>'Data Cleaning'!D29</f>
        <v>Casual</v>
      </c>
      <c r="E29" t="str">
        <f>'Data Cleaning'!E29</f>
        <v>Black</v>
      </c>
      <c r="F29" t="str">
        <f>'Data Cleaning'!F29</f>
        <v>UK</v>
      </c>
      <c r="G29" t="str">
        <f>'Data Cleaning'!G29</f>
        <v>Mall</v>
      </c>
      <c r="H29" s="2">
        <f>'Data Cleaning'!H29</f>
        <v>143.13</v>
      </c>
      <c r="I29">
        <f>'Data Cleaning'!I29</f>
        <v>12</v>
      </c>
      <c r="J29" s="2">
        <f>'Data Cleaning'!J29</f>
        <v>1717.56</v>
      </c>
    </row>
    <row r="30" spans="1:12" x14ac:dyDescent="0.25">
      <c r="A30" t="str">
        <f>'Data Cleaning'!A30</f>
        <v>S29</v>
      </c>
      <c r="B30" s="113">
        <f>'Data Cleaning'!B30</f>
        <v>45698</v>
      </c>
      <c r="C30" t="str">
        <f>'Data Cleaning'!C30</f>
        <v>Skechers</v>
      </c>
      <c r="D30" t="str">
        <f>'Data Cleaning'!D30</f>
        <v>Formal</v>
      </c>
      <c r="E30" t="str">
        <f>'Data Cleaning'!E30</f>
        <v>Black</v>
      </c>
      <c r="F30" t="str">
        <f>'Data Cleaning'!F30</f>
        <v>Saudi Arabia</v>
      </c>
      <c r="G30" t="str">
        <f>'Data Cleaning'!G30</f>
        <v>Mall</v>
      </c>
      <c r="H30" s="2">
        <f>'Data Cleaning'!H30</f>
        <v>160.33000000000001</v>
      </c>
      <c r="I30">
        <f>'Data Cleaning'!I30</f>
        <v>3</v>
      </c>
      <c r="J30" s="2">
        <f>'Data Cleaning'!J30</f>
        <v>480.99</v>
      </c>
    </row>
    <row r="31" spans="1:12" x14ac:dyDescent="0.25">
      <c r="A31" t="str">
        <f>'Data Cleaning'!A31</f>
        <v>S30</v>
      </c>
      <c r="B31" s="113">
        <f>'Data Cleaning'!B31</f>
        <v>45722</v>
      </c>
      <c r="C31" t="str">
        <f>'Data Cleaning'!C31</f>
        <v>Skechers</v>
      </c>
      <c r="D31" t="str">
        <f>'Data Cleaning'!D31</f>
        <v>Formal</v>
      </c>
      <c r="E31" t="str">
        <f>'Data Cleaning'!E31</f>
        <v>Grey</v>
      </c>
      <c r="F31" t="str">
        <f>'Data Cleaning'!F31</f>
        <v>UK</v>
      </c>
      <c r="G31" t="str">
        <f>'Data Cleaning'!G31</f>
        <v>Retail Store</v>
      </c>
      <c r="H31" s="2">
        <f>'Data Cleaning'!H31</f>
        <v>40.22</v>
      </c>
      <c r="I31">
        <f>'Data Cleaning'!I31</f>
        <v>5</v>
      </c>
      <c r="J31" s="2">
        <f>'Data Cleaning'!J31</f>
        <v>201.1</v>
      </c>
    </row>
    <row r="32" spans="1:12" x14ac:dyDescent="0.25">
      <c r="A32" t="str">
        <f>'Data Cleaning'!A32</f>
        <v>S31</v>
      </c>
      <c r="B32" s="113">
        <f>'Data Cleaning'!B32</f>
        <v>45928</v>
      </c>
      <c r="C32" t="str">
        <f>'Data Cleaning'!C32</f>
        <v>Reebok</v>
      </c>
      <c r="D32" t="str">
        <f>'Data Cleaning'!D32</f>
        <v>Casual</v>
      </c>
      <c r="E32" t="str">
        <f>'Data Cleaning'!E32</f>
        <v>Grey</v>
      </c>
      <c r="F32" t="str">
        <f>'Data Cleaning'!F32</f>
        <v>Saudi Arabia</v>
      </c>
      <c r="G32" t="str">
        <f>'Data Cleaning'!G32</f>
        <v>Mall</v>
      </c>
      <c r="H32" s="2">
        <f>'Data Cleaning'!H32</f>
        <v>163.66</v>
      </c>
      <c r="I32">
        <f>'Data Cleaning'!I32</f>
        <v>20</v>
      </c>
      <c r="J32" s="2">
        <f>'Data Cleaning'!J32</f>
        <v>3273.2</v>
      </c>
    </row>
    <row r="33" spans="1:10" x14ac:dyDescent="0.25">
      <c r="A33" t="str">
        <f>'Data Cleaning'!A33</f>
        <v>S32</v>
      </c>
      <c r="B33" s="113">
        <f>'Data Cleaning'!B33</f>
        <v>46011</v>
      </c>
      <c r="C33" t="str">
        <f>'Data Cleaning'!C33</f>
        <v>Skechers</v>
      </c>
      <c r="D33" t="str">
        <f>'Data Cleaning'!D33</f>
        <v>Sports</v>
      </c>
      <c r="E33" t="str">
        <f>'Data Cleaning'!E33</f>
        <v>Red</v>
      </c>
      <c r="F33" t="str">
        <f>'Data Cleaning'!F33</f>
        <v>UAE</v>
      </c>
      <c r="G33" t="str">
        <f>'Data Cleaning'!G33</f>
        <v>Mall</v>
      </c>
      <c r="H33" s="2">
        <f>'Data Cleaning'!H33</f>
        <v>67.52</v>
      </c>
      <c r="I33">
        <f>'Data Cleaning'!I33</f>
        <v>7</v>
      </c>
      <c r="J33" s="2">
        <f>'Data Cleaning'!J33</f>
        <v>472.64</v>
      </c>
    </row>
    <row r="34" spans="1:10" x14ac:dyDescent="0.25">
      <c r="A34" t="str">
        <f>'Data Cleaning'!A34</f>
        <v>S33</v>
      </c>
      <c r="B34" s="113">
        <f>'Data Cleaning'!B34</f>
        <v>45849</v>
      </c>
      <c r="C34" t="str">
        <f>'Data Cleaning'!C34</f>
        <v>New Balance</v>
      </c>
      <c r="D34" t="str">
        <f>'Data Cleaning'!D34</f>
        <v>Formal</v>
      </c>
      <c r="E34" t="str">
        <f>'Data Cleaning'!E34</f>
        <v>Black</v>
      </c>
      <c r="F34" t="str">
        <f>'Data Cleaning'!F34</f>
        <v>UK</v>
      </c>
      <c r="G34" t="str">
        <f>'Data Cleaning'!G34</f>
        <v>Online</v>
      </c>
      <c r="H34" s="2">
        <f>'Data Cleaning'!H34</f>
        <v>44.31</v>
      </c>
      <c r="I34">
        <f>'Data Cleaning'!I34</f>
        <v>15</v>
      </c>
      <c r="J34" s="2">
        <f>'Data Cleaning'!J34</f>
        <v>664.65</v>
      </c>
    </row>
    <row r="35" spans="1:10" x14ac:dyDescent="0.25">
      <c r="A35" t="str">
        <f>'Data Cleaning'!A35</f>
        <v>S34</v>
      </c>
      <c r="B35" s="113">
        <f>'Data Cleaning'!B35</f>
        <v>45690</v>
      </c>
      <c r="C35" t="str">
        <f>'Data Cleaning'!C35</f>
        <v>Nike</v>
      </c>
      <c r="D35" t="str">
        <f>'Data Cleaning'!D35</f>
        <v>Sneakers</v>
      </c>
      <c r="E35" t="str">
        <f>'Data Cleaning'!E35</f>
        <v>Grey</v>
      </c>
      <c r="F35" t="str">
        <f>'Data Cleaning'!F35</f>
        <v>UK</v>
      </c>
      <c r="G35" t="str">
        <f>'Data Cleaning'!G35</f>
        <v>Mall</v>
      </c>
      <c r="H35" s="2">
        <f>'Data Cleaning'!H35</f>
        <v>238.75</v>
      </c>
      <c r="I35">
        <f>'Data Cleaning'!I35</f>
        <v>11</v>
      </c>
      <c r="J35" s="2">
        <f>'Data Cleaning'!J35</f>
        <v>2626.25</v>
      </c>
    </row>
    <row r="36" spans="1:10" x14ac:dyDescent="0.25">
      <c r="A36" t="str">
        <f>'Data Cleaning'!A36</f>
        <v>S35</v>
      </c>
      <c r="B36" s="113">
        <f>'Data Cleaning'!B36</f>
        <v>45770</v>
      </c>
      <c r="C36" t="str">
        <f>'Data Cleaning'!C36</f>
        <v>Nike</v>
      </c>
      <c r="D36" t="str">
        <f>'Data Cleaning'!D36</f>
        <v>Boots</v>
      </c>
      <c r="E36" t="str">
        <f>'Data Cleaning'!E36</f>
        <v>Green</v>
      </c>
      <c r="F36" t="str">
        <f>'Data Cleaning'!F36</f>
        <v>USA</v>
      </c>
      <c r="G36" t="str">
        <f>'Data Cleaning'!G36</f>
        <v>Online</v>
      </c>
      <c r="H36" s="2">
        <f>'Data Cleaning'!H36</f>
        <v>242.44</v>
      </c>
      <c r="I36">
        <f>'Data Cleaning'!I36</f>
        <v>1</v>
      </c>
      <c r="J36" s="2">
        <f>'Data Cleaning'!J36</f>
        <v>242.44</v>
      </c>
    </row>
    <row r="37" spans="1:10" x14ac:dyDescent="0.25">
      <c r="A37" t="str">
        <f>'Data Cleaning'!A37</f>
        <v>S36</v>
      </c>
      <c r="B37" s="113">
        <f>'Data Cleaning'!B37</f>
        <v>45692</v>
      </c>
      <c r="C37" t="str">
        <f>'Data Cleaning'!C37</f>
        <v>Puma</v>
      </c>
      <c r="D37" t="str">
        <f>'Data Cleaning'!D37</f>
        <v>Running</v>
      </c>
      <c r="E37" t="str">
        <f>'Data Cleaning'!E37</f>
        <v>Grey</v>
      </c>
      <c r="F37" t="str">
        <f>'Data Cleaning'!F37</f>
        <v>UK</v>
      </c>
      <c r="G37" t="str">
        <f>'Data Cleaning'!G37</f>
        <v>Retail Store</v>
      </c>
      <c r="H37" s="2">
        <f>'Data Cleaning'!H37</f>
        <v>207.85</v>
      </c>
      <c r="I37">
        <f>'Data Cleaning'!I37</f>
        <v>2</v>
      </c>
      <c r="J37" s="2">
        <f>'Data Cleaning'!J37</f>
        <v>415.7</v>
      </c>
    </row>
    <row r="38" spans="1:10" x14ac:dyDescent="0.25">
      <c r="A38" t="str">
        <f>'Data Cleaning'!A38</f>
        <v>S37</v>
      </c>
      <c r="B38" s="113">
        <f>'Data Cleaning'!B38</f>
        <v>46000</v>
      </c>
      <c r="C38" t="str">
        <f>'Data Cleaning'!C38</f>
        <v>Adidas</v>
      </c>
      <c r="D38" t="str">
        <f>'Data Cleaning'!D38</f>
        <v>Sneakers</v>
      </c>
      <c r="E38" t="str">
        <f>'Data Cleaning'!E38</f>
        <v>White</v>
      </c>
      <c r="F38" t="str">
        <f>'Data Cleaning'!F38</f>
        <v>UAE</v>
      </c>
      <c r="G38" t="str">
        <f>'Data Cleaning'!G38</f>
        <v>Mall</v>
      </c>
      <c r="H38" s="2">
        <f>'Data Cleaning'!H38</f>
        <v>97.02</v>
      </c>
      <c r="I38">
        <f>'Data Cleaning'!I38</f>
        <v>16</v>
      </c>
      <c r="J38" s="2">
        <f>'Data Cleaning'!J38</f>
        <v>1552.32</v>
      </c>
    </row>
    <row r="39" spans="1:10" x14ac:dyDescent="0.25">
      <c r="A39" t="str">
        <f>'Data Cleaning'!A39</f>
        <v>S38</v>
      </c>
      <c r="B39" s="113">
        <f>'Data Cleaning'!B39</f>
        <v>45953</v>
      </c>
      <c r="C39" t="str">
        <f>'Data Cleaning'!C39</f>
        <v>Adidas</v>
      </c>
      <c r="D39" t="str">
        <f>'Data Cleaning'!D39</f>
        <v>Formal</v>
      </c>
      <c r="E39" t="str">
        <f>'Data Cleaning'!E39</f>
        <v>Red</v>
      </c>
      <c r="F39" t="str">
        <f>'Data Cleaning'!F39</f>
        <v>UK</v>
      </c>
      <c r="G39" t="str">
        <f>'Data Cleaning'!G39</f>
        <v>Online</v>
      </c>
      <c r="H39" s="2">
        <f>'Data Cleaning'!H39</f>
        <v>51.49</v>
      </c>
      <c r="I39">
        <f>'Data Cleaning'!I39</f>
        <v>16</v>
      </c>
      <c r="J39" s="2">
        <f>'Data Cleaning'!J39</f>
        <v>823.84</v>
      </c>
    </row>
    <row r="40" spans="1:10" x14ac:dyDescent="0.25">
      <c r="A40" t="str">
        <f>'Data Cleaning'!A40</f>
        <v>S39</v>
      </c>
      <c r="B40" s="113">
        <f>'Data Cleaning'!B40</f>
        <v>45707</v>
      </c>
      <c r="C40" t="str">
        <f>'Data Cleaning'!C40</f>
        <v>Puma</v>
      </c>
      <c r="D40" t="str">
        <f>'Data Cleaning'!D40</f>
        <v>Formal</v>
      </c>
      <c r="E40" t="str">
        <f>'Data Cleaning'!E40</f>
        <v>Red</v>
      </c>
      <c r="F40" t="str">
        <f>'Data Cleaning'!F40</f>
        <v>Germany</v>
      </c>
      <c r="G40" t="str">
        <f>'Data Cleaning'!G40</f>
        <v>Mall</v>
      </c>
      <c r="H40" s="2">
        <f>'Data Cleaning'!H40</f>
        <v>180.53</v>
      </c>
      <c r="I40">
        <f>'Data Cleaning'!I40</f>
        <v>14</v>
      </c>
      <c r="J40" s="2">
        <f>'Data Cleaning'!J40</f>
        <v>2527.42</v>
      </c>
    </row>
    <row r="41" spans="1:10" x14ac:dyDescent="0.25">
      <c r="A41" t="str">
        <f>'Data Cleaning'!A41</f>
        <v>S40</v>
      </c>
      <c r="B41" s="113">
        <f>'Data Cleaning'!B41</f>
        <v>45685</v>
      </c>
      <c r="C41" t="str">
        <f>'Data Cleaning'!C41</f>
        <v>Nike</v>
      </c>
      <c r="D41" t="str">
        <f>'Data Cleaning'!D41</f>
        <v>Formal</v>
      </c>
      <c r="E41" t="str">
        <f>'Data Cleaning'!E41</f>
        <v>Green</v>
      </c>
      <c r="F41" t="str">
        <f>'Data Cleaning'!F41</f>
        <v>France</v>
      </c>
      <c r="G41" t="str">
        <f>'Data Cleaning'!G41</f>
        <v>Online</v>
      </c>
      <c r="H41" s="2">
        <f>'Data Cleaning'!H41</f>
        <v>126.83</v>
      </c>
      <c r="I41">
        <f>'Data Cleaning'!I41</f>
        <v>4</v>
      </c>
      <c r="J41" s="2">
        <f>'Data Cleaning'!J41</f>
        <v>507.32</v>
      </c>
    </row>
    <row r="42" spans="1:10" x14ac:dyDescent="0.25">
      <c r="A42" t="str">
        <f>'Data Cleaning'!A42</f>
        <v>S41</v>
      </c>
      <c r="B42" s="113">
        <f>'Data Cleaning'!B42</f>
        <v>45785</v>
      </c>
      <c r="C42" t="str">
        <f>'Data Cleaning'!C42</f>
        <v>Adidas</v>
      </c>
      <c r="D42" t="str">
        <f>'Data Cleaning'!D42</f>
        <v>Sneakers</v>
      </c>
      <c r="E42" t="str">
        <f>'Data Cleaning'!E42</f>
        <v>Red</v>
      </c>
      <c r="F42" t="str">
        <f>'Data Cleaning'!F42</f>
        <v>UK</v>
      </c>
      <c r="G42" t="str">
        <f>'Data Cleaning'!G42</f>
        <v>Retail Store</v>
      </c>
      <c r="H42" s="2">
        <f>'Data Cleaning'!H42</f>
        <v>56.85</v>
      </c>
      <c r="I42">
        <f>'Data Cleaning'!I42</f>
        <v>7</v>
      </c>
      <c r="J42" s="2">
        <f>'Data Cleaning'!J42</f>
        <v>397.95</v>
      </c>
    </row>
    <row r="43" spans="1:10" x14ac:dyDescent="0.25">
      <c r="A43" t="str">
        <f>'Data Cleaning'!A43</f>
        <v>S42</v>
      </c>
      <c r="B43" s="113">
        <f>'Data Cleaning'!B43</f>
        <v>45751</v>
      </c>
      <c r="C43" t="str">
        <f>'Data Cleaning'!C43</f>
        <v>Reebok</v>
      </c>
      <c r="D43" t="str">
        <f>'Data Cleaning'!D43</f>
        <v>Casual</v>
      </c>
      <c r="E43" t="str">
        <f>'Data Cleaning'!E43</f>
        <v>Black</v>
      </c>
      <c r="F43" t="str">
        <f>'Data Cleaning'!F43</f>
        <v>Germany</v>
      </c>
      <c r="G43" t="str">
        <f>'Data Cleaning'!G43</f>
        <v>Mall</v>
      </c>
      <c r="H43" s="2">
        <f>'Data Cleaning'!H43</f>
        <v>138.94</v>
      </c>
      <c r="I43">
        <f>'Data Cleaning'!I43</f>
        <v>9</v>
      </c>
      <c r="J43" s="2">
        <f>'Data Cleaning'!J43</f>
        <v>1250.46</v>
      </c>
    </row>
    <row r="44" spans="1:10" x14ac:dyDescent="0.25">
      <c r="A44" t="str">
        <f>'Data Cleaning'!A44</f>
        <v>S43</v>
      </c>
      <c r="B44" s="113">
        <f>'Data Cleaning'!B44</f>
        <v>45708</v>
      </c>
      <c r="C44" t="str">
        <f>'Data Cleaning'!C44</f>
        <v>Skechers</v>
      </c>
      <c r="D44" t="str">
        <f>'Data Cleaning'!D44</f>
        <v>Sneakers</v>
      </c>
      <c r="E44" t="str">
        <f>'Data Cleaning'!E44</f>
        <v>Black</v>
      </c>
      <c r="F44" t="str">
        <f>'Data Cleaning'!F44</f>
        <v>USA</v>
      </c>
      <c r="G44" t="str">
        <f>'Data Cleaning'!G44</f>
        <v>Online</v>
      </c>
      <c r="H44" s="2">
        <f>'Data Cleaning'!H44</f>
        <v>37.57</v>
      </c>
      <c r="I44">
        <f>'Data Cleaning'!I44</f>
        <v>2</v>
      </c>
      <c r="J44" s="2">
        <f>'Data Cleaning'!J44</f>
        <v>75.14</v>
      </c>
    </row>
    <row r="45" spans="1:10" x14ac:dyDescent="0.25">
      <c r="A45" t="str">
        <f>'Data Cleaning'!A45</f>
        <v>S44</v>
      </c>
      <c r="B45" s="113">
        <f>'Data Cleaning'!B45</f>
        <v>45743</v>
      </c>
      <c r="C45" t="str">
        <f>'Data Cleaning'!C45</f>
        <v>Reebok</v>
      </c>
      <c r="D45" t="str">
        <f>'Data Cleaning'!D45</f>
        <v>Formal</v>
      </c>
      <c r="E45" t="str">
        <f>'Data Cleaning'!E45</f>
        <v>White</v>
      </c>
      <c r="F45" t="str">
        <f>'Data Cleaning'!F45</f>
        <v>Saudi Arabia</v>
      </c>
      <c r="G45" t="str">
        <f>'Data Cleaning'!G45</f>
        <v>Retail Store</v>
      </c>
      <c r="H45" s="2">
        <f>'Data Cleaning'!H45</f>
        <v>230.05</v>
      </c>
      <c r="I45">
        <f>'Data Cleaning'!I45</f>
        <v>14</v>
      </c>
      <c r="J45" s="2">
        <f>'Data Cleaning'!J45</f>
        <v>3220.7</v>
      </c>
    </row>
    <row r="46" spans="1:10" x14ac:dyDescent="0.25">
      <c r="A46" t="str">
        <f>'Data Cleaning'!A46</f>
        <v>S45</v>
      </c>
      <c r="B46" s="113">
        <f>'Data Cleaning'!B46</f>
        <v>45688</v>
      </c>
      <c r="C46" t="str">
        <f>'Data Cleaning'!C46</f>
        <v>Reebok</v>
      </c>
      <c r="D46" t="str">
        <f>'Data Cleaning'!D46</f>
        <v>Running</v>
      </c>
      <c r="E46" t="str">
        <f>'Data Cleaning'!E46</f>
        <v>Red</v>
      </c>
      <c r="F46" t="str">
        <f>'Data Cleaning'!F46</f>
        <v>France</v>
      </c>
      <c r="G46" t="str">
        <f>'Data Cleaning'!G46</f>
        <v>Retail Store</v>
      </c>
      <c r="H46" s="2">
        <f>'Data Cleaning'!H46</f>
        <v>86.93</v>
      </c>
      <c r="I46">
        <f>'Data Cleaning'!I46</f>
        <v>6</v>
      </c>
      <c r="J46" s="2">
        <f>'Data Cleaning'!J46</f>
        <v>521.58000000000004</v>
      </c>
    </row>
    <row r="47" spans="1:10" x14ac:dyDescent="0.25">
      <c r="A47" t="str">
        <f>'Data Cleaning'!A47</f>
        <v>S46</v>
      </c>
      <c r="B47" s="113">
        <f>'Data Cleaning'!B47</f>
        <v>45804</v>
      </c>
      <c r="C47" t="str">
        <f>'Data Cleaning'!C47</f>
        <v>Skechers</v>
      </c>
      <c r="D47" t="str">
        <f>'Data Cleaning'!D47</f>
        <v>Boots</v>
      </c>
      <c r="E47" t="str">
        <f>'Data Cleaning'!E47</f>
        <v>Grey</v>
      </c>
      <c r="F47" t="str">
        <f>'Data Cleaning'!F47</f>
        <v>UAE</v>
      </c>
      <c r="G47" t="str">
        <f>'Data Cleaning'!G47</f>
        <v>Mall</v>
      </c>
      <c r="H47" s="2">
        <f>'Data Cleaning'!H47</f>
        <v>175.75</v>
      </c>
      <c r="I47">
        <f>'Data Cleaning'!I47</f>
        <v>14</v>
      </c>
      <c r="J47" s="2">
        <f>'Data Cleaning'!J47</f>
        <v>2460.5</v>
      </c>
    </row>
    <row r="48" spans="1:10" x14ac:dyDescent="0.25">
      <c r="A48" t="str">
        <f>'Data Cleaning'!A48</f>
        <v>S47</v>
      </c>
      <c r="B48" s="113">
        <f>'Data Cleaning'!B48</f>
        <v>45907</v>
      </c>
      <c r="C48" t="str">
        <f>'Data Cleaning'!C48</f>
        <v>Adidas</v>
      </c>
      <c r="D48" t="str">
        <f>'Data Cleaning'!D48</f>
        <v>Sports</v>
      </c>
      <c r="E48" t="str">
        <f>'Data Cleaning'!E48</f>
        <v>White</v>
      </c>
      <c r="F48" t="str">
        <f>'Data Cleaning'!F48</f>
        <v>USA</v>
      </c>
      <c r="G48" t="str">
        <f>'Data Cleaning'!G48</f>
        <v>Mall</v>
      </c>
      <c r="H48" s="2">
        <f>'Data Cleaning'!H48</f>
        <v>98.58</v>
      </c>
      <c r="I48">
        <f>'Data Cleaning'!I48</f>
        <v>5</v>
      </c>
      <c r="J48" s="2">
        <f>'Data Cleaning'!J48</f>
        <v>492.9</v>
      </c>
    </row>
    <row r="49" spans="1:10" x14ac:dyDescent="0.25">
      <c r="A49" t="str">
        <f>'Data Cleaning'!A49</f>
        <v>S48</v>
      </c>
      <c r="B49" s="113">
        <f>'Data Cleaning'!B49</f>
        <v>45935</v>
      </c>
      <c r="C49" t="str">
        <f>'Data Cleaning'!C49</f>
        <v>Skechers</v>
      </c>
      <c r="D49" t="str">
        <f>'Data Cleaning'!D49</f>
        <v>Sports</v>
      </c>
      <c r="E49" t="str">
        <f>'Data Cleaning'!E49</f>
        <v>Black</v>
      </c>
      <c r="F49" t="str">
        <f>'Data Cleaning'!F49</f>
        <v>USA</v>
      </c>
      <c r="G49" t="str">
        <f>'Data Cleaning'!G49</f>
        <v>Mall</v>
      </c>
      <c r="H49" s="2">
        <f>'Data Cleaning'!H49</f>
        <v>144.41</v>
      </c>
      <c r="I49">
        <f>'Data Cleaning'!I49</f>
        <v>2</v>
      </c>
      <c r="J49" s="2">
        <f>'Data Cleaning'!J49</f>
        <v>288.82</v>
      </c>
    </row>
    <row r="50" spans="1:10" x14ac:dyDescent="0.25">
      <c r="A50" t="str">
        <f>'Data Cleaning'!A50</f>
        <v>S49</v>
      </c>
      <c r="B50" s="113">
        <f>'Data Cleaning'!B50</f>
        <v>45902</v>
      </c>
      <c r="C50" t="str">
        <f>'Data Cleaning'!C50</f>
        <v>New Balance</v>
      </c>
      <c r="D50" t="str">
        <f>'Data Cleaning'!D50</f>
        <v>Casual</v>
      </c>
      <c r="E50" t="str">
        <f>'Data Cleaning'!E50</f>
        <v>Black</v>
      </c>
      <c r="F50" t="str">
        <f>'Data Cleaning'!F50</f>
        <v>India</v>
      </c>
      <c r="G50" t="str">
        <f>'Data Cleaning'!G50</f>
        <v>Online</v>
      </c>
      <c r="H50" s="2">
        <f>'Data Cleaning'!H50</f>
        <v>150.28</v>
      </c>
      <c r="I50">
        <f>'Data Cleaning'!I50</f>
        <v>17</v>
      </c>
      <c r="J50" s="2">
        <f>'Data Cleaning'!J50</f>
        <v>2554.7600000000002</v>
      </c>
    </row>
    <row r="51" spans="1:10" x14ac:dyDescent="0.25">
      <c r="A51" t="str">
        <f>'Data Cleaning'!A51</f>
        <v>S50</v>
      </c>
      <c r="B51" s="113">
        <f>'Data Cleaning'!B51</f>
        <v>45753</v>
      </c>
      <c r="C51" t="str">
        <f>'Data Cleaning'!C51</f>
        <v>New Balance</v>
      </c>
      <c r="D51" t="str">
        <f>'Data Cleaning'!D51</f>
        <v>Running</v>
      </c>
      <c r="E51" t="str">
        <f>'Data Cleaning'!E51</f>
        <v>Green</v>
      </c>
      <c r="F51" t="str">
        <f>'Data Cleaning'!F51</f>
        <v>Saudi Arabia</v>
      </c>
      <c r="G51" t="str">
        <f>'Data Cleaning'!G51</f>
        <v>Online</v>
      </c>
      <c r="H51" s="2">
        <f>'Data Cleaning'!H51</f>
        <v>70.67</v>
      </c>
      <c r="I51">
        <f>'Data Cleaning'!I51</f>
        <v>3</v>
      </c>
      <c r="J51" s="2">
        <f>'Data Cleaning'!J51</f>
        <v>212.01</v>
      </c>
    </row>
    <row r="52" spans="1:10" x14ac:dyDescent="0.25">
      <c r="A52" t="str">
        <f>'Data Cleaning'!A52</f>
        <v>S51</v>
      </c>
      <c r="B52" s="113">
        <f>'Data Cleaning'!B52</f>
        <v>45864</v>
      </c>
      <c r="C52" t="str">
        <f>'Data Cleaning'!C52</f>
        <v>New Balance</v>
      </c>
      <c r="D52" t="str">
        <f>'Data Cleaning'!D52</f>
        <v>Casual</v>
      </c>
      <c r="E52" t="str">
        <f>'Data Cleaning'!E52</f>
        <v>Grey</v>
      </c>
      <c r="F52" t="str">
        <f>'Data Cleaning'!F52</f>
        <v>India</v>
      </c>
      <c r="G52" t="str">
        <f>'Data Cleaning'!G52</f>
        <v>Online</v>
      </c>
      <c r="H52" s="2">
        <f>'Data Cleaning'!H52</f>
        <v>243.31</v>
      </c>
      <c r="I52">
        <f>'Data Cleaning'!I52</f>
        <v>4</v>
      </c>
      <c r="J52" s="2">
        <f>'Data Cleaning'!J52</f>
        <v>973.24</v>
      </c>
    </row>
    <row r="53" spans="1:10" x14ac:dyDescent="0.25">
      <c r="A53" t="str">
        <f>'Data Cleaning'!A53</f>
        <v>S52</v>
      </c>
      <c r="B53" s="113">
        <f>'Data Cleaning'!B53</f>
        <v>45975</v>
      </c>
      <c r="C53" t="str">
        <f>'Data Cleaning'!C53</f>
        <v>Reebok</v>
      </c>
      <c r="D53" t="str">
        <f>'Data Cleaning'!D53</f>
        <v>Boots</v>
      </c>
      <c r="E53" t="str">
        <f>'Data Cleaning'!E53</f>
        <v>Grey</v>
      </c>
      <c r="F53" t="str">
        <f>'Data Cleaning'!F53</f>
        <v>India</v>
      </c>
      <c r="G53" t="str">
        <f>'Data Cleaning'!G53</f>
        <v>Mall</v>
      </c>
      <c r="H53" s="2">
        <f>'Data Cleaning'!H53</f>
        <v>200.53</v>
      </c>
      <c r="I53">
        <f>'Data Cleaning'!I53</f>
        <v>3</v>
      </c>
      <c r="J53" s="2">
        <f>'Data Cleaning'!J53</f>
        <v>601.59</v>
      </c>
    </row>
    <row r="54" spans="1:10" x14ac:dyDescent="0.25">
      <c r="A54" t="str">
        <f>'Data Cleaning'!A54</f>
        <v>S53</v>
      </c>
      <c r="B54" s="113">
        <f>'Data Cleaning'!B54</f>
        <v>45819</v>
      </c>
      <c r="C54" t="str">
        <f>'Data Cleaning'!C54</f>
        <v>Adidas</v>
      </c>
      <c r="D54" t="str">
        <f>'Data Cleaning'!D54</f>
        <v>Boots</v>
      </c>
      <c r="E54" t="str">
        <f>'Data Cleaning'!E54</f>
        <v>Green</v>
      </c>
      <c r="F54" t="str">
        <f>'Data Cleaning'!F54</f>
        <v>France</v>
      </c>
      <c r="G54" t="str">
        <f>'Data Cleaning'!G54</f>
        <v>Online</v>
      </c>
      <c r="H54" s="2">
        <f>'Data Cleaning'!H54</f>
        <v>236.69</v>
      </c>
      <c r="I54">
        <f>'Data Cleaning'!I54</f>
        <v>9</v>
      </c>
      <c r="J54" s="2">
        <f>'Data Cleaning'!J54</f>
        <v>2130.21</v>
      </c>
    </row>
    <row r="55" spans="1:10" x14ac:dyDescent="0.25">
      <c r="A55" t="str">
        <f>'Data Cleaning'!A55</f>
        <v>S54</v>
      </c>
      <c r="B55" s="113">
        <f>'Data Cleaning'!B55</f>
        <v>45793</v>
      </c>
      <c r="C55" t="str">
        <f>'Data Cleaning'!C55</f>
        <v>Adidas</v>
      </c>
      <c r="D55" t="str">
        <f>'Data Cleaning'!D55</f>
        <v>Boots</v>
      </c>
      <c r="E55" t="str">
        <f>'Data Cleaning'!E55</f>
        <v>Green</v>
      </c>
      <c r="F55" t="str">
        <f>'Data Cleaning'!F55</f>
        <v>France</v>
      </c>
      <c r="G55" t="str">
        <f>'Data Cleaning'!G55</f>
        <v>Retail Store</v>
      </c>
      <c r="H55" s="2">
        <f>'Data Cleaning'!H55</f>
        <v>226.86</v>
      </c>
      <c r="I55">
        <f>'Data Cleaning'!I55</f>
        <v>13</v>
      </c>
      <c r="J55" s="2">
        <f>'Data Cleaning'!J55</f>
        <v>2949.18</v>
      </c>
    </row>
    <row r="56" spans="1:10" x14ac:dyDescent="0.25">
      <c r="A56" t="str">
        <f>'Data Cleaning'!A56</f>
        <v>S55</v>
      </c>
      <c r="B56" s="113">
        <f>'Data Cleaning'!B56</f>
        <v>45819</v>
      </c>
      <c r="C56" t="str">
        <f>'Data Cleaning'!C56</f>
        <v>Nike</v>
      </c>
      <c r="D56" t="str">
        <f>'Data Cleaning'!D56</f>
        <v>Formal</v>
      </c>
      <c r="E56" t="str">
        <f>'Data Cleaning'!E56</f>
        <v>Grey</v>
      </c>
      <c r="F56" t="str">
        <f>'Data Cleaning'!F56</f>
        <v>India</v>
      </c>
      <c r="G56" t="str">
        <f>'Data Cleaning'!G56</f>
        <v>Online</v>
      </c>
      <c r="H56" s="2">
        <f>'Data Cleaning'!H56</f>
        <v>161.54</v>
      </c>
      <c r="I56">
        <f>'Data Cleaning'!I56</f>
        <v>3</v>
      </c>
      <c r="J56" s="2">
        <f>'Data Cleaning'!J56</f>
        <v>484.62</v>
      </c>
    </row>
    <row r="57" spans="1:10" x14ac:dyDescent="0.25">
      <c r="A57" t="str">
        <f>'Data Cleaning'!A57</f>
        <v>S56</v>
      </c>
      <c r="B57" s="113">
        <f>'Data Cleaning'!B57</f>
        <v>45695</v>
      </c>
      <c r="C57" t="str">
        <f>'Data Cleaning'!C57</f>
        <v>Adidas</v>
      </c>
      <c r="D57" t="str">
        <f>'Data Cleaning'!D57</f>
        <v>Sneakers</v>
      </c>
      <c r="E57" t="str">
        <f>'Data Cleaning'!E57</f>
        <v>Blue</v>
      </c>
      <c r="F57" t="str">
        <f>'Data Cleaning'!F57</f>
        <v>UK</v>
      </c>
      <c r="G57" t="str">
        <f>'Data Cleaning'!G57</f>
        <v>Retail Store</v>
      </c>
      <c r="H57" s="2">
        <f>'Data Cleaning'!H57</f>
        <v>232.81</v>
      </c>
      <c r="I57">
        <f>'Data Cleaning'!I57</f>
        <v>18</v>
      </c>
      <c r="J57" s="2">
        <f>'Data Cleaning'!J57</f>
        <v>4190.58</v>
      </c>
    </row>
    <row r="58" spans="1:10" x14ac:dyDescent="0.25">
      <c r="A58" t="str">
        <f>'Data Cleaning'!A58</f>
        <v>S57</v>
      </c>
      <c r="B58" s="113">
        <f>'Data Cleaning'!B58</f>
        <v>45693</v>
      </c>
      <c r="C58" t="str">
        <f>'Data Cleaning'!C58</f>
        <v>Puma</v>
      </c>
      <c r="D58" t="str">
        <f>'Data Cleaning'!D58</f>
        <v>Sports</v>
      </c>
      <c r="E58" t="str">
        <f>'Data Cleaning'!E58</f>
        <v>White</v>
      </c>
      <c r="F58" t="str">
        <f>'Data Cleaning'!F58</f>
        <v>Germany</v>
      </c>
      <c r="G58" t="str">
        <f>'Data Cleaning'!G58</f>
        <v>Mall</v>
      </c>
      <c r="H58" s="2">
        <f>'Data Cleaning'!H58</f>
        <v>49.47</v>
      </c>
      <c r="I58">
        <f>'Data Cleaning'!I58</f>
        <v>8</v>
      </c>
      <c r="J58" s="2">
        <f>'Data Cleaning'!J58</f>
        <v>395.76</v>
      </c>
    </row>
    <row r="59" spans="1:10" x14ac:dyDescent="0.25">
      <c r="A59" t="str">
        <f>'Data Cleaning'!A59</f>
        <v>S58</v>
      </c>
      <c r="B59" s="113">
        <f>'Data Cleaning'!B59</f>
        <v>46018</v>
      </c>
      <c r="C59" t="str">
        <f>'Data Cleaning'!C59</f>
        <v>New Balance</v>
      </c>
      <c r="D59" t="str">
        <f>'Data Cleaning'!D59</f>
        <v>Boots</v>
      </c>
      <c r="E59" t="str">
        <f>'Data Cleaning'!E59</f>
        <v>Grey</v>
      </c>
      <c r="F59" t="str">
        <f>'Data Cleaning'!F59</f>
        <v>USA</v>
      </c>
      <c r="G59" t="str">
        <f>'Data Cleaning'!G59</f>
        <v>Mall</v>
      </c>
      <c r="H59" s="2">
        <f>'Data Cleaning'!H59</f>
        <v>73.12</v>
      </c>
      <c r="I59">
        <f>'Data Cleaning'!I59</f>
        <v>10</v>
      </c>
      <c r="J59" s="2">
        <f>'Data Cleaning'!J59</f>
        <v>731.2</v>
      </c>
    </row>
    <row r="60" spans="1:10" x14ac:dyDescent="0.25">
      <c r="A60" t="str">
        <f>'Data Cleaning'!A60</f>
        <v>S59</v>
      </c>
      <c r="B60" s="113">
        <f>'Data Cleaning'!B60</f>
        <v>45941</v>
      </c>
      <c r="C60" t="str">
        <f>'Data Cleaning'!C60</f>
        <v>Skechers</v>
      </c>
      <c r="D60" t="str">
        <f>'Data Cleaning'!D60</f>
        <v>Running</v>
      </c>
      <c r="E60" t="str">
        <f>'Data Cleaning'!E60</f>
        <v>White</v>
      </c>
      <c r="F60" t="str">
        <f>'Data Cleaning'!F60</f>
        <v>France</v>
      </c>
      <c r="G60" t="str">
        <f>'Data Cleaning'!G60</f>
        <v>Online</v>
      </c>
      <c r="H60" s="2">
        <f>'Data Cleaning'!H60</f>
        <v>39.950000000000003</v>
      </c>
      <c r="I60">
        <f>'Data Cleaning'!I60</f>
        <v>10</v>
      </c>
      <c r="J60" s="2">
        <f>'Data Cleaning'!J60</f>
        <v>399.5</v>
      </c>
    </row>
    <row r="61" spans="1:10" x14ac:dyDescent="0.25">
      <c r="A61" t="str">
        <f>'Data Cleaning'!A61</f>
        <v>S60</v>
      </c>
      <c r="B61" s="113">
        <f>'Data Cleaning'!B61</f>
        <v>45712</v>
      </c>
      <c r="C61" t="str">
        <f>'Data Cleaning'!C61</f>
        <v>Adidas</v>
      </c>
      <c r="D61" t="str">
        <f>'Data Cleaning'!D61</f>
        <v>Sports</v>
      </c>
      <c r="E61" t="str">
        <f>'Data Cleaning'!E61</f>
        <v>Blue</v>
      </c>
      <c r="F61" t="str">
        <f>'Data Cleaning'!F61</f>
        <v>India</v>
      </c>
      <c r="G61" t="str">
        <f>'Data Cleaning'!G61</f>
        <v>Online</v>
      </c>
      <c r="H61" s="2">
        <f>'Data Cleaning'!H61</f>
        <v>101.57</v>
      </c>
      <c r="I61">
        <f>'Data Cleaning'!I61</f>
        <v>18</v>
      </c>
      <c r="J61" s="2">
        <f>'Data Cleaning'!J61</f>
        <v>1828.26</v>
      </c>
    </row>
    <row r="62" spans="1:10" x14ac:dyDescent="0.25">
      <c r="A62" t="str">
        <f>'Data Cleaning'!A62</f>
        <v>S61</v>
      </c>
      <c r="B62" s="113">
        <f>'Data Cleaning'!B62</f>
        <v>45833</v>
      </c>
      <c r="C62" t="str">
        <f>'Data Cleaning'!C62</f>
        <v>Skechers</v>
      </c>
      <c r="D62" t="str">
        <f>'Data Cleaning'!D62</f>
        <v>Boots</v>
      </c>
      <c r="E62" t="str">
        <f>'Data Cleaning'!E62</f>
        <v>Blue</v>
      </c>
      <c r="F62" t="str">
        <f>'Data Cleaning'!F62</f>
        <v>India</v>
      </c>
      <c r="G62" t="str">
        <f>'Data Cleaning'!G62</f>
        <v>Retail Store</v>
      </c>
      <c r="H62" s="2">
        <f>'Data Cleaning'!H62</f>
        <v>115.51</v>
      </c>
      <c r="I62">
        <f>'Data Cleaning'!I62</f>
        <v>7</v>
      </c>
      <c r="J62" s="2">
        <f>'Data Cleaning'!J62</f>
        <v>808.57</v>
      </c>
    </row>
    <row r="63" spans="1:10" x14ac:dyDescent="0.25">
      <c r="A63" t="str">
        <f>'Data Cleaning'!A63</f>
        <v>S62</v>
      </c>
      <c r="B63" s="113">
        <f>'Data Cleaning'!B63</f>
        <v>45786</v>
      </c>
      <c r="C63" t="str">
        <f>'Data Cleaning'!C63</f>
        <v>Nike</v>
      </c>
      <c r="D63" t="str">
        <f>'Data Cleaning'!D63</f>
        <v>Boots</v>
      </c>
      <c r="E63" t="str">
        <f>'Data Cleaning'!E63</f>
        <v>Red</v>
      </c>
      <c r="F63" t="str">
        <f>'Data Cleaning'!F63</f>
        <v>Saudi Arabia</v>
      </c>
      <c r="G63" t="str">
        <f>'Data Cleaning'!G63</f>
        <v>Retail Store</v>
      </c>
      <c r="H63" s="2">
        <f>'Data Cleaning'!H63</f>
        <v>89.7</v>
      </c>
      <c r="I63">
        <f>'Data Cleaning'!I63</f>
        <v>2</v>
      </c>
      <c r="J63" s="2">
        <f>'Data Cleaning'!J63</f>
        <v>179.4</v>
      </c>
    </row>
    <row r="64" spans="1:10" x14ac:dyDescent="0.25">
      <c r="A64" t="str">
        <f>'Data Cleaning'!A64</f>
        <v>S63</v>
      </c>
      <c r="B64" s="113">
        <f>'Data Cleaning'!B64</f>
        <v>45680</v>
      </c>
      <c r="C64" t="str">
        <f>'Data Cleaning'!C64</f>
        <v>Puma</v>
      </c>
      <c r="D64" t="str">
        <f>'Data Cleaning'!D64</f>
        <v>Casual</v>
      </c>
      <c r="E64" t="str">
        <f>'Data Cleaning'!E64</f>
        <v>Green</v>
      </c>
      <c r="F64" t="str">
        <f>'Data Cleaning'!F64</f>
        <v>France</v>
      </c>
      <c r="G64" t="str">
        <f>'Data Cleaning'!G64</f>
        <v>Online</v>
      </c>
      <c r="H64" s="2">
        <f>'Data Cleaning'!H64</f>
        <v>212.32</v>
      </c>
      <c r="I64">
        <f>'Data Cleaning'!I64</f>
        <v>1</v>
      </c>
      <c r="J64" s="2">
        <f>'Data Cleaning'!J64</f>
        <v>212.32</v>
      </c>
    </row>
    <row r="65" spans="1:10" x14ac:dyDescent="0.25">
      <c r="A65" t="str">
        <f>'Data Cleaning'!A65</f>
        <v>S64</v>
      </c>
      <c r="B65" s="113">
        <f>'Data Cleaning'!B65</f>
        <v>45884</v>
      </c>
      <c r="C65" t="str">
        <f>'Data Cleaning'!C65</f>
        <v>Skechers</v>
      </c>
      <c r="D65" t="str">
        <f>'Data Cleaning'!D65</f>
        <v>Formal</v>
      </c>
      <c r="E65" t="str">
        <f>'Data Cleaning'!E65</f>
        <v>Grey</v>
      </c>
      <c r="F65" t="str">
        <f>'Data Cleaning'!F65</f>
        <v>USA</v>
      </c>
      <c r="G65" t="str">
        <f>'Data Cleaning'!G65</f>
        <v>Online</v>
      </c>
      <c r="H65" s="2">
        <f>'Data Cleaning'!H65</f>
        <v>108.49</v>
      </c>
      <c r="I65">
        <f>'Data Cleaning'!I65</f>
        <v>18</v>
      </c>
      <c r="J65" s="2">
        <f>'Data Cleaning'!J65</f>
        <v>1952.82</v>
      </c>
    </row>
    <row r="66" spans="1:10" x14ac:dyDescent="0.25">
      <c r="A66" t="str">
        <f>'Data Cleaning'!A66</f>
        <v>S65</v>
      </c>
      <c r="B66" s="113">
        <f>'Data Cleaning'!B66</f>
        <v>45696</v>
      </c>
      <c r="C66" t="str">
        <f>'Data Cleaning'!C66</f>
        <v>New Balance</v>
      </c>
      <c r="D66" t="str">
        <f>'Data Cleaning'!D66</f>
        <v>Running</v>
      </c>
      <c r="E66" t="str">
        <f>'Data Cleaning'!E66</f>
        <v>Blue</v>
      </c>
      <c r="F66" t="str">
        <f>'Data Cleaning'!F66</f>
        <v>India</v>
      </c>
      <c r="G66" t="str">
        <f>'Data Cleaning'!G66</f>
        <v>Mall</v>
      </c>
      <c r="H66" s="2">
        <f>'Data Cleaning'!H66</f>
        <v>91.81</v>
      </c>
      <c r="I66">
        <f>'Data Cleaning'!I66</f>
        <v>5</v>
      </c>
      <c r="J66" s="2">
        <f>'Data Cleaning'!J66</f>
        <v>459.05</v>
      </c>
    </row>
    <row r="67" spans="1:10" x14ac:dyDescent="0.25">
      <c r="A67" t="str">
        <f>'Data Cleaning'!A67</f>
        <v>S66</v>
      </c>
      <c r="B67" s="113">
        <f>'Data Cleaning'!B67</f>
        <v>45733</v>
      </c>
      <c r="C67" t="str">
        <f>'Data Cleaning'!C67</f>
        <v>Adidas</v>
      </c>
      <c r="D67" t="str">
        <f>'Data Cleaning'!D67</f>
        <v>Running</v>
      </c>
      <c r="E67" t="str">
        <f>'Data Cleaning'!E67</f>
        <v>Blue</v>
      </c>
      <c r="F67" t="str">
        <f>'Data Cleaning'!F67</f>
        <v>France</v>
      </c>
      <c r="G67" t="str">
        <f>'Data Cleaning'!G67</f>
        <v>Online</v>
      </c>
      <c r="H67" s="2">
        <f>'Data Cleaning'!H67</f>
        <v>149.38999999999999</v>
      </c>
      <c r="I67">
        <f>'Data Cleaning'!I67</f>
        <v>14</v>
      </c>
      <c r="J67" s="2">
        <f>'Data Cleaning'!J67</f>
        <v>2091.46</v>
      </c>
    </row>
    <row r="68" spans="1:10" x14ac:dyDescent="0.25">
      <c r="A68" t="str">
        <f>'Data Cleaning'!A68</f>
        <v>S67</v>
      </c>
      <c r="B68" s="113">
        <f>'Data Cleaning'!B68</f>
        <v>45841</v>
      </c>
      <c r="C68" t="str">
        <f>'Data Cleaning'!C68</f>
        <v>Skechers</v>
      </c>
      <c r="D68" t="str">
        <f>'Data Cleaning'!D68</f>
        <v>Casual</v>
      </c>
      <c r="E68" t="str">
        <f>'Data Cleaning'!E68</f>
        <v>Green</v>
      </c>
      <c r="F68" t="str">
        <f>'Data Cleaning'!F68</f>
        <v>USA</v>
      </c>
      <c r="G68" t="str">
        <f>'Data Cleaning'!G68</f>
        <v>Retail Store</v>
      </c>
      <c r="H68" s="2">
        <f>'Data Cleaning'!H68</f>
        <v>61</v>
      </c>
      <c r="I68">
        <f>'Data Cleaning'!I68</f>
        <v>7</v>
      </c>
      <c r="J68" s="2">
        <f>'Data Cleaning'!J68</f>
        <v>427</v>
      </c>
    </row>
    <row r="69" spans="1:10" x14ac:dyDescent="0.25">
      <c r="A69" t="str">
        <f>'Data Cleaning'!A69</f>
        <v>S68</v>
      </c>
      <c r="B69" s="113">
        <f>'Data Cleaning'!B69</f>
        <v>45944</v>
      </c>
      <c r="C69" t="str">
        <f>'Data Cleaning'!C69</f>
        <v>New Balance</v>
      </c>
      <c r="D69" t="str">
        <f>'Data Cleaning'!D69</f>
        <v>Boots</v>
      </c>
      <c r="E69" t="str">
        <f>'Data Cleaning'!E69</f>
        <v>White</v>
      </c>
      <c r="F69" t="str">
        <f>'Data Cleaning'!F69</f>
        <v>UK</v>
      </c>
      <c r="G69" t="str">
        <f>'Data Cleaning'!G69</f>
        <v>Online</v>
      </c>
      <c r="H69" s="2">
        <f>'Data Cleaning'!H69</f>
        <v>206.48</v>
      </c>
      <c r="I69">
        <f>'Data Cleaning'!I69</f>
        <v>14</v>
      </c>
      <c r="J69" s="2">
        <f>'Data Cleaning'!J69</f>
        <v>2890.72</v>
      </c>
    </row>
    <row r="70" spans="1:10" x14ac:dyDescent="0.25">
      <c r="A70" t="str">
        <f>'Data Cleaning'!A70</f>
        <v>S69</v>
      </c>
      <c r="B70" s="113">
        <f>'Data Cleaning'!B70</f>
        <v>45748</v>
      </c>
      <c r="C70" t="str">
        <f>'Data Cleaning'!C70</f>
        <v>Nike</v>
      </c>
      <c r="D70" t="str">
        <f>'Data Cleaning'!D70</f>
        <v>Casual</v>
      </c>
      <c r="E70" t="str">
        <f>'Data Cleaning'!E70</f>
        <v>Green</v>
      </c>
      <c r="F70" t="str">
        <f>'Data Cleaning'!F70</f>
        <v>France</v>
      </c>
      <c r="G70" t="str">
        <f>'Data Cleaning'!G70</f>
        <v>Retail Store</v>
      </c>
      <c r="H70" s="2">
        <f>'Data Cleaning'!H70</f>
        <v>46.4</v>
      </c>
      <c r="I70">
        <f>'Data Cleaning'!I70</f>
        <v>14</v>
      </c>
      <c r="J70" s="2">
        <f>'Data Cleaning'!J70</f>
        <v>649.6</v>
      </c>
    </row>
    <row r="71" spans="1:10" x14ac:dyDescent="0.25">
      <c r="A71" t="str">
        <f>'Data Cleaning'!A71</f>
        <v>S70</v>
      </c>
      <c r="B71" s="113">
        <f>'Data Cleaning'!B71</f>
        <v>46000</v>
      </c>
      <c r="C71" t="str">
        <f>'Data Cleaning'!C71</f>
        <v>Puma</v>
      </c>
      <c r="D71" t="str">
        <f>'Data Cleaning'!D71</f>
        <v>Casual</v>
      </c>
      <c r="E71" t="str">
        <f>'Data Cleaning'!E71</f>
        <v>Green</v>
      </c>
      <c r="F71" t="str">
        <f>'Data Cleaning'!F71</f>
        <v>USA</v>
      </c>
      <c r="G71" t="str">
        <f>'Data Cleaning'!G71</f>
        <v>Retail Store</v>
      </c>
      <c r="H71" s="2">
        <f>'Data Cleaning'!H71</f>
        <v>247.12</v>
      </c>
      <c r="I71">
        <f>'Data Cleaning'!I71</f>
        <v>8</v>
      </c>
      <c r="J71" s="2">
        <f>'Data Cleaning'!J71</f>
        <v>1976.96</v>
      </c>
    </row>
    <row r="72" spans="1:10" x14ac:dyDescent="0.25">
      <c r="A72" t="str">
        <f>'Data Cleaning'!A72</f>
        <v>S71</v>
      </c>
      <c r="B72" s="113">
        <f>'Data Cleaning'!B72</f>
        <v>45677</v>
      </c>
      <c r="C72" t="str">
        <f>'Data Cleaning'!C72</f>
        <v>Adidas</v>
      </c>
      <c r="D72" t="str">
        <f>'Data Cleaning'!D72</f>
        <v>Casual</v>
      </c>
      <c r="E72" t="str">
        <f>'Data Cleaning'!E72</f>
        <v>Red</v>
      </c>
      <c r="F72" t="str">
        <f>'Data Cleaning'!F72</f>
        <v>France</v>
      </c>
      <c r="G72" t="str">
        <f>'Data Cleaning'!G72</f>
        <v>Retail Store</v>
      </c>
      <c r="H72" s="2">
        <f>'Data Cleaning'!H72</f>
        <v>199.89</v>
      </c>
      <c r="I72">
        <f>'Data Cleaning'!I72</f>
        <v>16</v>
      </c>
      <c r="J72" s="2">
        <f>'Data Cleaning'!J72</f>
        <v>3198.24</v>
      </c>
    </row>
    <row r="73" spans="1:10" x14ac:dyDescent="0.25">
      <c r="A73" t="str">
        <f>'Data Cleaning'!A73</f>
        <v>S72</v>
      </c>
      <c r="B73" s="113">
        <f>'Data Cleaning'!B73</f>
        <v>45774</v>
      </c>
      <c r="C73" t="str">
        <f>'Data Cleaning'!C73</f>
        <v>Nike</v>
      </c>
      <c r="D73" t="str">
        <f>'Data Cleaning'!D73</f>
        <v>Boots</v>
      </c>
      <c r="E73" t="str">
        <f>'Data Cleaning'!E73</f>
        <v>White</v>
      </c>
      <c r="F73" t="str">
        <f>'Data Cleaning'!F73</f>
        <v>Germany</v>
      </c>
      <c r="G73" t="str">
        <f>'Data Cleaning'!G73</f>
        <v>Retail Store</v>
      </c>
      <c r="H73" s="2">
        <f>'Data Cleaning'!H73</f>
        <v>73.72</v>
      </c>
      <c r="I73">
        <f>'Data Cleaning'!I73</f>
        <v>8</v>
      </c>
      <c r="J73" s="2">
        <f>'Data Cleaning'!J73</f>
        <v>589.76</v>
      </c>
    </row>
    <row r="74" spans="1:10" x14ac:dyDescent="0.25">
      <c r="A74" t="str">
        <f>'Data Cleaning'!A74</f>
        <v>S73</v>
      </c>
      <c r="B74" s="113">
        <f>'Data Cleaning'!B74</f>
        <v>45800</v>
      </c>
      <c r="C74" t="str">
        <f>'Data Cleaning'!C74</f>
        <v>Puma</v>
      </c>
      <c r="D74" t="str">
        <f>'Data Cleaning'!D74</f>
        <v>Sports</v>
      </c>
      <c r="E74" t="str">
        <f>'Data Cleaning'!E74</f>
        <v>Green</v>
      </c>
      <c r="F74" t="str">
        <f>'Data Cleaning'!F74</f>
        <v>India</v>
      </c>
      <c r="G74" t="str">
        <f>'Data Cleaning'!G74</f>
        <v>Retail Store</v>
      </c>
      <c r="H74" s="2">
        <f>'Data Cleaning'!H74</f>
        <v>31.21</v>
      </c>
      <c r="I74">
        <f>'Data Cleaning'!I74</f>
        <v>3</v>
      </c>
      <c r="J74" s="2">
        <f>'Data Cleaning'!J74</f>
        <v>93.63</v>
      </c>
    </row>
    <row r="75" spans="1:10" x14ac:dyDescent="0.25">
      <c r="A75" t="str">
        <f>'Data Cleaning'!A75</f>
        <v>S74</v>
      </c>
      <c r="B75" s="113">
        <f>'Data Cleaning'!B75</f>
        <v>46005</v>
      </c>
      <c r="C75" t="str">
        <f>'Data Cleaning'!C75</f>
        <v>Puma</v>
      </c>
      <c r="D75" t="str">
        <f>'Data Cleaning'!D75</f>
        <v>Running</v>
      </c>
      <c r="E75" t="str">
        <f>'Data Cleaning'!E75</f>
        <v>Black</v>
      </c>
      <c r="F75" t="str">
        <f>'Data Cleaning'!F75</f>
        <v>France</v>
      </c>
      <c r="G75" t="str">
        <f>'Data Cleaning'!G75</f>
        <v>Online</v>
      </c>
      <c r="H75" s="2">
        <f>'Data Cleaning'!H75</f>
        <v>209.4</v>
      </c>
      <c r="I75">
        <f>'Data Cleaning'!I75</f>
        <v>18</v>
      </c>
      <c r="J75" s="2">
        <f>'Data Cleaning'!J75</f>
        <v>3769.2</v>
      </c>
    </row>
    <row r="76" spans="1:10" x14ac:dyDescent="0.25">
      <c r="A76" t="str">
        <f>'Data Cleaning'!A76</f>
        <v>S75</v>
      </c>
      <c r="B76" s="113">
        <f>'Data Cleaning'!B76</f>
        <v>45955</v>
      </c>
      <c r="C76" t="str">
        <f>'Data Cleaning'!C76</f>
        <v>Nike</v>
      </c>
      <c r="D76" t="str">
        <f>'Data Cleaning'!D76</f>
        <v>Running</v>
      </c>
      <c r="E76" t="str">
        <f>'Data Cleaning'!E76</f>
        <v>Grey</v>
      </c>
      <c r="F76" t="str">
        <f>'Data Cleaning'!F76</f>
        <v>Germany</v>
      </c>
      <c r="G76" t="str">
        <f>'Data Cleaning'!G76</f>
        <v>Retail Store</v>
      </c>
      <c r="H76" s="2">
        <f>'Data Cleaning'!H76</f>
        <v>185.51</v>
      </c>
      <c r="I76">
        <f>'Data Cleaning'!I76</f>
        <v>9</v>
      </c>
      <c r="J76" s="2">
        <f>'Data Cleaning'!J76</f>
        <v>1669.59</v>
      </c>
    </row>
    <row r="77" spans="1:10" x14ac:dyDescent="0.25">
      <c r="A77" t="str">
        <f>'Data Cleaning'!A77</f>
        <v>S76</v>
      </c>
      <c r="B77" s="113">
        <f>'Data Cleaning'!B77</f>
        <v>45818</v>
      </c>
      <c r="C77" t="str">
        <f>'Data Cleaning'!C77</f>
        <v>New Balance</v>
      </c>
      <c r="D77" t="str">
        <f>'Data Cleaning'!D77</f>
        <v>Sneakers</v>
      </c>
      <c r="E77" t="str">
        <f>'Data Cleaning'!E77</f>
        <v>Black</v>
      </c>
      <c r="F77" t="str">
        <f>'Data Cleaning'!F77</f>
        <v>Germany</v>
      </c>
      <c r="G77" t="str">
        <f>'Data Cleaning'!G77</f>
        <v>Mall</v>
      </c>
      <c r="H77" s="2">
        <f>'Data Cleaning'!H77</f>
        <v>190.38</v>
      </c>
      <c r="I77">
        <f>'Data Cleaning'!I77</f>
        <v>14</v>
      </c>
      <c r="J77" s="2">
        <f>'Data Cleaning'!J77</f>
        <v>2665.32</v>
      </c>
    </row>
    <row r="78" spans="1:10" x14ac:dyDescent="0.25">
      <c r="A78" t="str">
        <f>'Data Cleaning'!A78</f>
        <v>S77</v>
      </c>
      <c r="B78" s="113">
        <f>'Data Cleaning'!B78</f>
        <v>45755</v>
      </c>
      <c r="C78" t="str">
        <f>'Data Cleaning'!C78</f>
        <v>Nike</v>
      </c>
      <c r="D78" t="str">
        <f>'Data Cleaning'!D78</f>
        <v>Boots</v>
      </c>
      <c r="E78" t="str">
        <f>'Data Cleaning'!E78</f>
        <v>Red</v>
      </c>
      <c r="F78" t="str">
        <f>'Data Cleaning'!F78</f>
        <v>USA</v>
      </c>
      <c r="G78" t="str">
        <f>'Data Cleaning'!G78</f>
        <v>Mall</v>
      </c>
      <c r="H78" s="2">
        <f>'Data Cleaning'!H78</f>
        <v>199.68</v>
      </c>
      <c r="I78">
        <f>'Data Cleaning'!I78</f>
        <v>9</v>
      </c>
      <c r="J78" s="2">
        <f>'Data Cleaning'!J78</f>
        <v>1797.12</v>
      </c>
    </row>
    <row r="79" spans="1:10" x14ac:dyDescent="0.25">
      <c r="A79" t="str">
        <f>'Data Cleaning'!A79</f>
        <v>S78</v>
      </c>
      <c r="B79" s="113">
        <f>'Data Cleaning'!B79</f>
        <v>45933</v>
      </c>
      <c r="C79" t="str">
        <f>'Data Cleaning'!C79</f>
        <v>Puma</v>
      </c>
      <c r="D79" t="str">
        <f>'Data Cleaning'!D79</f>
        <v>Formal</v>
      </c>
      <c r="E79" t="str">
        <f>'Data Cleaning'!E79</f>
        <v>Black</v>
      </c>
      <c r="F79" t="str">
        <f>'Data Cleaning'!F79</f>
        <v>UAE</v>
      </c>
      <c r="G79" t="str">
        <f>'Data Cleaning'!G79</f>
        <v>Retail Store</v>
      </c>
      <c r="H79" s="2">
        <f>'Data Cleaning'!H79</f>
        <v>46.29</v>
      </c>
      <c r="I79">
        <f>'Data Cleaning'!I79</f>
        <v>7</v>
      </c>
      <c r="J79" s="2">
        <f>'Data Cleaning'!J79</f>
        <v>324.02999999999997</v>
      </c>
    </row>
    <row r="80" spans="1:10" x14ac:dyDescent="0.25">
      <c r="A80" t="str">
        <f>'Data Cleaning'!A80</f>
        <v>S79</v>
      </c>
      <c r="B80" s="113">
        <f>'Data Cleaning'!B80</f>
        <v>45977</v>
      </c>
      <c r="C80" t="str">
        <f>'Data Cleaning'!C80</f>
        <v>Skechers</v>
      </c>
      <c r="D80" t="str">
        <f>'Data Cleaning'!D80</f>
        <v>Running</v>
      </c>
      <c r="E80" t="str">
        <f>'Data Cleaning'!E80</f>
        <v>Green</v>
      </c>
      <c r="F80" t="str">
        <f>'Data Cleaning'!F80</f>
        <v>France</v>
      </c>
      <c r="G80" t="str">
        <f>'Data Cleaning'!G80</f>
        <v>Mall</v>
      </c>
      <c r="H80" s="2">
        <f>'Data Cleaning'!H80</f>
        <v>108.86</v>
      </c>
      <c r="I80">
        <f>'Data Cleaning'!I80</f>
        <v>11</v>
      </c>
      <c r="J80" s="2">
        <f>'Data Cleaning'!J80</f>
        <v>1197.46</v>
      </c>
    </row>
    <row r="81" spans="1:10" x14ac:dyDescent="0.25">
      <c r="A81" t="str">
        <f>'Data Cleaning'!A81</f>
        <v>S80</v>
      </c>
      <c r="B81" s="113">
        <f>'Data Cleaning'!B81</f>
        <v>45816</v>
      </c>
      <c r="C81" t="str">
        <f>'Data Cleaning'!C81</f>
        <v>Puma</v>
      </c>
      <c r="D81" t="str">
        <f>'Data Cleaning'!D81</f>
        <v>Formal</v>
      </c>
      <c r="E81" t="str">
        <f>'Data Cleaning'!E81</f>
        <v>Green</v>
      </c>
      <c r="F81" t="str">
        <f>'Data Cleaning'!F81</f>
        <v>France</v>
      </c>
      <c r="G81" t="str">
        <f>'Data Cleaning'!G81</f>
        <v>Mall</v>
      </c>
      <c r="H81" s="2">
        <f>'Data Cleaning'!H81</f>
        <v>55.49</v>
      </c>
      <c r="I81">
        <f>'Data Cleaning'!I81</f>
        <v>14</v>
      </c>
      <c r="J81" s="2">
        <f>'Data Cleaning'!J81</f>
        <v>776.86</v>
      </c>
    </row>
    <row r="82" spans="1:10" x14ac:dyDescent="0.25">
      <c r="A82" t="str">
        <f>'Data Cleaning'!A82</f>
        <v>S81</v>
      </c>
      <c r="B82" s="113">
        <f>'Data Cleaning'!B82</f>
        <v>45723</v>
      </c>
      <c r="C82" t="str">
        <f>'Data Cleaning'!C82</f>
        <v>Reebok</v>
      </c>
      <c r="D82" t="str">
        <f>'Data Cleaning'!D82</f>
        <v>Boots</v>
      </c>
      <c r="E82" t="str">
        <f>'Data Cleaning'!E82</f>
        <v>Red</v>
      </c>
      <c r="F82" t="str">
        <f>'Data Cleaning'!F82</f>
        <v>UAE</v>
      </c>
      <c r="G82" t="str">
        <f>'Data Cleaning'!G82</f>
        <v>Mall</v>
      </c>
      <c r="H82" s="2">
        <f>'Data Cleaning'!H82</f>
        <v>219.88</v>
      </c>
      <c r="I82">
        <f>'Data Cleaning'!I82</f>
        <v>7</v>
      </c>
      <c r="J82" s="2">
        <f>'Data Cleaning'!J82</f>
        <v>1539.16</v>
      </c>
    </row>
    <row r="83" spans="1:10" x14ac:dyDescent="0.25">
      <c r="A83" t="str">
        <f>'Data Cleaning'!A83</f>
        <v>S82</v>
      </c>
      <c r="B83" s="113">
        <f>'Data Cleaning'!B83</f>
        <v>45747</v>
      </c>
      <c r="C83" t="str">
        <f>'Data Cleaning'!C83</f>
        <v>New Balance</v>
      </c>
      <c r="D83" t="str">
        <f>'Data Cleaning'!D83</f>
        <v>Sports</v>
      </c>
      <c r="E83" t="str">
        <f>'Data Cleaning'!E83</f>
        <v>Red</v>
      </c>
      <c r="F83" t="str">
        <f>'Data Cleaning'!F83</f>
        <v>India</v>
      </c>
      <c r="G83" t="str">
        <f>'Data Cleaning'!G83</f>
        <v>Online</v>
      </c>
      <c r="H83" s="2">
        <f>'Data Cleaning'!H83</f>
        <v>167.13</v>
      </c>
      <c r="I83">
        <f>'Data Cleaning'!I83</f>
        <v>20</v>
      </c>
      <c r="J83" s="2">
        <f>'Data Cleaning'!J83</f>
        <v>3342.6</v>
      </c>
    </row>
    <row r="84" spans="1:10" x14ac:dyDescent="0.25">
      <c r="A84" t="str">
        <f>'Data Cleaning'!A84</f>
        <v>S83</v>
      </c>
      <c r="B84" s="113">
        <f>'Data Cleaning'!B84</f>
        <v>45813</v>
      </c>
      <c r="C84" t="str">
        <f>'Data Cleaning'!C84</f>
        <v>Adidas</v>
      </c>
      <c r="D84" t="str">
        <f>'Data Cleaning'!D84</f>
        <v>Formal</v>
      </c>
      <c r="E84" t="str">
        <f>'Data Cleaning'!E84</f>
        <v>Grey</v>
      </c>
      <c r="F84" t="str">
        <f>'Data Cleaning'!F84</f>
        <v>India</v>
      </c>
      <c r="G84" t="str">
        <f>'Data Cleaning'!G84</f>
        <v>Mall</v>
      </c>
      <c r="H84" s="2">
        <f>'Data Cleaning'!H84</f>
        <v>102.8</v>
      </c>
      <c r="I84">
        <f>'Data Cleaning'!I84</f>
        <v>10</v>
      </c>
      <c r="J84" s="2">
        <f>'Data Cleaning'!J84</f>
        <v>1028</v>
      </c>
    </row>
    <row r="85" spans="1:10" x14ac:dyDescent="0.25">
      <c r="A85" t="str">
        <f>'Data Cleaning'!A85</f>
        <v>S84</v>
      </c>
      <c r="B85" s="113">
        <f>'Data Cleaning'!B85</f>
        <v>45822</v>
      </c>
      <c r="C85" t="str">
        <f>'Data Cleaning'!C85</f>
        <v>Reebok</v>
      </c>
      <c r="D85" t="str">
        <f>'Data Cleaning'!D85</f>
        <v>Formal</v>
      </c>
      <c r="E85" t="str">
        <f>'Data Cleaning'!E85</f>
        <v>Green</v>
      </c>
      <c r="F85" t="str">
        <f>'Data Cleaning'!F85</f>
        <v>UK</v>
      </c>
      <c r="G85" t="str">
        <f>'Data Cleaning'!G85</f>
        <v>Mall</v>
      </c>
      <c r="H85" s="2">
        <f>'Data Cleaning'!H85</f>
        <v>43.98</v>
      </c>
      <c r="I85">
        <f>'Data Cleaning'!I85</f>
        <v>15</v>
      </c>
      <c r="J85" s="2">
        <f>'Data Cleaning'!J85</f>
        <v>659.7</v>
      </c>
    </row>
    <row r="86" spans="1:10" x14ac:dyDescent="0.25">
      <c r="A86" t="str">
        <f>'Data Cleaning'!A86</f>
        <v>S85</v>
      </c>
      <c r="B86" s="113">
        <f>'Data Cleaning'!B86</f>
        <v>45900</v>
      </c>
      <c r="C86" t="str">
        <f>'Data Cleaning'!C86</f>
        <v>Skechers</v>
      </c>
      <c r="D86" t="str">
        <f>'Data Cleaning'!D86</f>
        <v>Running</v>
      </c>
      <c r="E86" t="str">
        <f>'Data Cleaning'!E86</f>
        <v>Blue</v>
      </c>
      <c r="F86" t="str">
        <f>'Data Cleaning'!F86</f>
        <v>India</v>
      </c>
      <c r="G86" t="str">
        <f>'Data Cleaning'!G86</f>
        <v>Mall</v>
      </c>
      <c r="H86" s="2">
        <f>'Data Cleaning'!H86</f>
        <v>98.42</v>
      </c>
      <c r="I86">
        <f>'Data Cleaning'!I86</f>
        <v>6</v>
      </c>
      <c r="J86" s="2">
        <f>'Data Cleaning'!J86</f>
        <v>590.52</v>
      </c>
    </row>
    <row r="87" spans="1:10" x14ac:dyDescent="0.25">
      <c r="A87" t="str">
        <f>'Data Cleaning'!A87</f>
        <v>S86</v>
      </c>
      <c r="B87" s="113">
        <f>'Data Cleaning'!B87</f>
        <v>45982</v>
      </c>
      <c r="C87" t="str">
        <f>'Data Cleaning'!C87</f>
        <v>Puma</v>
      </c>
      <c r="D87" t="str">
        <f>'Data Cleaning'!D87</f>
        <v>Running</v>
      </c>
      <c r="E87" t="str">
        <f>'Data Cleaning'!E87</f>
        <v>White</v>
      </c>
      <c r="F87" t="str">
        <f>'Data Cleaning'!F87</f>
        <v>UAE</v>
      </c>
      <c r="G87" t="str">
        <f>'Data Cleaning'!G87</f>
        <v>Retail Store</v>
      </c>
      <c r="H87" s="2">
        <f>'Data Cleaning'!H87</f>
        <v>101.54</v>
      </c>
      <c r="I87">
        <f>'Data Cleaning'!I87</f>
        <v>20</v>
      </c>
      <c r="J87" s="2">
        <f>'Data Cleaning'!J87</f>
        <v>2030.8</v>
      </c>
    </row>
    <row r="88" spans="1:10" x14ac:dyDescent="0.25">
      <c r="A88" t="str">
        <f>'Data Cleaning'!A88</f>
        <v>S87</v>
      </c>
      <c r="B88" s="113">
        <f>'Data Cleaning'!B88</f>
        <v>45773</v>
      </c>
      <c r="C88" t="str">
        <f>'Data Cleaning'!C88</f>
        <v>Adidas</v>
      </c>
      <c r="D88" t="str">
        <f>'Data Cleaning'!D88</f>
        <v>Running</v>
      </c>
      <c r="E88" t="str">
        <f>'Data Cleaning'!E88</f>
        <v>Black</v>
      </c>
      <c r="F88" t="str">
        <f>'Data Cleaning'!F88</f>
        <v>UK</v>
      </c>
      <c r="G88" t="str">
        <f>'Data Cleaning'!G88</f>
        <v>Retail Store</v>
      </c>
      <c r="H88" s="2">
        <f>'Data Cleaning'!H88</f>
        <v>190.51</v>
      </c>
      <c r="I88">
        <f>'Data Cleaning'!I88</f>
        <v>7</v>
      </c>
      <c r="J88" s="2">
        <f>'Data Cleaning'!J88</f>
        <v>1333.57</v>
      </c>
    </row>
    <row r="89" spans="1:10" x14ac:dyDescent="0.25">
      <c r="A89" t="str">
        <f>'Data Cleaning'!A89</f>
        <v>S88</v>
      </c>
      <c r="B89" s="113">
        <f>'Data Cleaning'!B89</f>
        <v>45970</v>
      </c>
      <c r="C89" t="str">
        <f>'Data Cleaning'!C89</f>
        <v>Reebok</v>
      </c>
      <c r="D89" t="str">
        <f>'Data Cleaning'!D89</f>
        <v>Formal</v>
      </c>
      <c r="E89" t="str">
        <f>'Data Cleaning'!E89</f>
        <v>Green</v>
      </c>
      <c r="F89" t="str">
        <f>'Data Cleaning'!F89</f>
        <v>India</v>
      </c>
      <c r="G89" t="str">
        <f>'Data Cleaning'!G89</f>
        <v>Online</v>
      </c>
      <c r="H89" s="2">
        <f>'Data Cleaning'!H89</f>
        <v>170.26</v>
      </c>
      <c r="I89">
        <f>'Data Cleaning'!I89</f>
        <v>3</v>
      </c>
      <c r="J89" s="2">
        <f>'Data Cleaning'!J89</f>
        <v>510.78</v>
      </c>
    </row>
    <row r="90" spans="1:10" x14ac:dyDescent="0.25">
      <c r="A90" t="str">
        <f>'Data Cleaning'!A90</f>
        <v>S89</v>
      </c>
      <c r="B90" s="113">
        <f>'Data Cleaning'!B90</f>
        <v>46014</v>
      </c>
      <c r="C90" t="str">
        <f>'Data Cleaning'!C90</f>
        <v>Reebok</v>
      </c>
      <c r="D90" t="str">
        <f>'Data Cleaning'!D90</f>
        <v>Formal</v>
      </c>
      <c r="E90" t="str">
        <f>'Data Cleaning'!E90</f>
        <v>White</v>
      </c>
      <c r="F90" t="str">
        <f>'Data Cleaning'!F90</f>
        <v>UK</v>
      </c>
      <c r="G90" t="str">
        <f>'Data Cleaning'!G90</f>
        <v>Mall</v>
      </c>
      <c r="H90" s="2">
        <f>'Data Cleaning'!H90</f>
        <v>225.19</v>
      </c>
      <c r="I90">
        <f>'Data Cleaning'!I90</f>
        <v>13</v>
      </c>
      <c r="J90" s="2">
        <f>'Data Cleaning'!J90</f>
        <v>2927.47</v>
      </c>
    </row>
    <row r="91" spans="1:10" x14ac:dyDescent="0.25">
      <c r="A91" t="str">
        <f>'Data Cleaning'!A91</f>
        <v>S90</v>
      </c>
      <c r="B91" s="113">
        <f>'Data Cleaning'!B91</f>
        <v>46010</v>
      </c>
      <c r="C91" t="str">
        <f>'Data Cleaning'!C91</f>
        <v>Nike</v>
      </c>
      <c r="D91" t="str">
        <f>'Data Cleaning'!D91</f>
        <v>Formal</v>
      </c>
      <c r="E91" t="str">
        <f>'Data Cleaning'!E91</f>
        <v>White</v>
      </c>
      <c r="F91" t="str">
        <f>'Data Cleaning'!F91</f>
        <v>UK</v>
      </c>
      <c r="G91" t="str">
        <f>'Data Cleaning'!G91</f>
        <v>Mall</v>
      </c>
      <c r="H91" s="2">
        <f>'Data Cleaning'!H91</f>
        <v>133.88999999999999</v>
      </c>
      <c r="I91">
        <f>'Data Cleaning'!I91</f>
        <v>1</v>
      </c>
      <c r="J91" s="2">
        <f>'Data Cleaning'!J91</f>
        <v>133.88999999999999</v>
      </c>
    </row>
    <row r="92" spans="1:10" x14ac:dyDescent="0.25">
      <c r="A92" t="str">
        <f>'Data Cleaning'!A92</f>
        <v>S91</v>
      </c>
      <c r="B92" s="113">
        <f>'Data Cleaning'!B92</f>
        <v>45923</v>
      </c>
      <c r="C92" t="str">
        <f>'Data Cleaning'!C92</f>
        <v>Nike</v>
      </c>
      <c r="D92" t="str">
        <f>'Data Cleaning'!D92</f>
        <v>Sneakers</v>
      </c>
      <c r="E92" t="str">
        <f>'Data Cleaning'!E92</f>
        <v>White</v>
      </c>
      <c r="F92" t="str">
        <f>'Data Cleaning'!F92</f>
        <v>Saudi Arabia</v>
      </c>
      <c r="G92" t="str">
        <f>'Data Cleaning'!G92</f>
        <v>Online</v>
      </c>
      <c r="H92" s="2">
        <f>'Data Cleaning'!H92</f>
        <v>56.31</v>
      </c>
      <c r="I92">
        <f>'Data Cleaning'!I92</f>
        <v>15</v>
      </c>
      <c r="J92" s="2">
        <f>'Data Cleaning'!J92</f>
        <v>844.65</v>
      </c>
    </row>
    <row r="93" spans="1:10" x14ac:dyDescent="0.25">
      <c r="A93" t="str">
        <f>'Data Cleaning'!A93</f>
        <v>S92</v>
      </c>
      <c r="B93" s="113">
        <f>'Data Cleaning'!B93</f>
        <v>45891</v>
      </c>
      <c r="C93" t="str">
        <f>'Data Cleaning'!C93</f>
        <v>Reebok</v>
      </c>
      <c r="D93" t="str">
        <f>'Data Cleaning'!D93</f>
        <v>Boots</v>
      </c>
      <c r="E93" t="str">
        <f>'Data Cleaning'!E93</f>
        <v>Grey</v>
      </c>
      <c r="F93" t="str">
        <f>'Data Cleaning'!F93</f>
        <v>India</v>
      </c>
      <c r="G93" t="str">
        <f>'Data Cleaning'!G93</f>
        <v>Mall</v>
      </c>
      <c r="H93" s="2">
        <f>'Data Cleaning'!H93</f>
        <v>186.91</v>
      </c>
      <c r="I93">
        <f>'Data Cleaning'!I93</f>
        <v>5</v>
      </c>
      <c r="J93" s="2">
        <f>'Data Cleaning'!J93</f>
        <v>934.55</v>
      </c>
    </row>
    <row r="94" spans="1:10" x14ac:dyDescent="0.25">
      <c r="A94" t="str">
        <f>'Data Cleaning'!A94</f>
        <v>S93</v>
      </c>
      <c r="B94" s="113">
        <f>'Data Cleaning'!B94</f>
        <v>45820</v>
      </c>
      <c r="C94" t="str">
        <f>'Data Cleaning'!C94</f>
        <v>New Balance</v>
      </c>
      <c r="D94" t="str">
        <f>'Data Cleaning'!D94</f>
        <v>Boots</v>
      </c>
      <c r="E94" t="str">
        <f>'Data Cleaning'!E94</f>
        <v>Grey</v>
      </c>
      <c r="F94" t="str">
        <f>'Data Cleaning'!F94</f>
        <v>Germany</v>
      </c>
      <c r="G94" t="str">
        <f>'Data Cleaning'!G94</f>
        <v>Mall</v>
      </c>
      <c r="H94" s="2">
        <f>'Data Cleaning'!H94</f>
        <v>197.37</v>
      </c>
      <c r="I94">
        <f>'Data Cleaning'!I94</f>
        <v>15</v>
      </c>
      <c r="J94" s="2">
        <f>'Data Cleaning'!J94</f>
        <v>2960.55</v>
      </c>
    </row>
    <row r="95" spans="1:10" x14ac:dyDescent="0.25">
      <c r="A95" t="str">
        <f>'Data Cleaning'!A95</f>
        <v>S94</v>
      </c>
      <c r="B95" s="113">
        <f>'Data Cleaning'!B95</f>
        <v>45886</v>
      </c>
      <c r="C95" t="str">
        <f>'Data Cleaning'!C95</f>
        <v>Skechers</v>
      </c>
      <c r="D95" t="str">
        <f>'Data Cleaning'!D95</f>
        <v>Formal</v>
      </c>
      <c r="E95" t="str">
        <f>'Data Cleaning'!E95</f>
        <v>Red</v>
      </c>
      <c r="F95" t="str">
        <f>'Data Cleaning'!F95</f>
        <v>France</v>
      </c>
      <c r="G95" t="str">
        <f>'Data Cleaning'!G95</f>
        <v>Online</v>
      </c>
      <c r="H95" s="2">
        <f>'Data Cleaning'!H95</f>
        <v>153.47999999999999</v>
      </c>
      <c r="I95">
        <f>'Data Cleaning'!I95</f>
        <v>6</v>
      </c>
      <c r="J95" s="2">
        <f>'Data Cleaning'!J95</f>
        <v>920.88</v>
      </c>
    </row>
    <row r="96" spans="1:10" x14ac:dyDescent="0.25">
      <c r="A96" t="str">
        <f>'Data Cleaning'!A96</f>
        <v>S95</v>
      </c>
      <c r="B96" s="113">
        <f>'Data Cleaning'!B96</f>
        <v>45984</v>
      </c>
      <c r="C96" t="str">
        <f>'Data Cleaning'!C96</f>
        <v>New Balance</v>
      </c>
      <c r="D96" t="str">
        <f>'Data Cleaning'!D96</f>
        <v>Formal</v>
      </c>
      <c r="E96" t="str">
        <f>'Data Cleaning'!E96</f>
        <v>Green</v>
      </c>
      <c r="F96" t="str">
        <f>'Data Cleaning'!F96</f>
        <v>UK</v>
      </c>
      <c r="G96" t="str">
        <f>'Data Cleaning'!G96</f>
        <v>Retail Store</v>
      </c>
      <c r="H96" s="2">
        <f>'Data Cleaning'!H96</f>
        <v>199.61</v>
      </c>
      <c r="I96">
        <f>'Data Cleaning'!I96</f>
        <v>9</v>
      </c>
      <c r="J96" s="2">
        <f>'Data Cleaning'!J96</f>
        <v>1796.49</v>
      </c>
    </row>
    <row r="97" spans="1:10" x14ac:dyDescent="0.25">
      <c r="A97" t="str">
        <f>'Data Cleaning'!A97</f>
        <v>S96</v>
      </c>
      <c r="B97" s="113">
        <f>'Data Cleaning'!B97</f>
        <v>45883</v>
      </c>
      <c r="C97" t="str">
        <f>'Data Cleaning'!C97</f>
        <v>Skechers</v>
      </c>
      <c r="D97" t="str">
        <f>'Data Cleaning'!D97</f>
        <v>Sports</v>
      </c>
      <c r="E97" t="str">
        <f>'Data Cleaning'!E97</f>
        <v>White</v>
      </c>
      <c r="F97" t="str">
        <f>'Data Cleaning'!F97</f>
        <v>France</v>
      </c>
      <c r="G97" t="str">
        <f>'Data Cleaning'!G97</f>
        <v>Retail Store</v>
      </c>
      <c r="H97" s="2">
        <f>'Data Cleaning'!H97</f>
        <v>138.63999999999999</v>
      </c>
      <c r="I97">
        <f>'Data Cleaning'!I97</f>
        <v>3</v>
      </c>
      <c r="J97" s="2">
        <f>'Data Cleaning'!J97</f>
        <v>415.92</v>
      </c>
    </row>
    <row r="98" spans="1:10" x14ac:dyDescent="0.25">
      <c r="A98" t="str">
        <f>'Data Cleaning'!A98</f>
        <v>S97</v>
      </c>
      <c r="B98" s="113">
        <f>'Data Cleaning'!B98</f>
        <v>45821</v>
      </c>
      <c r="C98" t="str">
        <f>'Data Cleaning'!C98</f>
        <v>Nike</v>
      </c>
      <c r="D98" t="str">
        <f>'Data Cleaning'!D98</f>
        <v>Casual</v>
      </c>
      <c r="E98" t="str">
        <f>'Data Cleaning'!E98</f>
        <v>White</v>
      </c>
      <c r="F98" t="str">
        <f>'Data Cleaning'!F98</f>
        <v>UK</v>
      </c>
      <c r="G98" t="str">
        <f>'Data Cleaning'!G98</f>
        <v>Retail Store</v>
      </c>
      <c r="H98" s="2">
        <f>'Data Cleaning'!H98</f>
        <v>145</v>
      </c>
      <c r="I98">
        <f>'Data Cleaning'!I98</f>
        <v>18</v>
      </c>
      <c r="J98" s="2">
        <f>'Data Cleaning'!J98</f>
        <v>2610</v>
      </c>
    </row>
    <row r="99" spans="1:10" x14ac:dyDescent="0.25">
      <c r="A99" t="str">
        <f>'Data Cleaning'!A99</f>
        <v>S98</v>
      </c>
      <c r="B99" s="113">
        <f>'Data Cleaning'!B99</f>
        <v>46013</v>
      </c>
      <c r="C99" t="str">
        <f>'Data Cleaning'!C99</f>
        <v>Skechers</v>
      </c>
      <c r="D99" t="str">
        <f>'Data Cleaning'!D99</f>
        <v>Casual</v>
      </c>
      <c r="E99" t="str">
        <f>'Data Cleaning'!E99</f>
        <v>Black</v>
      </c>
      <c r="F99" t="str">
        <f>'Data Cleaning'!F99</f>
        <v>Germany</v>
      </c>
      <c r="G99" t="str">
        <f>'Data Cleaning'!G99</f>
        <v>Retail Store</v>
      </c>
      <c r="H99" s="2">
        <f>'Data Cleaning'!H99</f>
        <v>124.06</v>
      </c>
      <c r="I99">
        <f>'Data Cleaning'!I99</f>
        <v>5</v>
      </c>
      <c r="J99" s="2">
        <f>'Data Cleaning'!J99</f>
        <v>620.29999999999995</v>
      </c>
    </row>
    <row r="100" spans="1:10" x14ac:dyDescent="0.25">
      <c r="A100" t="str">
        <f>'Data Cleaning'!A100</f>
        <v>S99</v>
      </c>
      <c r="B100" s="113">
        <f>'Data Cleaning'!B100</f>
        <v>45827</v>
      </c>
      <c r="C100" t="str">
        <f>'Data Cleaning'!C100</f>
        <v>Reebok</v>
      </c>
      <c r="D100" t="str">
        <f>'Data Cleaning'!D100</f>
        <v>Formal</v>
      </c>
      <c r="E100" t="str">
        <f>'Data Cleaning'!E100</f>
        <v>Black</v>
      </c>
      <c r="F100" t="str">
        <f>'Data Cleaning'!F100</f>
        <v>UK</v>
      </c>
      <c r="G100" t="str">
        <f>'Data Cleaning'!G100</f>
        <v>Retail Store</v>
      </c>
      <c r="H100" s="2">
        <f>'Data Cleaning'!H100</f>
        <v>35.590000000000003</v>
      </c>
      <c r="I100">
        <f>'Data Cleaning'!I100</f>
        <v>18</v>
      </c>
      <c r="J100" s="2">
        <f>'Data Cleaning'!J100</f>
        <v>640.62</v>
      </c>
    </row>
    <row r="101" spans="1:10" x14ac:dyDescent="0.25">
      <c r="A101" t="str">
        <f>'Data Cleaning'!A101</f>
        <v>S100</v>
      </c>
      <c r="B101" s="113">
        <f>'Data Cleaning'!B101</f>
        <v>45857</v>
      </c>
      <c r="C101" t="str">
        <f>'Data Cleaning'!C101</f>
        <v>Skechers</v>
      </c>
      <c r="D101" t="str">
        <f>'Data Cleaning'!D101</f>
        <v>Running</v>
      </c>
      <c r="E101" t="str">
        <f>'Data Cleaning'!E101</f>
        <v>Grey</v>
      </c>
      <c r="F101" t="str">
        <f>'Data Cleaning'!F101</f>
        <v>Germany</v>
      </c>
      <c r="G101" t="str">
        <f>'Data Cleaning'!G101</f>
        <v>Retail Store</v>
      </c>
      <c r="H101" s="2">
        <f>'Data Cleaning'!H101</f>
        <v>53.74</v>
      </c>
      <c r="I101">
        <f>'Data Cleaning'!I101</f>
        <v>19</v>
      </c>
      <c r="J101" s="2">
        <f>'Data Cleaning'!J101</f>
        <v>1021.06</v>
      </c>
    </row>
    <row r="102" spans="1:10" x14ac:dyDescent="0.25">
      <c r="A102" t="str">
        <f>'Data Cleaning'!A102</f>
        <v>S101</v>
      </c>
      <c r="B102" s="113">
        <f>'Data Cleaning'!B102</f>
        <v>45661</v>
      </c>
      <c r="C102" t="str">
        <f>'Data Cleaning'!C102</f>
        <v>Puma</v>
      </c>
      <c r="D102" t="str">
        <f>'Data Cleaning'!D102</f>
        <v>Formal</v>
      </c>
      <c r="E102" t="str">
        <f>'Data Cleaning'!E102</f>
        <v>Red</v>
      </c>
      <c r="F102" t="str">
        <f>'Data Cleaning'!F102</f>
        <v>India</v>
      </c>
      <c r="G102" t="str">
        <f>'Data Cleaning'!G102</f>
        <v>Mall</v>
      </c>
      <c r="H102" s="2">
        <f>'Data Cleaning'!H102</f>
        <v>36.909999999999997</v>
      </c>
      <c r="I102">
        <f>'Data Cleaning'!I102</f>
        <v>12</v>
      </c>
      <c r="J102" s="2">
        <f>'Data Cleaning'!J102</f>
        <v>442.92</v>
      </c>
    </row>
    <row r="103" spans="1:10" x14ac:dyDescent="0.25">
      <c r="A103" t="str">
        <f>'Data Cleaning'!A103</f>
        <v>S102</v>
      </c>
      <c r="B103" s="113">
        <f>'Data Cleaning'!B103</f>
        <v>45937</v>
      </c>
      <c r="C103" t="str">
        <f>'Data Cleaning'!C103</f>
        <v>Adidas</v>
      </c>
      <c r="D103" t="str">
        <f>'Data Cleaning'!D103</f>
        <v>Formal</v>
      </c>
      <c r="E103" t="str">
        <f>'Data Cleaning'!E103</f>
        <v>White</v>
      </c>
      <c r="F103" t="str">
        <f>'Data Cleaning'!F103</f>
        <v>France</v>
      </c>
      <c r="G103" t="str">
        <f>'Data Cleaning'!G103</f>
        <v>Retail Store</v>
      </c>
      <c r="H103" s="2">
        <f>'Data Cleaning'!H103</f>
        <v>170.01</v>
      </c>
      <c r="I103">
        <f>'Data Cleaning'!I103</f>
        <v>20</v>
      </c>
      <c r="J103" s="2">
        <f>'Data Cleaning'!J103</f>
        <v>3400.2</v>
      </c>
    </row>
    <row r="104" spans="1:10" x14ac:dyDescent="0.25">
      <c r="A104" t="str">
        <f>'Data Cleaning'!A104</f>
        <v>S103</v>
      </c>
      <c r="B104" s="113">
        <f>'Data Cleaning'!B104</f>
        <v>45906</v>
      </c>
      <c r="C104" t="str">
        <f>'Data Cleaning'!C104</f>
        <v>Reebok</v>
      </c>
      <c r="D104" t="str">
        <f>'Data Cleaning'!D104</f>
        <v>Sports</v>
      </c>
      <c r="E104" t="str">
        <f>'Data Cleaning'!E104</f>
        <v>Green</v>
      </c>
      <c r="F104" t="str">
        <f>'Data Cleaning'!F104</f>
        <v>UAE</v>
      </c>
      <c r="G104" t="str">
        <f>'Data Cleaning'!G104</f>
        <v>Retail Store</v>
      </c>
      <c r="H104" s="2">
        <f>'Data Cleaning'!H104</f>
        <v>99.16</v>
      </c>
      <c r="I104">
        <f>'Data Cleaning'!I104</f>
        <v>1</v>
      </c>
      <c r="J104" s="2">
        <f>'Data Cleaning'!J104</f>
        <v>99.16</v>
      </c>
    </row>
    <row r="105" spans="1:10" x14ac:dyDescent="0.25">
      <c r="A105" t="str">
        <f>'Data Cleaning'!A105</f>
        <v>S104</v>
      </c>
      <c r="B105" s="113">
        <f>'Data Cleaning'!B105</f>
        <v>45742</v>
      </c>
      <c r="C105" t="str">
        <f>'Data Cleaning'!C105</f>
        <v>Adidas</v>
      </c>
      <c r="D105" t="str">
        <f>'Data Cleaning'!D105</f>
        <v>Sneakers</v>
      </c>
      <c r="E105" t="str">
        <f>'Data Cleaning'!E105</f>
        <v>Grey</v>
      </c>
      <c r="F105" t="str">
        <f>'Data Cleaning'!F105</f>
        <v>USA</v>
      </c>
      <c r="G105" t="str">
        <f>'Data Cleaning'!G105</f>
        <v>Retail Store</v>
      </c>
      <c r="H105" s="2">
        <f>'Data Cleaning'!H105</f>
        <v>141.88999999999999</v>
      </c>
      <c r="I105">
        <f>'Data Cleaning'!I105</f>
        <v>15</v>
      </c>
      <c r="J105" s="2">
        <f>'Data Cleaning'!J105</f>
        <v>2128.35</v>
      </c>
    </row>
    <row r="106" spans="1:10" x14ac:dyDescent="0.25">
      <c r="A106" t="str">
        <f>'Data Cleaning'!A106</f>
        <v>S105</v>
      </c>
      <c r="B106" s="113">
        <f>'Data Cleaning'!B106</f>
        <v>45961</v>
      </c>
      <c r="C106" t="str">
        <f>'Data Cleaning'!C106</f>
        <v>Skechers</v>
      </c>
      <c r="D106" t="str">
        <f>'Data Cleaning'!D106</f>
        <v>Running</v>
      </c>
      <c r="E106" t="str">
        <f>'Data Cleaning'!E106</f>
        <v>Black</v>
      </c>
      <c r="F106" t="str">
        <f>'Data Cleaning'!F106</f>
        <v>UAE</v>
      </c>
      <c r="G106" t="str">
        <f>'Data Cleaning'!G106</f>
        <v>Retail Store</v>
      </c>
      <c r="H106" s="2">
        <f>'Data Cleaning'!H106</f>
        <v>229.66</v>
      </c>
      <c r="I106">
        <f>'Data Cleaning'!I106</f>
        <v>19</v>
      </c>
      <c r="J106" s="2">
        <f>'Data Cleaning'!J106</f>
        <v>4363.54</v>
      </c>
    </row>
    <row r="107" spans="1:10" x14ac:dyDescent="0.25">
      <c r="A107" t="str">
        <f>'Data Cleaning'!A107</f>
        <v>S106</v>
      </c>
      <c r="B107" s="113">
        <f>'Data Cleaning'!B107</f>
        <v>45727</v>
      </c>
      <c r="C107" t="str">
        <f>'Data Cleaning'!C107</f>
        <v>Adidas</v>
      </c>
      <c r="D107" t="str">
        <f>'Data Cleaning'!D107</f>
        <v>Running</v>
      </c>
      <c r="E107" t="str">
        <f>'Data Cleaning'!E107</f>
        <v>Blue</v>
      </c>
      <c r="F107" t="str">
        <f>'Data Cleaning'!F107</f>
        <v>Germany</v>
      </c>
      <c r="G107" t="str">
        <f>'Data Cleaning'!G107</f>
        <v>Retail Store</v>
      </c>
      <c r="H107" s="2">
        <f>'Data Cleaning'!H107</f>
        <v>84.84</v>
      </c>
      <c r="I107">
        <f>'Data Cleaning'!I107</f>
        <v>15</v>
      </c>
      <c r="J107" s="2">
        <f>'Data Cleaning'!J107</f>
        <v>1272.5999999999999</v>
      </c>
    </row>
    <row r="108" spans="1:10" x14ac:dyDescent="0.25">
      <c r="A108" t="str">
        <f>'Data Cleaning'!A108</f>
        <v>S107</v>
      </c>
      <c r="B108" s="113">
        <f>'Data Cleaning'!B108</f>
        <v>45766</v>
      </c>
      <c r="C108" t="str">
        <f>'Data Cleaning'!C108</f>
        <v>Puma</v>
      </c>
      <c r="D108" t="str">
        <f>'Data Cleaning'!D108</f>
        <v>Sports</v>
      </c>
      <c r="E108" t="str">
        <f>'Data Cleaning'!E108</f>
        <v>Red</v>
      </c>
      <c r="F108" t="str">
        <f>'Data Cleaning'!F108</f>
        <v>France</v>
      </c>
      <c r="G108" t="str">
        <f>'Data Cleaning'!G108</f>
        <v>Retail Store</v>
      </c>
      <c r="H108" s="2">
        <f>'Data Cleaning'!H108</f>
        <v>120.28</v>
      </c>
      <c r="I108">
        <f>'Data Cleaning'!I108</f>
        <v>15</v>
      </c>
      <c r="J108" s="2">
        <f>'Data Cleaning'!J108</f>
        <v>1804.2</v>
      </c>
    </row>
    <row r="109" spans="1:10" x14ac:dyDescent="0.25">
      <c r="A109" t="str">
        <f>'Data Cleaning'!A109</f>
        <v>S108</v>
      </c>
      <c r="B109" s="113">
        <f>'Data Cleaning'!B109</f>
        <v>45787</v>
      </c>
      <c r="C109" t="str">
        <f>'Data Cleaning'!C109</f>
        <v>Reebok</v>
      </c>
      <c r="D109" t="str">
        <f>'Data Cleaning'!D109</f>
        <v>Running</v>
      </c>
      <c r="E109" t="str">
        <f>'Data Cleaning'!E109</f>
        <v>Green</v>
      </c>
      <c r="F109" t="str">
        <f>'Data Cleaning'!F109</f>
        <v>India</v>
      </c>
      <c r="G109" t="str">
        <f>'Data Cleaning'!G109</f>
        <v>Online</v>
      </c>
      <c r="H109" s="2">
        <f>'Data Cleaning'!H109</f>
        <v>196.22</v>
      </c>
      <c r="I109">
        <f>'Data Cleaning'!I109</f>
        <v>3</v>
      </c>
      <c r="J109" s="2">
        <f>'Data Cleaning'!J109</f>
        <v>588.66</v>
      </c>
    </row>
    <row r="110" spans="1:10" x14ac:dyDescent="0.25">
      <c r="A110" t="str">
        <f>'Data Cleaning'!A110</f>
        <v>S109</v>
      </c>
      <c r="B110" s="113">
        <f>'Data Cleaning'!B110</f>
        <v>45837</v>
      </c>
      <c r="C110" t="str">
        <f>'Data Cleaning'!C110</f>
        <v>Skechers</v>
      </c>
      <c r="D110" t="str">
        <f>'Data Cleaning'!D110</f>
        <v>Running</v>
      </c>
      <c r="E110" t="str">
        <f>'Data Cleaning'!E110</f>
        <v>Green</v>
      </c>
      <c r="F110" t="str">
        <f>'Data Cleaning'!F110</f>
        <v>USA</v>
      </c>
      <c r="G110" t="str">
        <f>'Data Cleaning'!G110</f>
        <v>Online</v>
      </c>
      <c r="H110" s="2">
        <f>'Data Cleaning'!H110</f>
        <v>80.34</v>
      </c>
      <c r="I110">
        <f>'Data Cleaning'!I110</f>
        <v>8</v>
      </c>
      <c r="J110" s="2">
        <f>'Data Cleaning'!J110</f>
        <v>642.72</v>
      </c>
    </row>
    <row r="111" spans="1:10" x14ac:dyDescent="0.25">
      <c r="A111" t="str">
        <f>'Data Cleaning'!A111</f>
        <v>S110</v>
      </c>
      <c r="B111" s="113">
        <f>'Data Cleaning'!B111</f>
        <v>45784</v>
      </c>
      <c r="C111" t="str">
        <f>'Data Cleaning'!C111</f>
        <v>Nike</v>
      </c>
      <c r="D111" t="str">
        <f>'Data Cleaning'!D111</f>
        <v>Sneakers</v>
      </c>
      <c r="E111" t="str">
        <f>'Data Cleaning'!E111</f>
        <v>White</v>
      </c>
      <c r="F111" t="str">
        <f>'Data Cleaning'!F111</f>
        <v>UK</v>
      </c>
      <c r="G111" t="str">
        <f>'Data Cleaning'!G111</f>
        <v>Online</v>
      </c>
      <c r="H111" s="2">
        <f>'Data Cleaning'!H111</f>
        <v>46.94</v>
      </c>
      <c r="I111">
        <f>'Data Cleaning'!I111</f>
        <v>7</v>
      </c>
      <c r="J111" s="2">
        <f>'Data Cleaning'!J111</f>
        <v>328.58</v>
      </c>
    </row>
    <row r="112" spans="1:10" x14ac:dyDescent="0.25">
      <c r="A112" t="str">
        <f>'Data Cleaning'!A112</f>
        <v>S111</v>
      </c>
      <c r="B112" s="113">
        <f>'Data Cleaning'!B112</f>
        <v>45900</v>
      </c>
      <c r="C112" t="str">
        <f>'Data Cleaning'!C112</f>
        <v>New Balance</v>
      </c>
      <c r="D112" t="str">
        <f>'Data Cleaning'!D112</f>
        <v>Casual</v>
      </c>
      <c r="E112" t="str">
        <f>'Data Cleaning'!E112</f>
        <v>Red</v>
      </c>
      <c r="F112" t="str">
        <f>'Data Cleaning'!F112</f>
        <v>UAE</v>
      </c>
      <c r="G112" t="str">
        <f>'Data Cleaning'!G112</f>
        <v>Retail Store</v>
      </c>
      <c r="H112" s="2">
        <f>'Data Cleaning'!H112</f>
        <v>93.75</v>
      </c>
      <c r="I112">
        <f>'Data Cleaning'!I112</f>
        <v>4</v>
      </c>
      <c r="J112" s="2">
        <f>'Data Cleaning'!J112</f>
        <v>375</v>
      </c>
    </row>
    <row r="113" spans="1:10" x14ac:dyDescent="0.25">
      <c r="A113" t="str">
        <f>'Data Cleaning'!A113</f>
        <v>S112</v>
      </c>
      <c r="B113" s="113">
        <f>'Data Cleaning'!B113</f>
        <v>45846</v>
      </c>
      <c r="C113" t="str">
        <f>'Data Cleaning'!C113</f>
        <v>New Balance</v>
      </c>
      <c r="D113" t="str">
        <f>'Data Cleaning'!D113</f>
        <v>Sneakers</v>
      </c>
      <c r="E113" t="str">
        <f>'Data Cleaning'!E113</f>
        <v>Green</v>
      </c>
      <c r="F113" t="str">
        <f>'Data Cleaning'!F113</f>
        <v>UAE</v>
      </c>
      <c r="G113" t="str">
        <f>'Data Cleaning'!G113</f>
        <v>Online</v>
      </c>
      <c r="H113" s="2">
        <f>'Data Cleaning'!H113</f>
        <v>65.47</v>
      </c>
      <c r="I113">
        <f>'Data Cleaning'!I113</f>
        <v>6</v>
      </c>
      <c r="J113" s="2">
        <f>'Data Cleaning'!J113</f>
        <v>392.82</v>
      </c>
    </row>
    <row r="114" spans="1:10" x14ac:dyDescent="0.25">
      <c r="A114" t="str">
        <f>'Data Cleaning'!A114</f>
        <v>S113</v>
      </c>
      <c r="B114" s="113">
        <f>'Data Cleaning'!B114</f>
        <v>45741</v>
      </c>
      <c r="C114" t="str">
        <f>'Data Cleaning'!C114</f>
        <v>Nike</v>
      </c>
      <c r="D114" t="str">
        <f>'Data Cleaning'!D114</f>
        <v>Sneakers</v>
      </c>
      <c r="E114" t="str">
        <f>'Data Cleaning'!E114</f>
        <v>Black</v>
      </c>
      <c r="F114" t="str">
        <f>'Data Cleaning'!F114</f>
        <v>France</v>
      </c>
      <c r="G114" t="str">
        <f>'Data Cleaning'!G114</f>
        <v>Mall</v>
      </c>
      <c r="H114" s="2">
        <f>'Data Cleaning'!H114</f>
        <v>234.53</v>
      </c>
      <c r="I114">
        <f>'Data Cleaning'!I114</f>
        <v>10</v>
      </c>
      <c r="J114" s="2">
        <f>'Data Cleaning'!J114</f>
        <v>2345.3000000000002</v>
      </c>
    </row>
    <row r="115" spans="1:10" x14ac:dyDescent="0.25">
      <c r="A115" t="str">
        <f>'Data Cleaning'!A115</f>
        <v>S114</v>
      </c>
      <c r="B115" s="113">
        <f>'Data Cleaning'!B115</f>
        <v>46004</v>
      </c>
      <c r="C115" t="str">
        <f>'Data Cleaning'!C115</f>
        <v>Reebok</v>
      </c>
      <c r="D115" t="str">
        <f>'Data Cleaning'!D115</f>
        <v>Boots</v>
      </c>
      <c r="E115" t="str">
        <f>'Data Cleaning'!E115</f>
        <v>White</v>
      </c>
      <c r="F115" t="str">
        <f>'Data Cleaning'!F115</f>
        <v>USA</v>
      </c>
      <c r="G115" t="str">
        <f>'Data Cleaning'!G115</f>
        <v>Mall</v>
      </c>
      <c r="H115" s="2">
        <f>'Data Cleaning'!H115</f>
        <v>207.79</v>
      </c>
      <c r="I115">
        <f>'Data Cleaning'!I115</f>
        <v>13</v>
      </c>
      <c r="J115" s="2">
        <f>'Data Cleaning'!J115</f>
        <v>2701.27</v>
      </c>
    </row>
    <row r="116" spans="1:10" x14ac:dyDescent="0.25">
      <c r="A116" t="str">
        <f>'Data Cleaning'!A116</f>
        <v>S115</v>
      </c>
      <c r="B116" s="113">
        <f>'Data Cleaning'!B116</f>
        <v>46011</v>
      </c>
      <c r="C116" t="str">
        <f>'Data Cleaning'!C116</f>
        <v>Nike</v>
      </c>
      <c r="D116" t="str">
        <f>'Data Cleaning'!D116</f>
        <v>Boots</v>
      </c>
      <c r="E116" t="str">
        <f>'Data Cleaning'!E116</f>
        <v>Blue</v>
      </c>
      <c r="F116" t="str">
        <f>'Data Cleaning'!F116</f>
        <v>Saudi Arabia</v>
      </c>
      <c r="G116" t="str">
        <f>'Data Cleaning'!G116</f>
        <v>Mall</v>
      </c>
      <c r="H116" s="2">
        <f>'Data Cleaning'!H116</f>
        <v>169.35</v>
      </c>
      <c r="I116">
        <f>'Data Cleaning'!I116</f>
        <v>8</v>
      </c>
      <c r="J116" s="2">
        <f>'Data Cleaning'!J116</f>
        <v>1354.8</v>
      </c>
    </row>
    <row r="117" spans="1:10" x14ac:dyDescent="0.25">
      <c r="A117" t="str">
        <f>'Data Cleaning'!A117</f>
        <v>S116</v>
      </c>
      <c r="B117" s="113">
        <f>'Data Cleaning'!B117</f>
        <v>45965</v>
      </c>
      <c r="C117" t="str">
        <f>'Data Cleaning'!C117</f>
        <v>New Balance</v>
      </c>
      <c r="D117" t="str">
        <f>'Data Cleaning'!D117</f>
        <v>Running</v>
      </c>
      <c r="E117" t="str">
        <f>'Data Cleaning'!E117</f>
        <v>Blue</v>
      </c>
      <c r="F117" t="str">
        <f>'Data Cleaning'!F117</f>
        <v>India</v>
      </c>
      <c r="G117" t="str">
        <f>'Data Cleaning'!G117</f>
        <v>Retail Store</v>
      </c>
      <c r="H117" s="2">
        <f>'Data Cleaning'!H117</f>
        <v>221.72</v>
      </c>
      <c r="I117">
        <f>'Data Cleaning'!I117</f>
        <v>4</v>
      </c>
      <c r="J117" s="2">
        <f>'Data Cleaning'!J117</f>
        <v>886.88</v>
      </c>
    </row>
    <row r="118" spans="1:10" x14ac:dyDescent="0.25">
      <c r="A118" t="str">
        <f>'Data Cleaning'!A118</f>
        <v>S117</v>
      </c>
      <c r="B118" s="113">
        <f>'Data Cleaning'!B118</f>
        <v>45996</v>
      </c>
      <c r="C118" t="str">
        <f>'Data Cleaning'!C118</f>
        <v>Nike</v>
      </c>
      <c r="D118" t="str">
        <f>'Data Cleaning'!D118</f>
        <v>Sneakers</v>
      </c>
      <c r="E118" t="str">
        <f>'Data Cleaning'!E118</f>
        <v>Green</v>
      </c>
      <c r="F118" t="str">
        <f>'Data Cleaning'!F118</f>
        <v>France</v>
      </c>
      <c r="G118" t="str">
        <f>'Data Cleaning'!G118</f>
        <v>Online</v>
      </c>
      <c r="H118" s="2">
        <f>'Data Cleaning'!H118</f>
        <v>206.81</v>
      </c>
      <c r="I118">
        <f>'Data Cleaning'!I118</f>
        <v>12</v>
      </c>
      <c r="J118" s="2">
        <f>'Data Cleaning'!J118</f>
        <v>2481.7199999999998</v>
      </c>
    </row>
    <row r="119" spans="1:10" x14ac:dyDescent="0.25">
      <c r="A119" t="str">
        <f>'Data Cleaning'!A119</f>
        <v>S118</v>
      </c>
      <c r="B119" s="113">
        <f>'Data Cleaning'!B119</f>
        <v>45873</v>
      </c>
      <c r="C119" t="str">
        <f>'Data Cleaning'!C119</f>
        <v>Nike</v>
      </c>
      <c r="D119" t="str">
        <f>'Data Cleaning'!D119</f>
        <v>Formal</v>
      </c>
      <c r="E119" t="str">
        <f>'Data Cleaning'!E119</f>
        <v>Blue</v>
      </c>
      <c r="F119" t="str">
        <f>'Data Cleaning'!F119</f>
        <v>UAE</v>
      </c>
      <c r="G119" t="str">
        <f>'Data Cleaning'!G119</f>
        <v>Retail Store</v>
      </c>
      <c r="H119" s="2">
        <f>'Data Cleaning'!H119</f>
        <v>71.05</v>
      </c>
      <c r="I119">
        <f>'Data Cleaning'!I119</f>
        <v>16</v>
      </c>
      <c r="J119" s="2">
        <f>'Data Cleaning'!J119</f>
        <v>1136.8</v>
      </c>
    </row>
    <row r="120" spans="1:10" x14ac:dyDescent="0.25">
      <c r="A120" t="str">
        <f>'Data Cleaning'!A120</f>
        <v>S119</v>
      </c>
      <c r="B120" s="113">
        <f>'Data Cleaning'!B120</f>
        <v>46020</v>
      </c>
      <c r="C120" t="str">
        <f>'Data Cleaning'!C120</f>
        <v>Reebok</v>
      </c>
      <c r="D120" t="str">
        <f>'Data Cleaning'!D120</f>
        <v>Casual</v>
      </c>
      <c r="E120" t="str">
        <f>'Data Cleaning'!E120</f>
        <v>Green</v>
      </c>
      <c r="F120" t="str">
        <f>'Data Cleaning'!F120</f>
        <v>India</v>
      </c>
      <c r="G120" t="str">
        <f>'Data Cleaning'!G120</f>
        <v>Mall</v>
      </c>
      <c r="H120" s="2">
        <f>'Data Cleaning'!H120</f>
        <v>226.36</v>
      </c>
      <c r="I120">
        <f>'Data Cleaning'!I120</f>
        <v>5</v>
      </c>
      <c r="J120" s="2">
        <f>'Data Cleaning'!J120</f>
        <v>1131.8</v>
      </c>
    </row>
    <row r="121" spans="1:10" x14ac:dyDescent="0.25">
      <c r="A121" t="str">
        <f>'Data Cleaning'!A121</f>
        <v>S120</v>
      </c>
      <c r="B121" s="113">
        <f>'Data Cleaning'!B121</f>
        <v>45796</v>
      </c>
      <c r="C121" t="str">
        <f>'Data Cleaning'!C121</f>
        <v>New Balance</v>
      </c>
      <c r="D121" t="str">
        <f>'Data Cleaning'!D121</f>
        <v>Formal</v>
      </c>
      <c r="E121" t="str">
        <f>'Data Cleaning'!E121</f>
        <v>Red</v>
      </c>
      <c r="F121" t="str">
        <f>'Data Cleaning'!F121</f>
        <v>Germany</v>
      </c>
      <c r="G121" t="str">
        <f>'Data Cleaning'!G121</f>
        <v>Mall</v>
      </c>
      <c r="H121" s="2">
        <f>'Data Cleaning'!H121</f>
        <v>148.66</v>
      </c>
      <c r="I121">
        <f>'Data Cleaning'!I121</f>
        <v>20</v>
      </c>
      <c r="J121" s="2">
        <f>'Data Cleaning'!J121</f>
        <v>2973.2</v>
      </c>
    </row>
    <row r="122" spans="1:10" x14ac:dyDescent="0.25">
      <c r="A122" t="str">
        <f>'Data Cleaning'!A122</f>
        <v>S121</v>
      </c>
      <c r="B122" s="113">
        <f>'Data Cleaning'!B122</f>
        <v>45961</v>
      </c>
      <c r="C122" t="str">
        <f>'Data Cleaning'!C122</f>
        <v>Puma</v>
      </c>
      <c r="D122" t="str">
        <f>'Data Cleaning'!D122</f>
        <v>Casual</v>
      </c>
      <c r="E122" t="str">
        <f>'Data Cleaning'!E122</f>
        <v>Black</v>
      </c>
      <c r="F122" t="str">
        <f>'Data Cleaning'!F122</f>
        <v>France</v>
      </c>
      <c r="G122" t="str">
        <f>'Data Cleaning'!G122</f>
        <v>Retail Store</v>
      </c>
      <c r="H122" s="2">
        <f>'Data Cleaning'!H122</f>
        <v>207.64</v>
      </c>
      <c r="I122">
        <f>'Data Cleaning'!I122</f>
        <v>9</v>
      </c>
      <c r="J122" s="2">
        <f>'Data Cleaning'!J122</f>
        <v>1868.76</v>
      </c>
    </row>
    <row r="123" spans="1:10" x14ac:dyDescent="0.25">
      <c r="A123" t="str">
        <f>'Data Cleaning'!A123</f>
        <v>S122</v>
      </c>
      <c r="B123" s="113">
        <f>'Data Cleaning'!B123</f>
        <v>45782</v>
      </c>
      <c r="C123" t="str">
        <f>'Data Cleaning'!C123</f>
        <v>New Balance</v>
      </c>
      <c r="D123" t="str">
        <f>'Data Cleaning'!D123</f>
        <v>Sneakers</v>
      </c>
      <c r="E123" t="str">
        <f>'Data Cleaning'!E123</f>
        <v>Green</v>
      </c>
      <c r="F123" t="str">
        <f>'Data Cleaning'!F123</f>
        <v>Germany</v>
      </c>
      <c r="G123" t="str">
        <f>'Data Cleaning'!G123</f>
        <v>Retail Store</v>
      </c>
      <c r="H123" s="2">
        <f>'Data Cleaning'!H123</f>
        <v>227.14</v>
      </c>
      <c r="I123">
        <f>'Data Cleaning'!I123</f>
        <v>15</v>
      </c>
      <c r="J123" s="2">
        <f>'Data Cleaning'!J123</f>
        <v>3407.1</v>
      </c>
    </row>
    <row r="124" spans="1:10" x14ac:dyDescent="0.25">
      <c r="A124" t="str">
        <f>'Data Cleaning'!A124</f>
        <v>S123</v>
      </c>
      <c r="B124" s="113">
        <f>'Data Cleaning'!B124</f>
        <v>45672</v>
      </c>
      <c r="C124" t="str">
        <f>'Data Cleaning'!C124</f>
        <v>Puma</v>
      </c>
      <c r="D124" t="str">
        <f>'Data Cleaning'!D124</f>
        <v>Casual</v>
      </c>
      <c r="E124" t="str">
        <f>'Data Cleaning'!E124</f>
        <v>Red</v>
      </c>
      <c r="F124" t="str">
        <f>'Data Cleaning'!F124</f>
        <v>UK</v>
      </c>
      <c r="G124" t="str">
        <f>'Data Cleaning'!G124</f>
        <v>Retail Store</v>
      </c>
      <c r="H124" s="2">
        <f>'Data Cleaning'!H124</f>
        <v>99.96</v>
      </c>
      <c r="I124">
        <f>'Data Cleaning'!I124</f>
        <v>16</v>
      </c>
      <c r="J124" s="2">
        <f>'Data Cleaning'!J124</f>
        <v>1599.36</v>
      </c>
    </row>
    <row r="125" spans="1:10" x14ac:dyDescent="0.25">
      <c r="A125" t="str">
        <f>'Data Cleaning'!A125</f>
        <v>S124</v>
      </c>
      <c r="B125" s="113">
        <f>'Data Cleaning'!B125</f>
        <v>45790</v>
      </c>
      <c r="C125" t="str">
        <f>'Data Cleaning'!C125</f>
        <v>Puma</v>
      </c>
      <c r="D125" t="str">
        <f>'Data Cleaning'!D125</f>
        <v>Sneakers</v>
      </c>
      <c r="E125" t="str">
        <f>'Data Cleaning'!E125</f>
        <v>Green</v>
      </c>
      <c r="F125" t="str">
        <f>'Data Cleaning'!F125</f>
        <v>France</v>
      </c>
      <c r="G125" t="str">
        <f>'Data Cleaning'!G125</f>
        <v>Mall</v>
      </c>
      <c r="H125" s="2">
        <f>'Data Cleaning'!H125</f>
        <v>54.21</v>
      </c>
      <c r="I125">
        <f>'Data Cleaning'!I125</f>
        <v>11</v>
      </c>
      <c r="J125" s="2">
        <f>'Data Cleaning'!J125</f>
        <v>596.30999999999995</v>
      </c>
    </row>
    <row r="126" spans="1:10" x14ac:dyDescent="0.25">
      <c r="A126" t="str">
        <f>'Data Cleaning'!A126</f>
        <v>S125</v>
      </c>
      <c r="B126" s="113">
        <f>'Data Cleaning'!B126</f>
        <v>45663</v>
      </c>
      <c r="C126" t="str">
        <f>'Data Cleaning'!C126</f>
        <v>Adidas</v>
      </c>
      <c r="D126" t="str">
        <f>'Data Cleaning'!D126</f>
        <v>Running</v>
      </c>
      <c r="E126" t="str">
        <f>'Data Cleaning'!E126</f>
        <v>White</v>
      </c>
      <c r="F126" t="str">
        <f>'Data Cleaning'!F126</f>
        <v>UAE</v>
      </c>
      <c r="G126" t="str">
        <f>'Data Cleaning'!G126</f>
        <v>Retail Store</v>
      </c>
      <c r="H126" s="2">
        <f>'Data Cleaning'!H126</f>
        <v>80.150000000000006</v>
      </c>
      <c r="I126">
        <f>'Data Cleaning'!I126</f>
        <v>17</v>
      </c>
      <c r="J126" s="2">
        <f>'Data Cleaning'!J126</f>
        <v>1362.55</v>
      </c>
    </row>
    <row r="127" spans="1:10" x14ac:dyDescent="0.25">
      <c r="A127" t="str">
        <f>'Data Cleaning'!A127</f>
        <v>S126</v>
      </c>
      <c r="B127" s="113">
        <f>'Data Cleaning'!B127</f>
        <v>45908</v>
      </c>
      <c r="C127" t="str">
        <f>'Data Cleaning'!C127</f>
        <v>Adidas</v>
      </c>
      <c r="D127" t="str">
        <f>'Data Cleaning'!D127</f>
        <v>Boots</v>
      </c>
      <c r="E127" t="str">
        <f>'Data Cleaning'!E127</f>
        <v>Red</v>
      </c>
      <c r="F127" t="str">
        <f>'Data Cleaning'!F127</f>
        <v>UAE</v>
      </c>
      <c r="G127" t="str">
        <f>'Data Cleaning'!G127</f>
        <v>Mall</v>
      </c>
      <c r="H127" s="2">
        <f>'Data Cleaning'!H127</f>
        <v>123.96</v>
      </c>
      <c r="I127">
        <f>'Data Cleaning'!I127</f>
        <v>18</v>
      </c>
      <c r="J127" s="2">
        <f>'Data Cleaning'!J127</f>
        <v>2231.2800000000002</v>
      </c>
    </row>
    <row r="128" spans="1:10" x14ac:dyDescent="0.25">
      <c r="A128" t="str">
        <f>'Data Cleaning'!A128</f>
        <v>S127</v>
      </c>
      <c r="B128" s="113">
        <f>'Data Cleaning'!B128</f>
        <v>45909</v>
      </c>
      <c r="C128" t="str">
        <f>'Data Cleaning'!C128</f>
        <v>Nike</v>
      </c>
      <c r="D128" t="str">
        <f>'Data Cleaning'!D128</f>
        <v>Running</v>
      </c>
      <c r="E128" t="str">
        <f>'Data Cleaning'!E128</f>
        <v>Blue</v>
      </c>
      <c r="F128" t="str">
        <f>'Data Cleaning'!F128</f>
        <v>UK</v>
      </c>
      <c r="G128" t="str">
        <f>'Data Cleaning'!G128</f>
        <v>Retail Store</v>
      </c>
      <c r="H128" s="2">
        <f>'Data Cleaning'!H128</f>
        <v>209.96</v>
      </c>
      <c r="I128">
        <f>'Data Cleaning'!I128</f>
        <v>15</v>
      </c>
      <c r="J128" s="2">
        <f>'Data Cleaning'!J128</f>
        <v>3149.4</v>
      </c>
    </row>
    <row r="129" spans="1:10" x14ac:dyDescent="0.25">
      <c r="A129" t="str">
        <f>'Data Cleaning'!A129</f>
        <v>S128</v>
      </c>
      <c r="B129" s="113">
        <f>'Data Cleaning'!B129</f>
        <v>46012</v>
      </c>
      <c r="C129" t="str">
        <f>'Data Cleaning'!C129</f>
        <v>Puma</v>
      </c>
      <c r="D129" t="str">
        <f>'Data Cleaning'!D129</f>
        <v>Boots</v>
      </c>
      <c r="E129" t="str">
        <f>'Data Cleaning'!E129</f>
        <v>Grey</v>
      </c>
      <c r="F129" t="str">
        <f>'Data Cleaning'!F129</f>
        <v>France</v>
      </c>
      <c r="G129" t="str">
        <f>'Data Cleaning'!G129</f>
        <v>Retail Store</v>
      </c>
      <c r="H129" s="2">
        <f>'Data Cleaning'!H129</f>
        <v>219.36</v>
      </c>
      <c r="I129">
        <f>'Data Cleaning'!I129</f>
        <v>8</v>
      </c>
      <c r="J129" s="2">
        <f>'Data Cleaning'!J129</f>
        <v>1754.88</v>
      </c>
    </row>
    <row r="130" spans="1:10" x14ac:dyDescent="0.25">
      <c r="A130" t="str">
        <f>'Data Cleaning'!A130</f>
        <v>S129</v>
      </c>
      <c r="B130" s="113">
        <f>'Data Cleaning'!B130</f>
        <v>45941</v>
      </c>
      <c r="C130" t="str">
        <f>'Data Cleaning'!C130</f>
        <v>Puma</v>
      </c>
      <c r="D130" t="str">
        <f>'Data Cleaning'!D130</f>
        <v>Formal</v>
      </c>
      <c r="E130" t="str">
        <f>'Data Cleaning'!E130</f>
        <v>Green</v>
      </c>
      <c r="F130" t="str">
        <f>'Data Cleaning'!F130</f>
        <v>India</v>
      </c>
      <c r="G130" t="str">
        <f>'Data Cleaning'!G130</f>
        <v>Retail Store</v>
      </c>
      <c r="H130" s="2">
        <f>'Data Cleaning'!H130</f>
        <v>31.53</v>
      </c>
      <c r="I130">
        <f>'Data Cleaning'!I130</f>
        <v>17</v>
      </c>
      <c r="J130" s="2">
        <f>'Data Cleaning'!J130</f>
        <v>536.01</v>
      </c>
    </row>
    <row r="131" spans="1:10" x14ac:dyDescent="0.25">
      <c r="A131" t="str">
        <f>'Data Cleaning'!A131</f>
        <v>S130</v>
      </c>
      <c r="B131" s="113">
        <f>'Data Cleaning'!B131</f>
        <v>45838</v>
      </c>
      <c r="C131" t="str">
        <f>'Data Cleaning'!C131</f>
        <v>Puma</v>
      </c>
      <c r="D131" t="str">
        <f>'Data Cleaning'!D131</f>
        <v>Sports</v>
      </c>
      <c r="E131" t="str">
        <f>'Data Cleaning'!E131</f>
        <v>Blue</v>
      </c>
      <c r="F131" t="str">
        <f>'Data Cleaning'!F131</f>
        <v>UK</v>
      </c>
      <c r="G131" t="str">
        <f>'Data Cleaning'!G131</f>
        <v>Online</v>
      </c>
      <c r="H131" s="2">
        <f>'Data Cleaning'!H131</f>
        <v>142.36000000000001</v>
      </c>
      <c r="I131">
        <f>'Data Cleaning'!I131</f>
        <v>15</v>
      </c>
      <c r="J131" s="2">
        <f>'Data Cleaning'!J131</f>
        <v>2135.4</v>
      </c>
    </row>
    <row r="132" spans="1:10" x14ac:dyDescent="0.25">
      <c r="A132" t="str">
        <f>'Data Cleaning'!A132</f>
        <v>S131</v>
      </c>
      <c r="B132" s="113">
        <f>'Data Cleaning'!B132</f>
        <v>45756</v>
      </c>
      <c r="C132" t="str">
        <f>'Data Cleaning'!C132</f>
        <v>Nike</v>
      </c>
      <c r="D132" t="str">
        <f>'Data Cleaning'!D132</f>
        <v>Boots</v>
      </c>
      <c r="E132" t="str">
        <f>'Data Cleaning'!E132</f>
        <v>Grey</v>
      </c>
      <c r="F132" t="str">
        <f>'Data Cleaning'!F132</f>
        <v>Saudi Arabia</v>
      </c>
      <c r="G132" t="str">
        <f>'Data Cleaning'!G132</f>
        <v>Mall</v>
      </c>
      <c r="H132" s="2">
        <f>'Data Cleaning'!H132</f>
        <v>121.83</v>
      </c>
      <c r="I132">
        <f>'Data Cleaning'!I132</f>
        <v>11</v>
      </c>
      <c r="J132" s="2">
        <f>'Data Cleaning'!J132</f>
        <v>1340.13</v>
      </c>
    </row>
    <row r="133" spans="1:10" x14ac:dyDescent="0.25">
      <c r="A133" t="str">
        <f>'Data Cleaning'!A133</f>
        <v>S132</v>
      </c>
      <c r="B133" s="113">
        <f>'Data Cleaning'!B133</f>
        <v>45752</v>
      </c>
      <c r="C133" t="str">
        <f>'Data Cleaning'!C133</f>
        <v>Adidas</v>
      </c>
      <c r="D133" t="str">
        <f>'Data Cleaning'!D133</f>
        <v>Boots</v>
      </c>
      <c r="E133" t="str">
        <f>'Data Cleaning'!E133</f>
        <v>Red</v>
      </c>
      <c r="F133" t="str">
        <f>'Data Cleaning'!F133</f>
        <v>France</v>
      </c>
      <c r="G133" t="str">
        <f>'Data Cleaning'!G133</f>
        <v>Mall</v>
      </c>
      <c r="H133" s="2">
        <f>'Data Cleaning'!H133</f>
        <v>78.86</v>
      </c>
      <c r="I133">
        <f>'Data Cleaning'!I133</f>
        <v>7</v>
      </c>
      <c r="J133" s="2">
        <f>'Data Cleaning'!J133</f>
        <v>552.02</v>
      </c>
    </row>
    <row r="134" spans="1:10" x14ac:dyDescent="0.25">
      <c r="A134" t="str">
        <f>'Data Cleaning'!A134</f>
        <v>S133</v>
      </c>
      <c r="B134" s="113">
        <f>'Data Cleaning'!B134</f>
        <v>45959</v>
      </c>
      <c r="C134" t="str">
        <f>'Data Cleaning'!C134</f>
        <v>New Balance</v>
      </c>
      <c r="D134" t="str">
        <f>'Data Cleaning'!D134</f>
        <v>Sports</v>
      </c>
      <c r="E134" t="str">
        <f>'Data Cleaning'!E134</f>
        <v>Black</v>
      </c>
      <c r="F134" t="str">
        <f>'Data Cleaning'!F134</f>
        <v>Saudi Arabia</v>
      </c>
      <c r="G134" t="str">
        <f>'Data Cleaning'!G134</f>
        <v>Online</v>
      </c>
      <c r="H134" s="2">
        <f>'Data Cleaning'!H134</f>
        <v>56.37</v>
      </c>
      <c r="I134">
        <f>'Data Cleaning'!I134</f>
        <v>17</v>
      </c>
      <c r="J134" s="2">
        <f>'Data Cleaning'!J134</f>
        <v>958.29</v>
      </c>
    </row>
    <row r="135" spans="1:10" x14ac:dyDescent="0.25">
      <c r="A135" t="str">
        <f>'Data Cleaning'!A135</f>
        <v>S134</v>
      </c>
      <c r="B135" s="113">
        <f>'Data Cleaning'!B135</f>
        <v>45809</v>
      </c>
      <c r="C135" t="str">
        <f>'Data Cleaning'!C135</f>
        <v>Puma</v>
      </c>
      <c r="D135" t="str">
        <f>'Data Cleaning'!D135</f>
        <v>Casual</v>
      </c>
      <c r="E135" t="str">
        <f>'Data Cleaning'!E135</f>
        <v>Blue</v>
      </c>
      <c r="F135" t="str">
        <f>'Data Cleaning'!F135</f>
        <v>USA</v>
      </c>
      <c r="G135" t="str">
        <f>'Data Cleaning'!G135</f>
        <v>Mall</v>
      </c>
      <c r="H135" s="2">
        <f>'Data Cleaning'!H135</f>
        <v>104.28</v>
      </c>
      <c r="I135">
        <f>'Data Cleaning'!I135</f>
        <v>8</v>
      </c>
      <c r="J135" s="2">
        <f>'Data Cleaning'!J135</f>
        <v>834.24</v>
      </c>
    </row>
    <row r="136" spans="1:10" x14ac:dyDescent="0.25">
      <c r="A136" t="str">
        <f>'Data Cleaning'!A136</f>
        <v>S135</v>
      </c>
      <c r="B136" s="113">
        <f>'Data Cleaning'!B136</f>
        <v>45931</v>
      </c>
      <c r="C136" t="str">
        <f>'Data Cleaning'!C136</f>
        <v>Puma</v>
      </c>
      <c r="D136" t="str">
        <f>'Data Cleaning'!D136</f>
        <v>Running</v>
      </c>
      <c r="E136" t="str">
        <f>'Data Cleaning'!E136</f>
        <v>Black</v>
      </c>
      <c r="F136" t="str">
        <f>'Data Cleaning'!F136</f>
        <v>India</v>
      </c>
      <c r="G136" t="str">
        <f>'Data Cleaning'!G136</f>
        <v>Retail Store</v>
      </c>
      <c r="H136" s="2">
        <f>'Data Cleaning'!H136</f>
        <v>237.44</v>
      </c>
      <c r="I136">
        <f>'Data Cleaning'!I136</f>
        <v>5</v>
      </c>
      <c r="J136" s="2">
        <f>'Data Cleaning'!J136</f>
        <v>1187.2</v>
      </c>
    </row>
    <row r="137" spans="1:10" x14ac:dyDescent="0.25">
      <c r="A137" t="str">
        <f>'Data Cleaning'!A137</f>
        <v>S136</v>
      </c>
      <c r="B137" s="113">
        <f>'Data Cleaning'!B137</f>
        <v>46015</v>
      </c>
      <c r="C137" t="str">
        <f>'Data Cleaning'!C137</f>
        <v>Skechers</v>
      </c>
      <c r="D137" t="str">
        <f>'Data Cleaning'!D137</f>
        <v>Formal</v>
      </c>
      <c r="E137" t="str">
        <f>'Data Cleaning'!E137</f>
        <v>Black</v>
      </c>
      <c r="F137" t="str">
        <f>'Data Cleaning'!F137</f>
        <v>Saudi Arabia</v>
      </c>
      <c r="G137" t="str">
        <f>'Data Cleaning'!G137</f>
        <v>Online</v>
      </c>
      <c r="H137" s="2">
        <f>'Data Cleaning'!H137</f>
        <v>101.1</v>
      </c>
      <c r="I137">
        <f>'Data Cleaning'!I137</f>
        <v>5</v>
      </c>
      <c r="J137" s="2">
        <f>'Data Cleaning'!J137</f>
        <v>505.5</v>
      </c>
    </row>
    <row r="138" spans="1:10" x14ac:dyDescent="0.25">
      <c r="A138" t="str">
        <f>'Data Cleaning'!A138</f>
        <v>S137</v>
      </c>
      <c r="B138" s="113">
        <f>'Data Cleaning'!B138</f>
        <v>45951</v>
      </c>
      <c r="C138" t="str">
        <f>'Data Cleaning'!C138</f>
        <v>Reebok</v>
      </c>
      <c r="D138" t="str">
        <f>'Data Cleaning'!D138</f>
        <v>Formal</v>
      </c>
      <c r="E138" t="str">
        <f>'Data Cleaning'!E138</f>
        <v>Red</v>
      </c>
      <c r="F138" t="str">
        <f>'Data Cleaning'!F138</f>
        <v>France</v>
      </c>
      <c r="G138" t="str">
        <f>'Data Cleaning'!G138</f>
        <v>Online</v>
      </c>
      <c r="H138" s="2">
        <f>'Data Cleaning'!H138</f>
        <v>144.13</v>
      </c>
      <c r="I138">
        <f>'Data Cleaning'!I138</f>
        <v>10</v>
      </c>
      <c r="J138" s="2">
        <f>'Data Cleaning'!J138</f>
        <v>1441.3</v>
      </c>
    </row>
    <row r="139" spans="1:10" x14ac:dyDescent="0.25">
      <c r="A139" t="str">
        <f>'Data Cleaning'!A139</f>
        <v>S138</v>
      </c>
      <c r="B139" s="113">
        <f>'Data Cleaning'!B139</f>
        <v>45684</v>
      </c>
      <c r="C139" t="str">
        <f>'Data Cleaning'!C139</f>
        <v>Reebok</v>
      </c>
      <c r="D139" t="str">
        <f>'Data Cleaning'!D139</f>
        <v>Running</v>
      </c>
      <c r="E139" t="str">
        <f>'Data Cleaning'!E139</f>
        <v>Black</v>
      </c>
      <c r="F139" t="str">
        <f>'Data Cleaning'!F139</f>
        <v>Germany</v>
      </c>
      <c r="G139" t="str">
        <f>'Data Cleaning'!G139</f>
        <v>Retail Store</v>
      </c>
      <c r="H139" s="2">
        <f>'Data Cleaning'!H139</f>
        <v>184.66</v>
      </c>
      <c r="I139">
        <f>'Data Cleaning'!I139</f>
        <v>9</v>
      </c>
      <c r="J139" s="2">
        <f>'Data Cleaning'!J139</f>
        <v>1661.94</v>
      </c>
    </row>
    <row r="140" spans="1:10" x14ac:dyDescent="0.25">
      <c r="A140" t="str">
        <f>'Data Cleaning'!A140</f>
        <v>S139</v>
      </c>
      <c r="B140" s="113">
        <f>'Data Cleaning'!B140</f>
        <v>45695</v>
      </c>
      <c r="C140" t="str">
        <f>'Data Cleaning'!C140</f>
        <v>Skechers</v>
      </c>
      <c r="D140" t="str">
        <f>'Data Cleaning'!D140</f>
        <v>Boots</v>
      </c>
      <c r="E140" t="str">
        <f>'Data Cleaning'!E140</f>
        <v>Black</v>
      </c>
      <c r="F140" t="str">
        <f>'Data Cleaning'!F140</f>
        <v>UK</v>
      </c>
      <c r="G140" t="str">
        <f>'Data Cleaning'!G140</f>
        <v>Online</v>
      </c>
      <c r="H140" s="2">
        <f>'Data Cleaning'!H140</f>
        <v>110</v>
      </c>
      <c r="I140">
        <f>'Data Cleaning'!I140</f>
        <v>19</v>
      </c>
      <c r="J140" s="2">
        <f>'Data Cleaning'!J140</f>
        <v>2090</v>
      </c>
    </row>
    <row r="141" spans="1:10" x14ac:dyDescent="0.25">
      <c r="A141" t="str">
        <f>'Data Cleaning'!A141</f>
        <v>S140</v>
      </c>
      <c r="B141" s="113">
        <f>'Data Cleaning'!B141</f>
        <v>45946</v>
      </c>
      <c r="C141" t="str">
        <f>'Data Cleaning'!C141</f>
        <v>Nike</v>
      </c>
      <c r="D141" t="str">
        <f>'Data Cleaning'!D141</f>
        <v>Casual</v>
      </c>
      <c r="E141" t="str">
        <f>'Data Cleaning'!E141</f>
        <v>Black</v>
      </c>
      <c r="F141" t="str">
        <f>'Data Cleaning'!F141</f>
        <v>India</v>
      </c>
      <c r="G141" t="str">
        <f>'Data Cleaning'!G141</f>
        <v>Retail Store</v>
      </c>
      <c r="H141" s="2">
        <f>'Data Cleaning'!H141</f>
        <v>243.79</v>
      </c>
      <c r="I141">
        <f>'Data Cleaning'!I141</f>
        <v>10</v>
      </c>
      <c r="J141" s="2">
        <f>'Data Cleaning'!J141</f>
        <v>2437.9</v>
      </c>
    </row>
    <row r="142" spans="1:10" x14ac:dyDescent="0.25">
      <c r="A142" t="str">
        <f>'Data Cleaning'!A142</f>
        <v>S141</v>
      </c>
      <c r="B142" s="113">
        <f>'Data Cleaning'!B142</f>
        <v>45968</v>
      </c>
      <c r="C142" t="str">
        <f>'Data Cleaning'!C142</f>
        <v>New Balance</v>
      </c>
      <c r="D142" t="str">
        <f>'Data Cleaning'!D142</f>
        <v>Casual</v>
      </c>
      <c r="E142" t="str">
        <f>'Data Cleaning'!E142</f>
        <v>Grey</v>
      </c>
      <c r="F142" t="str">
        <f>'Data Cleaning'!F142</f>
        <v>Germany</v>
      </c>
      <c r="G142" t="str">
        <f>'Data Cleaning'!G142</f>
        <v>Retail Store</v>
      </c>
      <c r="H142" s="2">
        <f>'Data Cleaning'!H142</f>
        <v>241.74</v>
      </c>
      <c r="I142">
        <f>'Data Cleaning'!I142</f>
        <v>20</v>
      </c>
      <c r="J142" s="2">
        <f>'Data Cleaning'!J142</f>
        <v>4834.8</v>
      </c>
    </row>
    <row r="143" spans="1:10" x14ac:dyDescent="0.25">
      <c r="A143" t="str">
        <f>'Data Cleaning'!A143</f>
        <v>S142</v>
      </c>
      <c r="B143" s="113">
        <f>'Data Cleaning'!B143</f>
        <v>45884</v>
      </c>
      <c r="C143" t="str">
        <f>'Data Cleaning'!C143</f>
        <v>New Balance</v>
      </c>
      <c r="D143" t="str">
        <f>'Data Cleaning'!D143</f>
        <v>Formal</v>
      </c>
      <c r="E143" t="str">
        <f>'Data Cleaning'!E143</f>
        <v>Blue</v>
      </c>
      <c r="F143" t="str">
        <f>'Data Cleaning'!F143</f>
        <v>India</v>
      </c>
      <c r="G143" t="str">
        <f>'Data Cleaning'!G143</f>
        <v>Mall</v>
      </c>
      <c r="H143" s="2">
        <f>'Data Cleaning'!H143</f>
        <v>85.39</v>
      </c>
      <c r="I143">
        <f>'Data Cleaning'!I143</f>
        <v>10</v>
      </c>
      <c r="J143" s="2">
        <f>'Data Cleaning'!J143</f>
        <v>853.9</v>
      </c>
    </row>
    <row r="144" spans="1:10" x14ac:dyDescent="0.25">
      <c r="A144" t="str">
        <f>'Data Cleaning'!A144</f>
        <v>S143</v>
      </c>
      <c r="B144" s="113">
        <f>'Data Cleaning'!B144</f>
        <v>45688</v>
      </c>
      <c r="C144" t="str">
        <f>'Data Cleaning'!C144</f>
        <v>Skechers</v>
      </c>
      <c r="D144" t="str">
        <f>'Data Cleaning'!D144</f>
        <v>Running</v>
      </c>
      <c r="E144" t="str">
        <f>'Data Cleaning'!E144</f>
        <v>White</v>
      </c>
      <c r="F144" t="str">
        <f>'Data Cleaning'!F144</f>
        <v>UAE</v>
      </c>
      <c r="G144" t="str">
        <f>'Data Cleaning'!G144</f>
        <v>Online</v>
      </c>
      <c r="H144" s="2">
        <f>'Data Cleaning'!H144</f>
        <v>139.38999999999999</v>
      </c>
      <c r="I144">
        <f>'Data Cleaning'!I144</f>
        <v>20</v>
      </c>
      <c r="J144" s="2">
        <f>'Data Cleaning'!J144</f>
        <v>2787.8</v>
      </c>
    </row>
    <row r="145" spans="1:10" x14ac:dyDescent="0.25">
      <c r="A145" t="str">
        <f>'Data Cleaning'!A145</f>
        <v>S144</v>
      </c>
      <c r="B145" s="113">
        <f>'Data Cleaning'!B145</f>
        <v>45793</v>
      </c>
      <c r="C145" t="str">
        <f>'Data Cleaning'!C145</f>
        <v>Adidas</v>
      </c>
      <c r="D145" t="str">
        <f>'Data Cleaning'!D145</f>
        <v>Casual</v>
      </c>
      <c r="E145" t="str">
        <f>'Data Cleaning'!E145</f>
        <v>White</v>
      </c>
      <c r="F145" t="str">
        <f>'Data Cleaning'!F145</f>
        <v>India</v>
      </c>
      <c r="G145" t="str">
        <f>'Data Cleaning'!G145</f>
        <v>Online</v>
      </c>
      <c r="H145" s="2">
        <f>'Data Cleaning'!H145</f>
        <v>96.19</v>
      </c>
      <c r="I145">
        <f>'Data Cleaning'!I145</f>
        <v>3</v>
      </c>
      <c r="J145" s="2">
        <f>'Data Cleaning'!J145</f>
        <v>288.57</v>
      </c>
    </row>
    <row r="146" spans="1:10" x14ac:dyDescent="0.25">
      <c r="A146" t="str">
        <f>'Data Cleaning'!A146</f>
        <v>S145</v>
      </c>
      <c r="B146" s="113">
        <f>'Data Cleaning'!B146</f>
        <v>45738</v>
      </c>
      <c r="C146" t="str">
        <f>'Data Cleaning'!C146</f>
        <v>Reebok</v>
      </c>
      <c r="D146" t="str">
        <f>'Data Cleaning'!D146</f>
        <v>Formal</v>
      </c>
      <c r="E146" t="str">
        <f>'Data Cleaning'!E146</f>
        <v>Green</v>
      </c>
      <c r="F146" t="str">
        <f>'Data Cleaning'!F146</f>
        <v>India</v>
      </c>
      <c r="G146" t="str">
        <f>'Data Cleaning'!G146</f>
        <v>Retail Store</v>
      </c>
      <c r="H146" s="2">
        <f>'Data Cleaning'!H146</f>
        <v>92.66</v>
      </c>
      <c r="I146">
        <f>'Data Cleaning'!I146</f>
        <v>1</v>
      </c>
      <c r="J146" s="2">
        <f>'Data Cleaning'!J146</f>
        <v>92.66</v>
      </c>
    </row>
    <row r="147" spans="1:10" x14ac:dyDescent="0.25">
      <c r="A147" t="str">
        <f>'Data Cleaning'!A147</f>
        <v>S146</v>
      </c>
      <c r="B147" s="113">
        <f>'Data Cleaning'!B147</f>
        <v>45807</v>
      </c>
      <c r="C147" t="str">
        <f>'Data Cleaning'!C147</f>
        <v>Adidas</v>
      </c>
      <c r="D147" t="str">
        <f>'Data Cleaning'!D147</f>
        <v>Sports</v>
      </c>
      <c r="E147" t="str">
        <f>'Data Cleaning'!E147</f>
        <v>Green</v>
      </c>
      <c r="F147" t="str">
        <f>'Data Cleaning'!F147</f>
        <v>France</v>
      </c>
      <c r="G147" t="str">
        <f>'Data Cleaning'!G147</f>
        <v>Mall</v>
      </c>
      <c r="H147" s="2">
        <f>'Data Cleaning'!H147</f>
        <v>38.119999999999997</v>
      </c>
      <c r="I147">
        <f>'Data Cleaning'!I147</f>
        <v>2</v>
      </c>
      <c r="J147" s="2">
        <f>'Data Cleaning'!J147</f>
        <v>76.239999999999995</v>
      </c>
    </row>
    <row r="148" spans="1:10" x14ac:dyDescent="0.25">
      <c r="A148" t="str">
        <f>'Data Cleaning'!A148</f>
        <v>S147</v>
      </c>
      <c r="B148" s="113">
        <f>'Data Cleaning'!B148</f>
        <v>45890</v>
      </c>
      <c r="C148" t="str">
        <f>'Data Cleaning'!C148</f>
        <v>Skechers</v>
      </c>
      <c r="D148" t="str">
        <f>'Data Cleaning'!D148</f>
        <v>Casual</v>
      </c>
      <c r="E148" t="str">
        <f>'Data Cleaning'!E148</f>
        <v>Blue</v>
      </c>
      <c r="F148" t="str">
        <f>'Data Cleaning'!F148</f>
        <v>Saudi Arabia</v>
      </c>
      <c r="G148" t="str">
        <f>'Data Cleaning'!G148</f>
        <v>Mall</v>
      </c>
      <c r="H148" s="2">
        <f>'Data Cleaning'!H148</f>
        <v>164.1</v>
      </c>
      <c r="I148">
        <f>'Data Cleaning'!I148</f>
        <v>3</v>
      </c>
      <c r="J148" s="2">
        <f>'Data Cleaning'!J148</f>
        <v>492.3</v>
      </c>
    </row>
    <row r="149" spans="1:10" x14ac:dyDescent="0.25">
      <c r="A149" t="str">
        <f>'Data Cleaning'!A149</f>
        <v>S148</v>
      </c>
      <c r="B149" s="113">
        <f>'Data Cleaning'!B149</f>
        <v>45959</v>
      </c>
      <c r="C149" t="str">
        <f>'Data Cleaning'!C149</f>
        <v>Reebok</v>
      </c>
      <c r="D149" t="str">
        <f>'Data Cleaning'!D149</f>
        <v>Running</v>
      </c>
      <c r="E149" t="str">
        <f>'Data Cleaning'!E149</f>
        <v>Grey</v>
      </c>
      <c r="F149" t="str">
        <f>'Data Cleaning'!F149</f>
        <v>UK</v>
      </c>
      <c r="G149" t="str">
        <f>'Data Cleaning'!G149</f>
        <v>Mall</v>
      </c>
      <c r="H149" s="2">
        <f>'Data Cleaning'!H149</f>
        <v>140.59</v>
      </c>
      <c r="I149">
        <f>'Data Cleaning'!I149</f>
        <v>7</v>
      </c>
      <c r="J149" s="2">
        <f>'Data Cleaning'!J149</f>
        <v>984.13</v>
      </c>
    </row>
    <row r="150" spans="1:10" x14ac:dyDescent="0.25">
      <c r="A150" t="str">
        <f>'Data Cleaning'!A150</f>
        <v>S149</v>
      </c>
      <c r="B150" s="113">
        <f>'Data Cleaning'!B150</f>
        <v>45734</v>
      </c>
      <c r="C150" t="str">
        <f>'Data Cleaning'!C150</f>
        <v>Adidas</v>
      </c>
      <c r="D150" t="str">
        <f>'Data Cleaning'!D150</f>
        <v>Running</v>
      </c>
      <c r="E150" t="str">
        <f>'Data Cleaning'!E150</f>
        <v>Black</v>
      </c>
      <c r="F150" t="str">
        <f>'Data Cleaning'!F150</f>
        <v>UK</v>
      </c>
      <c r="G150" t="str">
        <f>'Data Cleaning'!G150</f>
        <v>Retail Store</v>
      </c>
      <c r="H150" s="2">
        <f>'Data Cleaning'!H150</f>
        <v>41.33</v>
      </c>
      <c r="I150">
        <f>'Data Cleaning'!I150</f>
        <v>9</v>
      </c>
      <c r="J150" s="2">
        <f>'Data Cleaning'!J150</f>
        <v>371.97</v>
      </c>
    </row>
    <row r="151" spans="1:10" x14ac:dyDescent="0.25">
      <c r="A151" t="str">
        <f>'Data Cleaning'!A151</f>
        <v>S150</v>
      </c>
      <c r="B151" s="113">
        <f>'Data Cleaning'!B151</f>
        <v>45962</v>
      </c>
      <c r="C151" t="str">
        <f>'Data Cleaning'!C151</f>
        <v>Puma</v>
      </c>
      <c r="D151" t="str">
        <f>'Data Cleaning'!D151</f>
        <v>Formal</v>
      </c>
      <c r="E151" t="str">
        <f>'Data Cleaning'!E151</f>
        <v>Black</v>
      </c>
      <c r="F151" t="str">
        <f>'Data Cleaning'!F151</f>
        <v>Germany</v>
      </c>
      <c r="G151" t="str">
        <f>'Data Cleaning'!G151</f>
        <v>Mall</v>
      </c>
      <c r="H151" s="2">
        <f>'Data Cleaning'!H151</f>
        <v>91.3</v>
      </c>
      <c r="I151">
        <f>'Data Cleaning'!I151</f>
        <v>19</v>
      </c>
      <c r="J151" s="2">
        <f>'Data Cleaning'!J151</f>
        <v>1734.7</v>
      </c>
    </row>
    <row r="152" spans="1:10" x14ac:dyDescent="0.25">
      <c r="A152" t="str">
        <f>'Data Cleaning'!A152</f>
        <v>S151</v>
      </c>
      <c r="B152" s="113">
        <f>'Data Cleaning'!B152</f>
        <v>45813</v>
      </c>
      <c r="C152" t="str">
        <f>'Data Cleaning'!C152</f>
        <v>Puma</v>
      </c>
      <c r="D152" t="str">
        <f>'Data Cleaning'!D152</f>
        <v>Sneakers</v>
      </c>
      <c r="E152" t="str">
        <f>'Data Cleaning'!E152</f>
        <v>Grey</v>
      </c>
      <c r="F152" t="str">
        <f>'Data Cleaning'!F152</f>
        <v>Germany</v>
      </c>
      <c r="G152" t="str">
        <f>'Data Cleaning'!G152</f>
        <v>Retail Store</v>
      </c>
      <c r="H152" s="2">
        <f>'Data Cleaning'!H152</f>
        <v>229.82</v>
      </c>
      <c r="I152">
        <f>'Data Cleaning'!I152</f>
        <v>13</v>
      </c>
      <c r="J152" s="2">
        <f>'Data Cleaning'!J152</f>
        <v>2987.66</v>
      </c>
    </row>
    <row r="153" spans="1:10" x14ac:dyDescent="0.25">
      <c r="A153" t="str">
        <f>'Data Cleaning'!A153</f>
        <v>S152</v>
      </c>
      <c r="B153" s="113">
        <f>'Data Cleaning'!B153</f>
        <v>45699</v>
      </c>
      <c r="C153" t="str">
        <f>'Data Cleaning'!C153</f>
        <v>Nike</v>
      </c>
      <c r="D153" t="str">
        <f>'Data Cleaning'!D153</f>
        <v>Formal</v>
      </c>
      <c r="E153" t="str">
        <f>'Data Cleaning'!E153</f>
        <v>Green</v>
      </c>
      <c r="F153" t="str">
        <f>'Data Cleaning'!F153</f>
        <v>France</v>
      </c>
      <c r="G153" t="str">
        <f>'Data Cleaning'!G153</f>
        <v>Mall</v>
      </c>
      <c r="H153" s="2">
        <f>'Data Cleaning'!H153</f>
        <v>82.7</v>
      </c>
      <c r="I153">
        <f>'Data Cleaning'!I153</f>
        <v>20</v>
      </c>
      <c r="J153" s="2">
        <f>'Data Cleaning'!J153</f>
        <v>1654</v>
      </c>
    </row>
    <row r="154" spans="1:10" x14ac:dyDescent="0.25">
      <c r="A154" t="str">
        <f>'Data Cleaning'!A154</f>
        <v>S153</v>
      </c>
      <c r="B154" s="113">
        <f>'Data Cleaning'!B154</f>
        <v>45786</v>
      </c>
      <c r="C154" t="str">
        <f>'Data Cleaning'!C154</f>
        <v>Nike</v>
      </c>
      <c r="D154" t="str">
        <f>'Data Cleaning'!D154</f>
        <v>Casual</v>
      </c>
      <c r="E154" t="str">
        <f>'Data Cleaning'!E154</f>
        <v>Green</v>
      </c>
      <c r="F154" t="str">
        <f>'Data Cleaning'!F154</f>
        <v>Saudi Arabia</v>
      </c>
      <c r="G154" t="str">
        <f>'Data Cleaning'!G154</f>
        <v>Mall</v>
      </c>
      <c r="H154" s="2">
        <f>'Data Cleaning'!H154</f>
        <v>61.88</v>
      </c>
      <c r="I154">
        <f>'Data Cleaning'!I154</f>
        <v>1</v>
      </c>
      <c r="J154" s="2">
        <f>'Data Cleaning'!J154</f>
        <v>61.88</v>
      </c>
    </row>
    <row r="155" spans="1:10" x14ac:dyDescent="0.25">
      <c r="A155" t="str">
        <f>'Data Cleaning'!A155</f>
        <v>S154</v>
      </c>
      <c r="B155" s="113">
        <f>'Data Cleaning'!B155</f>
        <v>45958</v>
      </c>
      <c r="C155" t="str">
        <f>'Data Cleaning'!C155</f>
        <v>Skechers</v>
      </c>
      <c r="D155" t="str">
        <f>'Data Cleaning'!D155</f>
        <v>Sports</v>
      </c>
      <c r="E155" t="str">
        <f>'Data Cleaning'!E155</f>
        <v>Grey</v>
      </c>
      <c r="F155" t="str">
        <f>'Data Cleaning'!F155</f>
        <v>USA</v>
      </c>
      <c r="G155" t="str">
        <f>'Data Cleaning'!G155</f>
        <v>Online</v>
      </c>
      <c r="H155" s="2">
        <f>'Data Cleaning'!H155</f>
        <v>137.68</v>
      </c>
      <c r="I155">
        <f>'Data Cleaning'!I155</f>
        <v>1</v>
      </c>
      <c r="J155" s="2">
        <f>'Data Cleaning'!J155</f>
        <v>137.68</v>
      </c>
    </row>
    <row r="156" spans="1:10" x14ac:dyDescent="0.25">
      <c r="A156" t="str">
        <f>'Data Cleaning'!A156</f>
        <v>S155</v>
      </c>
      <c r="B156" s="113">
        <f>'Data Cleaning'!B156</f>
        <v>45898</v>
      </c>
      <c r="C156" t="str">
        <f>'Data Cleaning'!C156</f>
        <v>Skechers</v>
      </c>
      <c r="D156" t="str">
        <f>'Data Cleaning'!D156</f>
        <v>Formal</v>
      </c>
      <c r="E156" t="str">
        <f>'Data Cleaning'!E156</f>
        <v>Blue</v>
      </c>
      <c r="F156" t="str">
        <f>'Data Cleaning'!F156</f>
        <v>UK</v>
      </c>
      <c r="G156" t="str">
        <f>'Data Cleaning'!G156</f>
        <v>Mall</v>
      </c>
      <c r="H156" s="2">
        <f>'Data Cleaning'!H156</f>
        <v>246.84</v>
      </c>
      <c r="I156">
        <f>'Data Cleaning'!I156</f>
        <v>17</v>
      </c>
      <c r="J156" s="2">
        <f>'Data Cleaning'!J156</f>
        <v>4196.28</v>
      </c>
    </row>
    <row r="157" spans="1:10" x14ac:dyDescent="0.25">
      <c r="A157" t="str">
        <f>'Data Cleaning'!A157</f>
        <v>S156</v>
      </c>
      <c r="B157" s="113">
        <f>'Data Cleaning'!B157</f>
        <v>45881</v>
      </c>
      <c r="C157" t="str">
        <f>'Data Cleaning'!C157</f>
        <v>Nike</v>
      </c>
      <c r="D157" t="str">
        <f>'Data Cleaning'!D157</f>
        <v>Formal</v>
      </c>
      <c r="E157" t="str">
        <f>'Data Cleaning'!E157</f>
        <v>Blue</v>
      </c>
      <c r="F157" t="str">
        <f>'Data Cleaning'!F157</f>
        <v>Germany</v>
      </c>
      <c r="G157" t="str">
        <f>'Data Cleaning'!G157</f>
        <v>Retail Store</v>
      </c>
      <c r="H157" s="2">
        <f>'Data Cleaning'!H157</f>
        <v>83.25</v>
      </c>
      <c r="I157">
        <f>'Data Cleaning'!I157</f>
        <v>16</v>
      </c>
      <c r="J157" s="2">
        <f>'Data Cleaning'!J157</f>
        <v>1332</v>
      </c>
    </row>
    <row r="158" spans="1:10" x14ac:dyDescent="0.25">
      <c r="A158" t="str">
        <f>'Data Cleaning'!A158</f>
        <v>S157</v>
      </c>
      <c r="B158" s="113">
        <f>'Data Cleaning'!B158</f>
        <v>45822</v>
      </c>
      <c r="C158" t="str">
        <f>'Data Cleaning'!C158</f>
        <v>Adidas</v>
      </c>
      <c r="D158" t="str">
        <f>'Data Cleaning'!D158</f>
        <v>Sports</v>
      </c>
      <c r="E158" t="str">
        <f>'Data Cleaning'!E158</f>
        <v>Red</v>
      </c>
      <c r="F158" t="str">
        <f>'Data Cleaning'!F158</f>
        <v>UAE</v>
      </c>
      <c r="G158" t="str">
        <f>'Data Cleaning'!G158</f>
        <v>Retail Store</v>
      </c>
      <c r="H158" s="2">
        <f>'Data Cleaning'!H158</f>
        <v>177.87</v>
      </c>
      <c r="I158">
        <f>'Data Cleaning'!I158</f>
        <v>4</v>
      </c>
      <c r="J158" s="2">
        <f>'Data Cleaning'!J158</f>
        <v>711.48</v>
      </c>
    </row>
    <row r="159" spans="1:10" x14ac:dyDescent="0.25">
      <c r="A159" t="str">
        <f>'Data Cleaning'!A159</f>
        <v>S158</v>
      </c>
      <c r="B159" s="113">
        <f>'Data Cleaning'!B159</f>
        <v>45805</v>
      </c>
      <c r="C159" t="str">
        <f>'Data Cleaning'!C159</f>
        <v>New Balance</v>
      </c>
      <c r="D159" t="str">
        <f>'Data Cleaning'!D159</f>
        <v>Running</v>
      </c>
      <c r="E159" t="str">
        <f>'Data Cleaning'!E159</f>
        <v>Red</v>
      </c>
      <c r="F159" t="str">
        <f>'Data Cleaning'!F159</f>
        <v>USA</v>
      </c>
      <c r="G159" t="str">
        <f>'Data Cleaning'!G159</f>
        <v>Retail Store</v>
      </c>
      <c r="H159" s="2">
        <f>'Data Cleaning'!H159</f>
        <v>197.56</v>
      </c>
      <c r="I159">
        <f>'Data Cleaning'!I159</f>
        <v>13</v>
      </c>
      <c r="J159" s="2">
        <f>'Data Cleaning'!J159</f>
        <v>2568.2800000000002</v>
      </c>
    </row>
    <row r="160" spans="1:10" x14ac:dyDescent="0.25">
      <c r="A160" t="str">
        <f>'Data Cleaning'!A160</f>
        <v>S159</v>
      </c>
      <c r="B160" s="113">
        <f>'Data Cleaning'!B160</f>
        <v>45787</v>
      </c>
      <c r="C160" t="str">
        <f>'Data Cleaning'!C160</f>
        <v>Nike</v>
      </c>
      <c r="D160" t="str">
        <f>'Data Cleaning'!D160</f>
        <v>Formal</v>
      </c>
      <c r="E160" t="str">
        <f>'Data Cleaning'!E160</f>
        <v>Grey</v>
      </c>
      <c r="F160" t="str">
        <f>'Data Cleaning'!F160</f>
        <v>Saudi Arabia</v>
      </c>
      <c r="G160" t="str">
        <f>'Data Cleaning'!G160</f>
        <v>Online</v>
      </c>
      <c r="H160" s="2">
        <f>'Data Cleaning'!H160</f>
        <v>82.28</v>
      </c>
      <c r="I160">
        <f>'Data Cleaning'!I160</f>
        <v>11</v>
      </c>
      <c r="J160" s="2">
        <f>'Data Cleaning'!J160</f>
        <v>905.08</v>
      </c>
    </row>
    <row r="161" spans="1:10" x14ac:dyDescent="0.25">
      <c r="A161" t="str">
        <f>'Data Cleaning'!A161</f>
        <v>S160</v>
      </c>
      <c r="B161" s="113">
        <f>'Data Cleaning'!B161</f>
        <v>45994</v>
      </c>
      <c r="C161" t="str">
        <f>'Data Cleaning'!C161</f>
        <v>Reebok</v>
      </c>
      <c r="D161" t="str">
        <f>'Data Cleaning'!D161</f>
        <v>Formal</v>
      </c>
      <c r="E161" t="str">
        <f>'Data Cleaning'!E161</f>
        <v>Black</v>
      </c>
      <c r="F161" t="str">
        <f>'Data Cleaning'!F161</f>
        <v>UK</v>
      </c>
      <c r="G161" t="str">
        <f>'Data Cleaning'!G161</f>
        <v>Mall</v>
      </c>
      <c r="H161" s="2">
        <f>'Data Cleaning'!H161</f>
        <v>190.21</v>
      </c>
      <c r="I161">
        <f>'Data Cleaning'!I161</f>
        <v>18</v>
      </c>
      <c r="J161" s="2">
        <f>'Data Cleaning'!J161</f>
        <v>3423.78</v>
      </c>
    </row>
    <row r="162" spans="1:10" x14ac:dyDescent="0.25">
      <c r="A162" t="str">
        <f>'Data Cleaning'!A162</f>
        <v>S161</v>
      </c>
      <c r="B162" s="113">
        <f>'Data Cleaning'!B162</f>
        <v>45843</v>
      </c>
      <c r="C162" t="str">
        <f>'Data Cleaning'!C162</f>
        <v>Reebok</v>
      </c>
      <c r="D162" t="str">
        <f>'Data Cleaning'!D162</f>
        <v>Boots</v>
      </c>
      <c r="E162" t="str">
        <f>'Data Cleaning'!E162</f>
        <v>Red</v>
      </c>
      <c r="F162" t="str">
        <f>'Data Cleaning'!F162</f>
        <v>Saudi Arabia</v>
      </c>
      <c r="G162" t="str">
        <f>'Data Cleaning'!G162</f>
        <v>Online</v>
      </c>
      <c r="H162" s="2">
        <f>'Data Cleaning'!H162</f>
        <v>110.91</v>
      </c>
      <c r="I162">
        <f>'Data Cleaning'!I162</f>
        <v>20</v>
      </c>
      <c r="J162" s="2">
        <f>'Data Cleaning'!J162</f>
        <v>2218.1999999999998</v>
      </c>
    </row>
    <row r="163" spans="1:10" x14ac:dyDescent="0.25">
      <c r="A163" t="str">
        <f>'Data Cleaning'!A163</f>
        <v>S162</v>
      </c>
      <c r="B163" s="113">
        <f>'Data Cleaning'!B163</f>
        <v>45762</v>
      </c>
      <c r="C163" t="str">
        <f>'Data Cleaning'!C163</f>
        <v>New Balance</v>
      </c>
      <c r="D163" t="str">
        <f>'Data Cleaning'!D163</f>
        <v>Casual</v>
      </c>
      <c r="E163" t="str">
        <f>'Data Cleaning'!E163</f>
        <v>Blue</v>
      </c>
      <c r="F163" t="str">
        <f>'Data Cleaning'!F163</f>
        <v>Germany</v>
      </c>
      <c r="G163" t="str">
        <f>'Data Cleaning'!G163</f>
        <v>Mall</v>
      </c>
      <c r="H163" s="2">
        <f>'Data Cleaning'!H163</f>
        <v>169.11</v>
      </c>
      <c r="I163">
        <f>'Data Cleaning'!I163</f>
        <v>9</v>
      </c>
      <c r="J163" s="2">
        <f>'Data Cleaning'!J163</f>
        <v>1521.99</v>
      </c>
    </row>
    <row r="164" spans="1:10" x14ac:dyDescent="0.25">
      <c r="A164" t="str">
        <f>'Data Cleaning'!A164</f>
        <v>S163</v>
      </c>
      <c r="B164" s="113">
        <f>'Data Cleaning'!B164</f>
        <v>45906</v>
      </c>
      <c r="C164" t="str">
        <f>'Data Cleaning'!C164</f>
        <v>Nike</v>
      </c>
      <c r="D164" t="str">
        <f>'Data Cleaning'!D164</f>
        <v>Boots</v>
      </c>
      <c r="E164" t="str">
        <f>'Data Cleaning'!E164</f>
        <v>Grey</v>
      </c>
      <c r="F164" t="str">
        <f>'Data Cleaning'!F164</f>
        <v>Saudi Arabia</v>
      </c>
      <c r="G164" t="str">
        <f>'Data Cleaning'!G164</f>
        <v>Online</v>
      </c>
      <c r="H164" s="2">
        <f>'Data Cleaning'!H164</f>
        <v>169.38</v>
      </c>
      <c r="I164">
        <f>'Data Cleaning'!I164</f>
        <v>4</v>
      </c>
      <c r="J164" s="2">
        <f>'Data Cleaning'!J164</f>
        <v>677.52</v>
      </c>
    </row>
    <row r="165" spans="1:10" x14ac:dyDescent="0.25">
      <c r="A165" t="str">
        <f>'Data Cleaning'!A165</f>
        <v>S164</v>
      </c>
      <c r="B165" s="113">
        <f>'Data Cleaning'!B165</f>
        <v>46021</v>
      </c>
      <c r="C165" t="str">
        <f>'Data Cleaning'!C165</f>
        <v>Puma</v>
      </c>
      <c r="D165" t="str">
        <f>'Data Cleaning'!D165</f>
        <v>Sneakers</v>
      </c>
      <c r="E165" t="str">
        <f>'Data Cleaning'!E165</f>
        <v>Black</v>
      </c>
      <c r="F165" t="str">
        <f>'Data Cleaning'!F165</f>
        <v>India</v>
      </c>
      <c r="G165" t="str">
        <f>'Data Cleaning'!G165</f>
        <v>Retail Store</v>
      </c>
      <c r="H165" s="2">
        <f>'Data Cleaning'!H165</f>
        <v>147.87</v>
      </c>
      <c r="I165">
        <f>'Data Cleaning'!I165</f>
        <v>6</v>
      </c>
      <c r="J165" s="2">
        <f>'Data Cleaning'!J165</f>
        <v>887.22</v>
      </c>
    </row>
    <row r="166" spans="1:10" x14ac:dyDescent="0.25">
      <c r="A166" t="str">
        <f>'Data Cleaning'!A166</f>
        <v>S165</v>
      </c>
      <c r="B166" s="113">
        <f>'Data Cleaning'!B166</f>
        <v>45705</v>
      </c>
      <c r="C166" t="str">
        <f>'Data Cleaning'!C166</f>
        <v>Nike</v>
      </c>
      <c r="D166" t="str">
        <f>'Data Cleaning'!D166</f>
        <v>Formal</v>
      </c>
      <c r="E166" t="str">
        <f>'Data Cleaning'!E166</f>
        <v>Black</v>
      </c>
      <c r="F166" t="str">
        <f>'Data Cleaning'!F166</f>
        <v>UAE</v>
      </c>
      <c r="G166" t="str">
        <f>'Data Cleaning'!G166</f>
        <v>Online</v>
      </c>
      <c r="H166" s="2">
        <f>'Data Cleaning'!H166</f>
        <v>49.86</v>
      </c>
      <c r="I166">
        <f>'Data Cleaning'!I166</f>
        <v>8</v>
      </c>
      <c r="J166" s="2">
        <f>'Data Cleaning'!J166</f>
        <v>398.88</v>
      </c>
    </row>
    <row r="167" spans="1:10" x14ac:dyDescent="0.25">
      <c r="A167" t="str">
        <f>'Data Cleaning'!A167</f>
        <v>S166</v>
      </c>
      <c r="B167" s="113">
        <f>'Data Cleaning'!B167</f>
        <v>45913</v>
      </c>
      <c r="C167" t="str">
        <f>'Data Cleaning'!C167</f>
        <v>New Balance</v>
      </c>
      <c r="D167" t="str">
        <f>'Data Cleaning'!D167</f>
        <v>Boots</v>
      </c>
      <c r="E167" t="str">
        <f>'Data Cleaning'!E167</f>
        <v>Blue</v>
      </c>
      <c r="F167" t="str">
        <f>'Data Cleaning'!F167</f>
        <v>Germany</v>
      </c>
      <c r="G167" t="str">
        <f>'Data Cleaning'!G167</f>
        <v>Retail Store</v>
      </c>
      <c r="H167" s="2">
        <f>'Data Cleaning'!H167</f>
        <v>213.77</v>
      </c>
      <c r="I167">
        <f>'Data Cleaning'!I167</f>
        <v>10</v>
      </c>
      <c r="J167" s="2">
        <f>'Data Cleaning'!J167</f>
        <v>2137.6999999999998</v>
      </c>
    </row>
    <row r="168" spans="1:10" x14ac:dyDescent="0.25">
      <c r="A168" t="str">
        <f>'Data Cleaning'!A168</f>
        <v>S167</v>
      </c>
      <c r="B168" s="113">
        <f>'Data Cleaning'!B168</f>
        <v>45899</v>
      </c>
      <c r="C168" t="str">
        <f>'Data Cleaning'!C168</f>
        <v>Reebok</v>
      </c>
      <c r="D168" t="str">
        <f>'Data Cleaning'!D168</f>
        <v>Sneakers</v>
      </c>
      <c r="E168" t="str">
        <f>'Data Cleaning'!E168</f>
        <v>White</v>
      </c>
      <c r="F168" t="str">
        <f>'Data Cleaning'!F168</f>
        <v>Germany</v>
      </c>
      <c r="G168" t="str">
        <f>'Data Cleaning'!G168</f>
        <v>Online</v>
      </c>
      <c r="H168" s="2">
        <f>'Data Cleaning'!H168</f>
        <v>100.57</v>
      </c>
      <c r="I168">
        <f>'Data Cleaning'!I168</f>
        <v>8</v>
      </c>
      <c r="J168" s="2">
        <f>'Data Cleaning'!J168</f>
        <v>804.56</v>
      </c>
    </row>
    <row r="169" spans="1:10" x14ac:dyDescent="0.25">
      <c r="A169" t="str">
        <f>'Data Cleaning'!A169</f>
        <v>S168</v>
      </c>
      <c r="B169" s="113">
        <f>'Data Cleaning'!B169</f>
        <v>45964</v>
      </c>
      <c r="C169" t="str">
        <f>'Data Cleaning'!C169</f>
        <v>Skechers</v>
      </c>
      <c r="D169" t="str">
        <f>'Data Cleaning'!D169</f>
        <v>Casual</v>
      </c>
      <c r="E169" t="str">
        <f>'Data Cleaning'!E169</f>
        <v>Black</v>
      </c>
      <c r="F169" t="str">
        <f>'Data Cleaning'!F169</f>
        <v>France</v>
      </c>
      <c r="G169" t="str">
        <f>'Data Cleaning'!G169</f>
        <v>Retail Store</v>
      </c>
      <c r="H169" s="2">
        <f>'Data Cleaning'!H169</f>
        <v>71.03</v>
      </c>
      <c r="I169">
        <f>'Data Cleaning'!I169</f>
        <v>17</v>
      </c>
      <c r="J169" s="2">
        <f>'Data Cleaning'!J169</f>
        <v>1207.51</v>
      </c>
    </row>
    <row r="170" spans="1:10" x14ac:dyDescent="0.25">
      <c r="A170" t="str">
        <f>'Data Cleaning'!A170</f>
        <v>S169</v>
      </c>
      <c r="B170" s="113">
        <f>'Data Cleaning'!B170</f>
        <v>45832</v>
      </c>
      <c r="C170" t="str">
        <f>'Data Cleaning'!C170</f>
        <v>Puma</v>
      </c>
      <c r="D170" t="str">
        <f>'Data Cleaning'!D170</f>
        <v>Running</v>
      </c>
      <c r="E170" t="str">
        <f>'Data Cleaning'!E170</f>
        <v>Blue</v>
      </c>
      <c r="F170" t="str">
        <f>'Data Cleaning'!F170</f>
        <v>UAE</v>
      </c>
      <c r="G170" t="str">
        <f>'Data Cleaning'!G170</f>
        <v>Retail Store</v>
      </c>
      <c r="H170" s="2">
        <f>'Data Cleaning'!H170</f>
        <v>38.97</v>
      </c>
      <c r="I170">
        <f>'Data Cleaning'!I170</f>
        <v>17</v>
      </c>
      <c r="J170" s="2">
        <f>'Data Cleaning'!J170</f>
        <v>662.49</v>
      </c>
    </row>
    <row r="171" spans="1:10" x14ac:dyDescent="0.25">
      <c r="A171" t="str">
        <f>'Data Cleaning'!A171</f>
        <v>S170</v>
      </c>
      <c r="B171" s="113">
        <f>'Data Cleaning'!B171</f>
        <v>45958</v>
      </c>
      <c r="C171" t="str">
        <f>'Data Cleaning'!C171</f>
        <v>Skechers</v>
      </c>
      <c r="D171" t="str">
        <f>'Data Cleaning'!D171</f>
        <v>Formal</v>
      </c>
      <c r="E171" t="str">
        <f>'Data Cleaning'!E171</f>
        <v>White</v>
      </c>
      <c r="F171" t="str">
        <f>'Data Cleaning'!F171</f>
        <v>Germany</v>
      </c>
      <c r="G171" t="str">
        <f>'Data Cleaning'!G171</f>
        <v>Mall</v>
      </c>
      <c r="H171" s="2">
        <f>'Data Cleaning'!H171</f>
        <v>160</v>
      </c>
      <c r="I171">
        <f>'Data Cleaning'!I171</f>
        <v>19</v>
      </c>
      <c r="J171" s="2">
        <f>'Data Cleaning'!J171</f>
        <v>3040</v>
      </c>
    </row>
    <row r="172" spans="1:10" x14ac:dyDescent="0.25">
      <c r="A172" t="str">
        <f>'Data Cleaning'!A172</f>
        <v>S171</v>
      </c>
      <c r="B172" s="113">
        <f>'Data Cleaning'!B172</f>
        <v>45905</v>
      </c>
      <c r="C172" t="str">
        <f>'Data Cleaning'!C172</f>
        <v>Puma</v>
      </c>
      <c r="D172" t="str">
        <f>'Data Cleaning'!D172</f>
        <v>Sneakers</v>
      </c>
      <c r="E172" t="str">
        <f>'Data Cleaning'!E172</f>
        <v>Grey</v>
      </c>
      <c r="F172" t="str">
        <f>'Data Cleaning'!F172</f>
        <v>Germany</v>
      </c>
      <c r="G172" t="str">
        <f>'Data Cleaning'!G172</f>
        <v>Retail Store</v>
      </c>
      <c r="H172" s="2">
        <f>'Data Cleaning'!H172</f>
        <v>179.06</v>
      </c>
      <c r="I172">
        <f>'Data Cleaning'!I172</f>
        <v>12</v>
      </c>
      <c r="J172" s="2">
        <f>'Data Cleaning'!J172</f>
        <v>2148.7199999999998</v>
      </c>
    </row>
    <row r="173" spans="1:10" x14ac:dyDescent="0.25">
      <c r="A173" t="str">
        <f>'Data Cleaning'!A173</f>
        <v>S172</v>
      </c>
      <c r="B173" s="113">
        <f>'Data Cleaning'!B173</f>
        <v>45822</v>
      </c>
      <c r="C173" t="str">
        <f>'Data Cleaning'!C173</f>
        <v>Skechers</v>
      </c>
      <c r="D173" t="str">
        <f>'Data Cleaning'!D173</f>
        <v>Casual</v>
      </c>
      <c r="E173" t="str">
        <f>'Data Cleaning'!E173</f>
        <v>Grey</v>
      </c>
      <c r="F173" t="str">
        <f>'Data Cleaning'!F173</f>
        <v>Germany</v>
      </c>
      <c r="G173" t="str">
        <f>'Data Cleaning'!G173</f>
        <v>Online</v>
      </c>
      <c r="H173" s="2">
        <f>'Data Cleaning'!H173</f>
        <v>33.65</v>
      </c>
      <c r="I173">
        <f>'Data Cleaning'!I173</f>
        <v>7</v>
      </c>
      <c r="J173" s="2">
        <f>'Data Cleaning'!J173</f>
        <v>235.55</v>
      </c>
    </row>
    <row r="174" spans="1:10" x14ac:dyDescent="0.25">
      <c r="A174" t="str">
        <f>'Data Cleaning'!A174</f>
        <v>S173</v>
      </c>
      <c r="B174" s="113">
        <f>'Data Cleaning'!B174</f>
        <v>45868</v>
      </c>
      <c r="C174" t="str">
        <f>'Data Cleaning'!C174</f>
        <v>Puma</v>
      </c>
      <c r="D174" t="str">
        <f>'Data Cleaning'!D174</f>
        <v>Boots</v>
      </c>
      <c r="E174" t="str">
        <f>'Data Cleaning'!E174</f>
        <v>Red</v>
      </c>
      <c r="F174" t="str">
        <f>'Data Cleaning'!F174</f>
        <v>UAE</v>
      </c>
      <c r="G174" t="str">
        <f>'Data Cleaning'!G174</f>
        <v>Retail Store</v>
      </c>
      <c r="H174" s="2">
        <f>'Data Cleaning'!H174</f>
        <v>142.66</v>
      </c>
      <c r="I174">
        <f>'Data Cleaning'!I174</f>
        <v>2</v>
      </c>
      <c r="J174" s="2">
        <f>'Data Cleaning'!J174</f>
        <v>285.32</v>
      </c>
    </row>
    <row r="175" spans="1:10" x14ac:dyDescent="0.25">
      <c r="A175" t="str">
        <f>'Data Cleaning'!A175</f>
        <v>S174</v>
      </c>
      <c r="B175" s="113">
        <f>'Data Cleaning'!B175</f>
        <v>45855</v>
      </c>
      <c r="C175" t="str">
        <f>'Data Cleaning'!C175</f>
        <v>Reebok</v>
      </c>
      <c r="D175" t="str">
        <f>'Data Cleaning'!D175</f>
        <v>Running</v>
      </c>
      <c r="E175" t="str">
        <f>'Data Cleaning'!E175</f>
        <v>White</v>
      </c>
      <c r="F175" t="str">
        <f>'Data Cleaning'!F175</f>
        <v>India</v>
      </c>
      <c r="G175" t="str">
        <f>'Data Cleaning'!G175</f>
        <v>Mall</v>
      </c>
      <c r="H175" s="2">
        <f>'Data Cleaning'!H175</f>
        <v>79.83</v>
      </c>
      <c r="I175">
        <f>'Data Cleaning'!I175</f>
        <v>5</v>
      </c>
      <c r="J175" s="2">
        <f>'Data Cleaning'!J175</f>
        <v>399.15</v>
      </c>
    </row>
    <row r="176" spans="1:10" x14ac:dyDescent="0.25">
      <c r="A176" t="str">
        <f>'Data Cleaning'!A176</f>
        <v>S175</v>
      </c>
      <c r="B176" s="113">
        <f>'Data Cleaning'!B176</f>
        <v>45827</v>
      </c>
      <c r="C176" t="str">
        <f>'Data Cleaning'!C176</f>
        <v>Reebok</v>
      </c>
      <c r="D176" t="str">
        <f>'Data Cleaning'!D176</f>
        <v>Running</v>
      </c>
      <c r="E176" t="str">
        <f>'Data Cleaning'!E176</f>
        <v>Grey</v>
      </c>
      <c r="F176" t="str">
        <f>'Data Cleaning'!F176</f>
        <v>Germany</v>
      </c>
      <c r="G176" t="str">
        <f>'Data Cleaning'!G176</f>
        <v>Online</v>
      </c>
      <c r="H176" s="2">
        <f>'Data Cleaning'!H176</f>
        <v>171.94</v>
      </c>
      <c r="I176">
        <f>'Data Cleaning'!I176</f>
        <v>4</v>
      </c>
      <c r="J176" s="2">
        <f>'Data Cleaning'!J176</f>
        <v>687.76</v>
      </c>
    </row>
    <row r="177" spans="1:10" x14ac:dyDescent="0.25">
      <c r="A177" t="str">
        <f>'Data Cleaning'!A177</f>
        <v>S176</v>
      </c>
      <c r="B177" s="113">
        <f>'Data Cleaning'!B177</f>
        <v>45731</v>
      </c>
      <c r="C177" t="str">
        <f>'Data Cleaning'!C177</f>
        <v>Skechers</v>
      </c>
      <c r="D177" t="str">
        <f>'Data Cleaning'!D177</f>
        <v>Casual</v>
      </c>
      <c r="E177" t="str">
        <f>'Data Cleaning'!E177</f>
        <v>Black</v>
      </c>
      <c r="F177" t="str">
        <f>'Data Cleaning'!F177</f>
        <v>Germany</v>
      </c>
      <c r="G177" t="str">
        <f>'Data Cleaning'!G177</f>
        <v>Retail Store</v>
      </c>
      <c r="H177" s="2">
        <f>'Data Cleaning'!H177</f>
        <v>68.36</v>
      </c>
      <c r="I177">
        <f>'Data Cleaning'!I177</f>
        <v>14</v>
      </c>
      <c r="J177" s="2">
        <f>'Data Cleaning'!J177</f>
        <v>957.04</v>
      </c>
    </row>
    <row r="178" spans="1:10" x14ac:dyDescent="0.25">
      <c r="A178" t="str">
        <f>'Data Cleaning'!A178</f>
        <v>S177</v>
      </c>
      <c r="B178" s="113">
        <f>'Data Cleaning'!B178</f>
        <v>45831</v>
      </c>
      <c r="C178" t="str">
        <f>'Data Cleaning'!C178</f>
        <v>Skechers</v>
      </c>
      <c r="D178" t="str">
        <f>'Data Cleaning'!D178</f>
        <v>Formal</v>
      </c>
      <c r="E178" t="str">
        <f>'Data Cleaning'!E178</f>
        <v>Green</v>
      </c>
      <c r="F178" t="str">
        <f>'Data Cleaning'!F178</f>
        <v>USA</v>
      </c>
      <c r="G178" t="str">
        <f>'Data Cleaning'!G178</f>
        <v>Retail Store</v>
      </c>
      <c r="H178" s="2">
        <f>'Data Cleaning'!H178</f>
        <v>182.01</v>
      </c>
      <c r="I178">
        <f>'Data Cleaning'!I178</f>
        <v>20</v>
      </c>
      <c r="J178" s="2">
        <f>'Data Cleaning'!J178</f>
        <v>3640.2</v>
      </c>
    </row>
    <row r="179" spans="1:10" x14ac:dyDescent="0.25">
      <c r="A179" t="str">
        <f>'Data Cleaning'!A179</f>
        <v>S178</v>
      </c>
      <c r="B179" s="113">
        <f>'Data Cleaning'!B179</f>
        <v>46003</v>
      </c>
      <c r="C179" t="str">
        <f>'Data Cleaning'!C179</f>
        <v>Reebok</v>
      </c>
      <c r="D179" t="str">
        <f>'Data Cleaning'!D179</f>
        <v>Sports</v>
      </c>
      <c r="E179" t="str">
        <f>'Data Cleaning'!E179</f>
        <v>Green</v>
      </c>
      <c r="F179" t="str">
        <f>'Data Cleaning'!F179</f>
        <v>UAE</v>
      </c>
      <c r="G179" t="str">
        <f>'Data Cleaning'!G179</f>
        <v>Retail Store</v>
      </c>
      <c r="H179" s="2">
        <f>'Data Cleaning'!H179</f>
        <v>115.08</v>
      </c>
      <c r="I179">
        <f>'Data Cleaning'!I179</f>
        <v>18</v>
      </c>
      <c r="J179" s="2">
        <f>'Data Cleaning'!J179</f>
        <v>2071.44</v>
      </c>
    </row>
    <row r="180" spans="1:10" x14ac:dyDescent="0.25">
      <c r="A180" t="str">
        <f>'Data Cleaning'!A180</f>
        <v>S179</v>
      </c>
      <c r="B180" s="113">
        <f>'Data Cleaning'!B180</f>
        <v>45935</v>
      </c>
      <c r="C180" t="str">
        <f>'Data Cleaning'!C180</f>
        <v>New Balance</v>
      </c>
      <c r="D180" t="str">
        <f>'Data Cleaning'!D180</f>
        <v>Running</v>
      </c>
      <c r="E180" t="str">
        <f>'Data Cleaning'!E180</f>
        <v>White</v>
      </c>
      <c r="F180" t="str">
        <f>'Data Cleaning'!F180</f>
        <v>UAE</v>
      </c>
      <c r="G180" t="str">
        <f>'Data Cleaning'!G180</f>
        <v>Mall</v>
      </c>
      <c r="H180" s="2">
        <f>'Data Cleaning'!H180</f>
        <v>236.08</v>
      </c>
      <c r="I180">
        <f>'Data Cleaning'!I180</f>
        <v>2</v>
      </c>
      <c r="J180" s="2">
        <f>'Data Cleaning'!J180</f>
        <v>472.16</v>
      </c>
    </row>
    <row r="181" spans="1:10" x14ac:dyDescent="0.25">
      <c r="A181" t="str">
        <f>'Data Cleaning'!A181</f>
        <v>S180</v>
      </c>
      <c r="B181" s="113">
        <f>'Data Cleaning'!B181</f>
        <v>45805</v>
      </c>
      <c r="C181" t="str">
        <f>'Data Cleaning'!C181</f>
        <v>Skechers</v>
      </c>
      <c r="D181" t="str">
        <f>'Data Cleaning'!D181</f>
        <v>Running</v>
      </c>
      <c r="E181" t="str">
        <f>'Data Cleaning'!E181</f>
        <v>Red</v>
      </c>
      <c r="F181" t="str">
        <f>'Data Cleaning'!F181</f>
        <v>USA</v>
      </c>
      <c r="G181" t="str">
        <f>'Data Cleaning'!G181</f>
        <v>Mall</v>
      </c>
      <c r="H181" s="2">
        <f>'Data Cleaning'!H181</f>
        <v>60.25</v>
      </c>
      <c r="I181">
        <f>'Data Cleaning'!I181</f>
        <v>8</v>
      </c>
      <c r="J181" s="2">
        <f>'Data Cleaning'!J181</f>
        <v>482</v>
      </c>
    </row>
    <row r="182" spans="1:10" x14ac:dyDescent="0.25">
      <c r="A182" t="str">
        <f>'Data Cleaning'!A182</f>
        <v>S181</v>
      </c>
      <c r="B182" s="113">
        <f>'Data Cleaning'!B182</f>
        <v>46018</v>
      </c>
      <c r="C182" t="str">
        <f>'Data Cleaning'!C182</f>
        <v>Reebok</v>
      </c>
      <c r="D182" t="str">
        <f>'Data Cleaning'!D182</f>
        <v>Casual</v>
      </c>
      <c r="E182" t="str">
        <f>'Data Cleaning'!E182</f>
        <v>Green</v>
      </c>
      <c r="F182" t="str">
        <f>'Data Cleaning'!F182</f>
        <v>France</v>
      </c>
      <c r="G182" t="str">
        <f>'Data Cleaning'!G182</f>
        <v>Online</v>
      </c>
      <c r="H182" s="2">
        <f>'Data Cleaning'!H182</f>
        <v>105.03</v>
      </c>
      <c r="I182">
        <f>'Data Cleaning'!I182</f>
        <v>4</v>
      </c>
      <c r="J182" s="2">
        <f>'Data Cleaning'!J182</f>
        <v>420.12</v>
      </c>
    </row>
    <row r="183" spans="1:10" x14ac:dyDescent="0.25">
      <c r="A183" t="str">
        <f>'Data Cleaning'!A183</f>
        <v>S182</v>
      </c>
      <c r="B183" s="113">
        <f>'Data Cleaning'!B183</f>
        <v>45681</v>
      </c>
      <c r="C183" t="str">
        <f>'Data Cleaning'!C183</f>
        <v>Nike</v>
      </c>
      <c r="D183" t="str">
        <f>'Data Cleaning'!D183</f>
        <v>Sports</v>
      </c>
      <c r="E183" t="str">
        <f>'Data Cleaning'!E183</f>
        <v>Blue</v>
      </c>
      <c r="F183" t="str">
        <f>'Data Cleaning'!F183</f>
        <v>France</v>
      </c>
      <c r="G183" t="str">
        <f>'Data Cleaning'!G183</f>
        <v>Retail Store</v>
      </c>
      <c r="H183" s="2">
        <f>'Data Cleaning'!H183</f>
        <v>54.96</v>
      </c>
      <c r="I183">
        <f>'Data Cleaning'!I183</f>
        <v>11</v>
      </c>
      <c r="J183" s="2">
        <f>'Data Cleaning'!J183</f>
        <v>604.55999999999995</v>
      </c>
    </row>
    <row r="184" spans="1:10" x14ac:dyDescent="0.25">
      <c r="A184" t="str">
        <f>'Data Cleaning'!A184</f>
        <v>S183</v>
      </c>
      <c r="B184" s="113">
        <f>'Data Cleaning'!B184</f>
        <v>45732</v>
      </c>
      <c r="C184" t="str">
        <f>'Data Cleaning'!C184</f>
        <v>New Balance</v>
      </c>
      <c r="D184" t="str">
        <f>'Data Cleaning'!D184</f>
        <v>Formal</v>
      </c>
      <c r="E184" t="str">
        <f>'Data Cleaning'!E184</f>
        <v>Grey</v>
      </c>
      <c r="F184" t="str">
        <f>'Data Cleaning'!F184</f>
        <v>UAE</v>
      </c>
      <c r="G184" t="str">
        <f>'Data Cleaning'!G184</f>
        <v>Online</v>
      </c>
      <c r="H184" s="2">
        <f>'Data Cleaning'!H184</f>
        <v>233.43</v>
      </c>
      <c r="I184">
        <f>'Data Cleaning'!I184</f>
        <v>8</v>
      </c>
      <c r="J184" s="2">
        <f>'Data Cleaning'!J184</f>
        <v>1867.44</v>
      </c>
    </row>
    <row r="185" spans="1:10" x14ac:dyDescent="0.25">
      <c r="A185" t="str">
        <f>'Data Cleaning'!A185</f>
        <v>S184</v>
      </c>
      <c r="B185" s="113">
        <f>'Data Cleaning'!B185</f>
        <v>45745</v>
      </c>
      <c r="C185" t="str">
        <f>'Data Cleaning'!C185</f>
        <v>Nike</v>
      </c>
      <c r="D185" t="str">
        <f>'Data Cleaning'!D185</f>
        <v>Sneakers</v>
      </c>
      <c r="E185" t="str">
        <f>'Data Cleaning'!E185</f>
        <v>Red</v>
      </c>
      <c r="F185" t="str">
        <f>'Data Cleaning'!F185</f>
        <v>India</v>
      </c>
      <c r="G185" t="str">
        <f>'Data Cleaning'!G185</f>
        <v>Mall</v>
      </c>
      <c r="H185" s="2">
        <f>'Data Cleaning'!H185</f>
        <v>223.01</v>
      </c>
      <c r="I185">
        <f>'Data Cleaning'!I185</f>
        <v>6</v>
      </c>
      <c r="J185" s="2">
        <f>'Data Cleaning'!J185</f>
        <v>1338.06</v>
      </c>
    </row>
    <row r="186" spans="1:10" x14ac:dyDescent="0.25">
      <c r="A186" t="str">
        <f>'Data Cleaning'!A186</f>
        <v>S185</v>
      </c>
      <c r="B186" s="113">
        <f>'Data Cleaning'!B186</f>
        <v>45781</v>
      </c>
      <c r="C186" t="str">
        <f>'Data Cleaning'!C186</f>
        <v>New Balance</v>
      </c>
      <c r="D186" t="str">
        <f>'Data Cleaning'!D186</f>
        <v>Casual</v>
      </c>
      <c r="E186" t="str">
        <f>'Data Cleaning'!E186</f>
        <v>White</v>
      </c>
      <c r="F186" t="str">
        <f>'Data Cleaning'!F186</f>
        <v>Germany</v>
      </c>
      <c r="G186" t="str">
        <f>'Data Cleaning'!G186</f>
        <v>Mall</v>
      </c>
      <c r="H186" s="2">
        <f>'Data Cleaning'!H186</f>
        <v>86.75</v>
      </c>
      <c r="I186">
        <f>'Data Cleaning'!I186</f>
        <v>16</v>
      </c>
      <c r="J186" s="2">
        <f>'Data Cleaning'!J186</f>
        <v>1388</v>
      </c>
    </row>
    <row r="187" spans="1:10" x14ac:dyDescent="0.25">
      <c r="A187" t="str">
        <f>'Data Cleaning'!A187</f>
        <v>S186</v>
      </c>
      <c r="B187" s="113">
        <f>'Data Cleaning'!B187</f>
        <v>45788</v>
      </c>
      <c r="C187" t="str">
        <f>'Data Cleaning'!C187</f>
        <v>Puma</v>
      </c>
      <c r="D187" t="str">
        <f>'Data Cleaning'!D187</f>
        <v>Boots</v>
      </c>
      <c r="E187" t="str">
        <f>'Data Cleaning'!E187</f>
        <v>Black</v>
      </c>
      <c r="F187" t="str">
        <f>'Data Cleaning'!F187</f>
        <v>Saudi Arabia</v>
      </c>
      <c r="G187" t="str">
        <f>'Data Cleaning'!G187</f>
        <v>Retail Store</v>
      </c>
      <c r="H187" s="2">
        <f>'Data Cleaning'!H187</f>
        <v>175.2</v>
      </c>
      <c r="I187">
        <f>'Data Cleaning'!I187</f>
        <v>15</v>
      </c>
      <c r="J187" s="2">
        <f>'Data Cleaning'!J187</f>
        <v>2628</v>
      </c>
    </row>
    <row r="188" spans="1:10" x14ac:dyDescent="0.25">
      <c r="A188" t="str">
        <f>'Data Cleaning'!A188</f>
        <v>S187</v>
      </c>
      <c r="B188" s="113">
        <f>'Data Cleaning'!B188</f>
        <v>45805</v>
      </c>
      <c r="C188" t="str">
        <f>'Data Cleaning'!C188</f>
        <v>Adidas</v>
      </c>
      <c r="D188" t="str">
        <f>'Data Cleaning'!D188</f>
        <v>Running</v>
      </c>
      <c r="E188" t="str">
        <f>'Data Cleaning'!E188</f>
        <v>Red</v>
      </c>
      <c r="F188" t="str">
        <f>'Data Cleaning'!F188</f>
        <v>France</v>
      </c>
      <c r="G188" t="str">
        <f>'Data Cleaning'!G188</f>
        <v>Mall</v>
      </c>
      <c r="H188" s="2">
        <f>'Data Cleaning'!H188</f>
        <v>209.79</v>
      </c>
      <c r="I188">
        <f>'Data Cleaning'!I188</f>
        <v>18</v>
      </c>
      <c r="J188" s="2">
        <f>'Data Cleaning'!J188</f>
        <v>3776.22</v>
      </c>
    </row>
    <row r="189" spans="1:10" x14ac:dyDescent="0.25">
      <c r="A189" t="str">
        <f>'Data Cleaning'!A189</f>
        <v>S188</v>
      </c>
      <c r="B189" s="113">
        <f>'Data Cleaning'!B189</f>
        <v>45811</v>
      </c>
      <c r="C189" t="str">
        <f>'Data Cleaning'!C189</f>
        <v>Skechers</v>
      </c>
      <c r="D189" t="str">
        <f>'Data Cleaning'!D189</f>
        <v>Sports</v>
      </c>
      <c r="E189" t="str">
        <f>'Data Cleaning'!E189</f>
        <v>Red</v>
      </c>
      <c r="F189" t="str">
        <f>'Data Cleaning'!F189</f>
        <v>Saudi Arabia</v>
      </c>
      <c r="G189" t="str">
        <f>'Data Cleaning'!G189</f>
        <v>Retail Store</v>
      </c>
      <c r="H189" s="2">
        <f>'Data Cleaning'!H189</f>
        <v>152.13999999999999</v>
      </c>
      <c r="I189">
        <f>'Data Cleaning'!I189</f>
        <v>14</v>
      </c>
      <c r="J189" s="2">
        <f>'Data Cleaning'!J189</f>
        <v>2129.96</v>
      </c>
    </row>
    <row r="190" spans="1:10" x14ac:dyDescent="0.25">
      <c r="A190" t="str">
        <f>'Data Cleaning'!A190</f>
        <v>S189</v>
      </c>
      <c r="B190" s="113">
        <f>'Data Cleaning'!B190</f>
        <v>45759</v>
      </c>
      <c r="C190" t="str">
        <f>'Data Cleaning'!C190</f>
        <v>Reebok</v>
      </c>
      <c r="D190" t="str">
        <f>'Data Cleaning'!D190</f>
        <v>Running</v>
      </c>
      <c r="E190" t="str">
        <f>'Data Cleaning'!E190</f>
        <v>White</v>
      </c>
      <c r="F190" t="str">
        <f>'Data Cleaning'!F190</f>
        <v>Germany</v>
      </c>
      <c r="G190" t="str">
        <f>'Data Cleaning'!G190</f>
        <v>Mall</v>
      </c>
      <c r="H190" s="2">
        <f>'Data Cleaning'!H190</f>
        <v>146.52000000000001</v>
      </c>
      <c r="I190">
        <f>'Data Cleaning'!I190</f>
        <v>13</v>
      </c>
      <c r="J190" s="2">
        <f>'Data Cleaning'!J190</f>
        <v>1904.76</v>
      </c>
    </row>
    <row r="191" spans="1:10" x14ac:dyDescent="0.25">
      <c r="A191" t="str">
        <f>'Data Cleaning'!A191</f>
        <v>S190</v>
      </c>
      <c r="B191" s="113">
        <f>'Data Cleaning'!B191</f>
        <v>45841</v>
      </c>
      <c r="C191" t="str">
        <f>'Data Cleaning'!C191</f>
        <v>Puma</v>
      </c>
      <c r="D191" t="str">
        <f>'Data Cleaning'!D191</f>
        <v>Boots</v>
      </c>
      <c r="E191" t="str">
        <f>'Data Cleaning'!E191</f>
        <v>Blue</v>
      </c>
      <c r="F191" t="str">
        <f>'Data Cleaning'!F191</f>
        <v>USA</v>
      </c>
      <c r="G191" t="str">
        <f>'Data Cleaning'!G191</f>
        <v>Mall</v>
      </c>
      <c r="H191" s="2">
        <f>'Data Cleaning'!H191</f>
        <v>83.21</v>
      </c>
      <c r="I191">
        <f>'Data Cleaning'!I191</f>
        <v>19</v>
      </c>
      <c r="J191" s="2">
        <f>'Data Cleaning'!J191</f>
        <v>1580.99</v>
      </c>
    </row>
    <row r="192" spans="1:10" x14ac:dyDescent="0.25">
      <c r="A192" t="str">
        <f>'Data Cleaning'!A192</f>
        <v>S191</v>
      </c>
      <c r="B192" s="113">
        <f>'Data Cleaning'!B192</f>
        <v>45860</v>
      </c>
      <c r="C192" t="str">
        <f>'Data Cleaning'!C192</f>
        <v>Nike</v>
      </c>
      <c r="D192" t="str">
        <f>'Data Cleaning'!D192</f>
        <v>Sneakers</v>
      </c>
      <c r="E192" t="str">
        <f>'Data Cleaning'!E192</f>
        <v>Green</v>
      </c>
      <c r="F192" t="str">
        <f>'Data Cleaning'!F192</f>
        <v>Saudi Arabia</v>
      </c>
      <c r="G192" t="str">
        <f>'Data Cleaning'!G192</f>
        <v>Mall</v>
      </c>
      <c r="H192" s="2">
        <f>'Data Cleaning'!H192</f>
        <v>50.48</v>
      </c>
      <c r="I192">
        <f>'Data Cleaning'!I192</f>
        <v>9</v>
      </c>
      <c r="J192" s="2">
        <f>'Data Cleaning'!J192</f>
        <v>454.32</v>
      </c>
    </row>
    <row r="193" spans="1:10" x14ac:dyDescent="0.25">
      <c r="A193" t="str">
        <f>'Data Cleaning'!A193</f>
        <v>S192</v>
      </c>
      <c r="B193" s="113">
        <f>'Data Cleaning'!B193</f>
        <v>45683</v>
      </c>
      <c r="C193" t="str">
        <f>'Data Cleaning'!C193</f>
        <v>Skechers</v>
      </c>
      <c r="D193" t="str">
        <f>'Data Cleaning'!D193</f>
        <v>Formal</v>
      </c>
      <c r="E193" t="str">
        <f>'Data Cleaning'!E193</f>
        <v>Blue</v>
      </c>
      <c r="F193" t="str">
        <f>'Data Cleaning'!F193</f>
        <v>Saudi Arabia</v>
      </c>
      <c r="G193" t="str">
        <f>'Data Cleaning'!G193</f>
        <v>Online</v>
      </c>
      <c r="H193" s="2">
        <f>'Data Cleaning'!H193</f>
        <v>227.39</v>
      </c>
      <c r="I193">
        <f>'Data Cleaning'!I193</f>
        <v>20</v>
      </c>
      <c r="J193" s="2">
        <f>'Data Cleaning'!J193</f>
        <v>4547.8</v>
      </c>
    </row>
    <row r="194" spans="1:10" x14ac:dyDescent="0.25">
      <c r="A194" t="str">
        <f>'Data Cleaning'!A194</f>
        <v>S193</v>
      </c>
      <c r="B194" s="113">
        <f>'Data Cleaning'!B194</f>
        <v>45968</v>
      </c>
      <c r="C194" t="str">
        <f>'Data Cleaning'!C194</f>
        <v>Adidas</v>
      </c>
      <c r="D194" t="str">
        <f>'Data Cleaning'!D194</f>
        <v>Boots</v>
      </c>
      <c r="E194" t="str">
        <f>'Data Cleaning'!E194</f>
        <v>White</v>
      </c>
      <c r="F194" t="str">
        <f>'Data Cleaning'!F194</f>
        <v>India</v>
      </c>
      <c r="G194" t="str">
        <f>'Data Cleaning'!G194</f>
        <v>Retail Store</v>
      </c>
      <c r="H194" s="2">
        <f>'Data Cleaning'!H194</f>
        <v>228.09</v>
      </c>
      <c r="I194">
        <f>'Data Cleaning'!I194</f>
        <v>12</v>
      </c>
      <c r="J194" s="2">
        <f>'Data Cleaning'!J194</f>
        <v>2737.08</v>
      </c>
    </row>
    <row r="195" spans="1:10" x14ac:dyDescent="0.25">
      <c r="A195" t="str">
        <f>'Data Cleaning'!A195</f>
        <v>S194</v>
      </c>
      <c r="B195" s="113">
        <f>'Data Cleaning'!B195</f>
        <v>46005</v>
      </c>
      <c r="C195" t="str">
        <f>'Data Cleaning'!C195</f>
        <v>Skechers</v>
      </c>
      <c r="D195" t="str">
        <f>'Data Cleaning'!D195</f>
        <v>Running</v>
      </c>
      <c r="E195" t="str">
        <f>'Data Cleaning'!E195</f>
        <v>Green</v>
      </c>
      <c r="F195" t="str">
        <f>'Data Cleaning'!F195</f>
        <v>UAE</v>
      </c>
      <c r="G195" t="str">
        <f>'Data Cleaning'!G195</f>
        <v>Online</v>
      </c>
      <c r="H195" s="2">
        <f>'Data Cleaning'!H195</f>
        <v>169.28</v>
      </c>
      <c r="I195">
        <f>'Data Cleaning'!I195</f>
        <v>5</v>
      </c>
      <c r="J195" s="2">
        <f>'Data Cleaning'!J195</f>
        <v>846.4</v>
      </c>
    </row>
    <row r="196" spans="1:10" x14ac:dyDescent="0.25">
      <c r="A196" t="str">
        <f>'Data Cleaning'!A196</f>
        <v>S195</v>
      </c>
      <c r="B196" s="113">
        <f>'Data Cleaning'!B196</f>
        <v>45816</v>
      </c>
      <c r="C196" t="str">
        <f>'Data Cleaning'!C196</f>
        <v>Nike</v>
      </c>
      <c r="D196" t="str">
        <f>'Data Cleaning'!D196</f>
        <v>Sneakers</v>
      </c>
      <c r="E196" t="str">
        <f>'Data Cleaning'!E196</f>
        <v>Blue</v>
      </c>
      <c r="F196" t="str">
        <f>'Data Cleaning'!F196</f>
        <v>UAE</v>
      </c>
      <c r="G196" t="str">
        <f>'Data Cleaning'!G196</f>
        <v>Online</v>
      </c>
      <c r="H196" s="2">
        <f>'Data Cleaning'!H196</f>
        <v>104.59</v>
      </c>
      <c r="I196">
        <f>'Data Cleaning'!I196</f>
        <v>15</v>
      </c>
      <c r="J196" s="2">
        <f>'Data Cleaning'!J196</f>
        <v>1568.85</v>
      </c>
    </row>
    <row r="197" spans="1:10" x14ac:dyDescent="0.25">
      <c r="A197" t="str">
        <f>'Data Cleaning'!A197</f>
        <v>S196</v>
      </c>
      <c r="B197" s="113">
        <f>'Data Cleaning'!B197</f>
        <v>45704</v>
      </c>
      <c r="C197" t="str">
        <f>'Data Cleaning'!C197</f>
        <v>Puma</v>
      </c>
      <c r="D197" t="str">
        <f>'Data Cleaning'!D197</f>
        <v>Boots</v>
      </c>
      <c r="E197" t="str">
        <f>'Data Cleaning'!E197</f>
        <v>Red</v>
      </c>
      <c r="F197" t="str">
        <f>'Data Cleaning'!F197</f>
        <v>UK</v>
      </c>
      <c r="G197" t="str">
        <f>'Data Cleaning'!G197</f>
        <v>Online</v>
      </c>
      <c r="H197" s="2">
        <f>'Data Cleaning'!H197</f>
        <v>106.83</v>
      </c>
      <c r="I197">
        <f>'Data Cleaning'!I197</f>
        <v>10</v>
      </c>
      <c r="J197" s="2">
        <f>'Data Cleaning'!J197</f>
        <v>1068.3</v>
      </c>
    </row>
    <row r="198" spans="1:10" x14ac:dyDescent="0.25">
      <c r="A198" t="str">
        <f>'Data Cleaning'!A198</f>
        <v>S197</v>
      </c>
      <c r="B198" s="113">
        <f>'Data Cleaning'!B198</f>
        <v>45725</v>
      </c>
      <c r="C198" t="str">
        <f>'Data Cleaning'!C198</f>
        <v>Puma</v>
      </c>
      <c r="D198" t="str">
        <f>'Data Cleaning'!D198</f>
        <v>Sneakers</v>
      </c>
      <c r="E198" t="str">
        <f>'Data Cleaning'!E198</f>
        <v>Grey</v>
      </c>
      <c r="F198" t="str">
        <f>'Data Cleaning'!F198</f>
        <v>France</v>
      </c>
      <c r="G198" t="str">
        <f>'Data Cleaning'!G198</f>
        <v>Online</v>
      </c>
      <c r="H198" s="2">
        <f>'Data Cleaning'!H198</f>
        <v>189.71</v>
      </c>
      <c r="I198">
        <f>'Data Cleaning'!I198</f>
        <v>18</v>
      </c>
      <c r="J198" s="2">
        <f>'Data Cleaning'!J198</f>
        <v>3414.78</v>
      </c>
    </row>
    <row r="199" spans="1:10" x14ac:dyDescent="0.25">
      <c r="A199" t="str">
        <f>'Data Cleaning'!A199</f>
        <v>S198</v>
      </c>
      <c r="B199" s="113">
        <f>'Data Cleaning'!B199</f>
        <v>45789</v>
      </c>
      <c r="C199" t="str">
        <f>'Data Cleaning'!C199</f>
        <v>Puma</v>
      </c>
      <c r="D199" t="str">
        <f>'Data Cleaning'!D199</f>
        <v>Boots</v>
      </c>
      <c r="E199" t="str">
        <f>'Data Cleaning'!E199</f>
        <v>Blue</v>
      </c>
      <c r="F199" t="str">
        <f>'Data Cleaning'!F199</f>
        <v>Saudi Arabia</v>
      </c>
      <c r="G199" t="str">
        <f>'Data Cleaning'!G199</f>
        <v>Online</v>
      </c>
      <c r="H199" s="2">
        <f>'Data Cleaning'!H199</f>
        <v>227.36</v>
      </c>
      <c r="I199">
        <f>'Data Cleaning'!I199</f>
        <v>16</v>
      </c>
      <c r="J199" s="2">
        <f>'Data Cleaning'!J199</f>
        <v>3637.76</v>
      </c>
    </row>
    <row r="200" spans="1:10" x14ac:dyDescent="0.25">
      <c r="A200" t="str">
        <f>'Data Cleaning'!A200</f>
        <v>S199</v>
      </c>
      <c r="B200" s="113">
        <f>'Data Cleaning'!B200</f>
        <v>45897</v>
      </c>
      <c r="C200" t="str">
        <f>'Data Cleaning'!C200</f>
        <v>Adidas</v>
      </c>
      <c r="D200" t="str">
        <f>'Data Cleaning'!D200</f>
        <v>Casual</v>
      </c>
      <c r="E200" t="str">
        <f>'Data Cleaning'!E200</f>
        <v>Green</v>
      </c>
      <c r="F200" t="str">
        <f>'Data Cleaning'!F200</f>
        <v>UAE</v>
      </c>
      <c r="G200" t="str">
        <f>'Data Cleaning'!G200</f>
        <v>Mall</v>
      </c>
      <c r="H200" s="2">
        <f>'Data Cleaning'!H200</f>
        <v>225.16</v>
      </c>
      <c r="I200">
        <f>'Data Cleaning'!I200</f>
        <v>3</v>
      </c>
      <c r="J200" s="2">
        <f>'Data Cleaning'!J200</f>
        <v>675.48</v>
      </c>
    </row>
    <row r="201" spans="1:10" x14ac:dyDescent="0.25">
      <c r="A201" t="str">
        <f>'Data Cleaning'!A201</f>
        <v>S200</v>
      </c>
      <c r="B201" s="113">
        <f>'Data Cleaning'!B201</f>
        <v>45861</v>
      </c>
      <c r="C201" t="str">
        <f>'Data Cleaning'!C201</f>
        <v>Puma</v>
      </c>
      <c r="D201" t="str">
        <f>'Data Cleaning'!D201</f>
        <v>Running</v>
      </c>
      <c r="E201" t="str">
        <f>'Data Cleaning'!E201</f>
        <v>Red</v>
      </c>
      <c r="F201" t="str">
        <f>'Data Cleaning'!F201</f>
        <v>USA</v>
      </c>
      <c r="G201" t="str">
        <f>'Data Cleaning'!G201</f>
        <v>Retail Store</v>
      </c>
      <c r="H201" s="2">
        <f>'Data Cleaning'!H201</f>
        <v>201.57</v>
      </c>
      <c r="I201">
        <f>'Data Cleaning'!I201</f>
        <v>18</v>
      </c>
      <c r="J201" s="2">
        <f>'Data Cleaning'!J201</f>
        <v>3628.26</v>
      </c>
    </row>
    <row r="202" spans="1:10" x14ac:dyDescent="0.25">
      <c r="A202" t="str">
        <f>'Data Cleaning'!A202</f>
        <v>S201</v>
      </c>
      <c r="B202" s="113">
        <f>'Data Cleaning'!B202</f>
        <v>45932</v>
      </c>
      <c r="C202" t="str">
        <f>'Data Cleaning'!C202</f>
        <v>Reebok</v>
      </c>
      <c r="D202" t="str">
        <f>'Data Cleaning'!D202</f>
        <v>Sports</v>
      </c>
      <c r="E202" t="str">
        <f>'Data Cleaning'!E202</f>
        <v>Green</v>
      </c>
      <c r="F202" t="str">
        <f>'Data Cleaning'!F202</f>
        <v>UAE</v>
      </c>
      <c r="G202" t="str">
        <f>'Data Cleaning'!G202</f>
        <v>Mall</v>
      </c>
      <c r="H202" s="2">
        <f>'Data Cleaning'!H202</f>
        <v>171.25</v>
      </c>
      <c r="I202">
        <f>'Data Cleaning'!I202</f>
        <v>4</v>
      </c>
      <c r="J202" s="2">
        <f>'Data Cleaning'!J202</f>
        <v>685</v>
      </c>
    </row>
    <row r="203" spans="1:10" x14ac:dyDescent="0.25">
      <c r="A203" t="str">
        <f>'Data Cleaning'!A203</f>
        <v>S202</v>
      </c>
      <c r="B203" s="113">
        <f>'Data Cleaning'!B203</f>
        <v>45792</v>
      </c>
      <c r="C203" t="str">
        <f>'Data Cleaning'!C203</f>
        <v>Reebok</v>
      </c>
      <c r="D203" t="str">
        <f>'Data Cleaning'!D203</f>
        <v>Boots</v>
      </c>
      <c r="E203" t="str">
        <f>'Data Cleaning'!E203</f>
        <v>Blue</v>
      </c>
      <c r="F203" t="str">
        <f>'Data Cleaning'!F203</f>
        <v>USA</v>
      </c>
      <c r="G203" t="str">
        <f>'Data Cleaning'!G203</f>
        <v>Mall</v>
      </c>
      <c r="H203" s="2">
        <f>'Data Cleaning'!H203</f>
        <v>48.51</v>
      </c>
      <c r="I203">
        <f>'Data Cleaning'!I203</f>
        <v>19</v>
      </c>
      <c r="J203" s="2">
        <f>'Data Cleaning'!J203</f>
        <v>921.69</v>
      </c>
    </row>
    <row r="204" spans="1:10" x14ac:dyDescent="0.25">
      <c r="A204" t="str">
        <f>'Data Cleaning'!A204</f>
        <v>S203</v>
      </c>
      <c r="B204" s="113">
        <f>'Data Cleaning'!B204</f>
        <v>45777</v>
      </c>
      <c r="C204" t="str">
        <f>'Data Cleaning'!C204</f>
        <v>Nike</v>
      </c>
      <c r="D204" t="str">
        <f>'Data Cleaning'!D204</f>
        <v>Sneakers</v>
      </c>
      <c r="E204" t="str">
        <f>'Data Cleaning'!E204</f>
        <v>Grey</v>
      </c>
      <c r="F204" t="str">
        <f>'Data Cleaning'!F204</f>
        <v>France</v>
      </c>
      <c r="G204" t="str">
        <f>'Data Cleaning'!G204</f>
        <v>Mall</v>
      </c>
      <c r="H204" s="2">
        <f>'Data Cleaning'!H204</f>
        <v>65.56</v>
      </c>
      <c r="I204">
        <f>'Data Cleaning'!I204</f>
        <v>16</v>
      </c>
      <c r="J204" s="2">
        <f>'Data Cleaning'!J204</f>
        <v>1048.96</v>
      </c>
    </row>
    <row r="205" spans="1:10" x14ac:dyDescent="0.25">
      <c r="A205" t="str">
        <f>'Data Cleaning'!A205</f>
        <v>S204</v>
      </c>
      <c r="B205" s="113">
        <f>'Data Cleaning'!B205</f>
        <v>45771</v>
      </c>
      <c r="C205" t="str">
        <f>'Data Cleaning'!C205</f>
        <v>Skechers</v>
      </c>
      <c r="D205" t="str">
        <f>'Data Cleaning'!D205</f>
        <v>Formal</v>
      </c>
      <c r="E205" t="str">
        <f>'Data Cleaning'!E205</f>
        <v>Green</v>
      </c>
      <c r="F205" t="str">
        <f>'Data Cleaning'!F205</f>
        <v>France</v>
      </c>
      <c r="G205" t="str">
        <f>'Data Cleaning'!G205</f>
        <v>Mall</v>
      </c>
      <c r="H205" s="2">
        <f>'Data Cleaning'!H205</f>
        <v>227.68</v>
      </c>
      <c r="I205">
        <f>'Data Cleaning'!I205</f>
        <v>3</v>
      </c>
      <c r="J205" s="2">
        <f>'Data Cleaning'!J205</f>
        <v>683.04</v>
      </c>
    </row>
    <row r="206" spans="1:10" x14ac:dyDescent="0.25">
      <c r="A206" t="str">
        <f>'Data Cleaning'!A206</f>
        <v>S205</v>
      </c>
      <c r="B206" s="113">
        <f>'Data Cleaning'!B206</f>
        <v>45867</v>
      </c>
      <c r="C206" t="str">
        <f>'Data Cleaning'!C206</f>
        <v>Adidas</v>
      </c>
      <c r="D206" t="str">
        <f>'Data Cleaning'!D206</f>
        <v>Running</v>
      </c>
      <c r="E206" t="str">
        <f>'Data Cleaning'!E206</f>
        <v>Black</v>
      </c>
      <c r="F206" t="str">
        <f>'Data Cleaning'!F206</f>
        <v>France</v>
      </c>
      <c r="G206" t="str">
        <f>'Data Cleaning'!G206</f>
        <v>Retail Store</v>
      </c>
      <c r="H206" s="2">
        <f>'Data Cleaning'!H206</f>
        <v>163.41</v>
      </c>
      <c r="I206">
        <f>'Data Cleaning'!I206</f>
        <v>4</v>
      </c>
      <c r="J206" s="2">
        <f>'Data Cleaning'!J206</f>
        <v>653.64</v>
      </c>
    </row>
    <row r="207" spans="1:10" x14ac:dyDescent="0.25">
      <c r="A207" t="str">
        <f>'Data Cleaning'!A207</f>
        <v>S206</v>
      </c>
      <c r="B207" s="113">
        <f>'Data Cleaning'!B207</f>
        <v>45717</v>
      </c>
      <c r="C207" t="str">
        <f>'Data Cleaning'!C207</f>
        <v>Adidas</v>
      </c>
      <c r="D207" t="str">
        <f>'Data Cleaning'!D207</f>
        <v>Sneakers</v>
      </c>
      <c r="E207" t="str">
        <f>'Data Cleaning'!E207</f>
        <v>White</v>
      </c>
      <c r="F207" t="str">
        <f>'Data Cleaning'!F207</f>
        <v>Germany</v>
      </c>
      <c r="G207" t="str">
        <f>'Data Cleaning'!G207</f>
        <v>Retail Store</v>
      </c>
      <c r="H207" s="2">
        <f>'Data Cleaning'!H207</f>
        <v>32.020000000000003</v>
      </c>
      <c r="I207">
        <f>'Data Cleaning'!I207</f>
        <v>4</v>
      </c>
      <c r="J207" s="2">
        <f>'Data Cleaning'!J207</f>
        <v>128.08000000000001</v>
      </c>
    </row>
    <row r="208" spans="1:10" x14ac:dyDescent="0.25">
      <c r="A208" t="str">
        <f>'Data Cleaning'!A208</f>
        <v>S207</v>
      </c>
      <c r="B208" s="113">
        <f>'Data Cleaning'!B208</f>
        <v>45847</v>
      </c>
      <c r="C208" t="str">
        <f>'Data Cleaning'!C208</f>
        <v>Reebok</v>
      </c>
      <c r="D208" t="str">
        <f>'Data Cleaning'!D208</f>
        <v>Sneakers</v>
      </c>
      <c r="E208" t="str">
        <f>'Data Cleaning'!E208</f>
        <v>Green</v>
      </c>
      <c r="F208" t="str">
        <f>'Data Cleaning'!F208</f>
        <v>UAE</v>
      </c>
      <c r="G208" t="str">
        <f>'Data Cleaning'!G208</f>
        <v>Online</v>
      </c>
      <c r="H208" s="2">
        <f>'Data Cleaning'!H208</f>
        <v>52.32</v>
      </c>
      <c r="I208">
        <f>'Data Cleaning'!I208</f>
        <v>18</v>
      </c>
      <c r="J208" s="2">
        <f>'Data Cleaning'!J208</f>
        <v>941.76</v>
      </c>
    </row>
    <row r="209" spans="1:10" x14ac:dyDescent="0.25">
      <c r="A209" t="str">
        <f>'Data Cleaning'!A209</f>
        <v>S208</v>
      </c>
      <c r="B209" s="113">
        <f>'Data Cleaning'!B209</f>
        <v>45870</v>
      </c>
      <c r="C209" t="str">
        <f>'Data Cleaning'!C209</f>
        <v>Reebok</v>
      </c>
      <c r="D209" t="str">
        <f>'Data Cleaning'!D209</f>
        <v>Sneakers</v>
      </c>
      <c r="E209" t="str">
        <f>'Data Cleaning'!E209</f>
        <v>Red</v>
      </c>
      <c r="F209" t="str">
        <f>'Data Cleaning'!F209</f>
        <v>France</v>
      </c>
      <c r="G209" t="str">
        <f>'Data Cleaning'!G209</f>
        <v>Online</v>
      </c>
      <c r="H209" s="2">
        <f>'Data Cleaning'!H209</f>
        <v>175.97</v>
      </c>
      <c r="I209">
        <f>'Data Cleaning'!I209</f>
        <v>4</v>
      </c>
      <c r="J209" s="2">
        <f>'Data Cleaning'!J209</f>
        <v>703.88</v>
      </c>
    </row>
    <row r="210" spans="1:10" x14ac:dyDescent="0.25">
      <c r="A210" t="str">
        <f>'Data Cleaning'!A210</f>
        <v>S209</v>
      </c>
      <c r="B210" s="113">
        <f>'Data Cleaning'!B210</f>
        <v>46011</v>
      </c>
      <c r="C210" t="str">
        <f>'Data Cleaning'!C210</f>
        <v>Adidas</v>
      </c>
      <c r="D210" t="str">
        <f>'Data Cleaning'!D210</f>
        <v>Formal</v>
      </c>
      <c r="E210" t="str">
        <f>'Data Cleaning'!E210</f>
        <v>Red</v>
      </c>
      <c r="F210" t="str">
        <f>'Data Cleaning'!F210</f>
        <v>UK</v>
      </c>
      <c r="G210" t="str">
        <f>'Data Cleaning'!G210</f>
        <v>Retail Store</v>
      </c>
      <c r="H210" s="2">
        <f>'Data Cleaning'!H210</f>
        <v>31.11</v>
      </c>
      <c r="I210">
        <f>'Data Cleaning'!I210</f>
        <v>12</v>
      </c>
      <c r="J210" s="2">
        <f>'Data Cleaning'!J210</f>
        <v>373.32</v>
      </c>
    </row>
    <row r="211" spans="1:10" x14ac:dyDescent="0.25">
      <c r="A211" t="str">
        <f>'Data Cleaning'!A211</f>
        <v>S210</v>
      </c>
      <c r="B211" s="113">
        <f>'Data Cleaning'!B211</f>
        <v>45708</v>
      </c>
      <c r="C211" t="str">
        <f>'Data Cleaning'!C211</f>
        <v>New Balance</v>
      </c>
      <c r="D211" t="str">
        <f>'Data Cleaning'!D211</f>
        <v>Boots</v>
      </c>
      <c r="E211" t="str">
        <f>'Data Cleaning'!E211</f>
        <v>Blue</v>
      </c>
      <c r="F211" t="str">
        <f>'Data Cleaning'!F211</f>
        <v>USA</v>
      </c>
      <c r="G211" t="str">
        <f>'Data Cleaning'!G211</f>
        <v>Retail Store</v>
      </c>
      <c r="H211" s="2">
        <f>'Data Cleaning'!H211</f>
        <v>65.38</v>
      </c>
      <c r="I211">
        <f>'Data Cleaning'!I211</f>
        <v>12</v>
      </c>
      <c r="J211" s="2">
        <f>'Data Cleaning'!J211</f>
        <v>784.56</v>
      </c>
    </row>
    <row r="212" spans="1:10" x14ac:dyDescent="0.25">
      <c r="A212" t="str">
        <f>'Data Cleaning'!A212</f>
        <v>S211</v>
      </c>
      <c r="B212" s="113">
        <f>'Data Cleaning'!B212</f>
        <v>45799</v>
      </c>
      <c r="C212" t="str">
        <f>'Data Cleaning'!C212</f>
        <v>Nike</v>
      </c>
      <c r="D212" t="str">
        <f>'Data Cleaning'!D212</f>
        <v>Formal</v>
      </c>
      <c r="E212" t="str">
        <f>'Data Cleaning'!E212</f>
        <v>Black</v>
      </c>
      <c r="F212" t="str">
        <f>'Data Cleaning'!F212</f>
        <v>UAE</v>
      </c>
      <c r="G212" t="str">
        <f>'Data Cleaning'!G212</f>
        <v>Online</v>
      </c>
      <c r="H212" s="2">
        <f>'Data Cleaning'!H212</f>
        <v>150.72</v>
      </c>
      <c r="I212">
        <f>'Data Cleaning'!I212</f>
        <v>7</v>
      </c>
      <c r="J212" s="2">
        <f>'Data Cleaning'!J212</f>
        <v>1055.04</v>
      </c>
    </row>
    <row r="213" spans="1:10" x14ac:dyDescent="0.25">
      <c r="A213" t="str">
        <f>'Data Cleaning'!A213</f>
        <v>S212</v>
      </c>
      <c r="B213" s="113">
        <f>'Data Cleaning'!B213</f>
        <v>45986</v>
      </c>
      <c r="C213" t="str">
        <f>'Data Cleaning'!C213</f>
        <v>Nike</v>
      </c>
      <c r="D213" t="str">
        <f>'Data Cleaning'!D213</f>
        <v>Running</v>
      </c>
      <c r="E213" t="str">
        <f>'Data Cleaning'!E213</f>
        <v>Blue</v>
      </c>
      <c r="F213" t="str">
        <f>'Data Cleaning'!F213</f>
        <v>UK</v>
      </c>
      <c r="G213" t="str">
        <f>'Data Cleaning'!G213</f>
        <v>Online</v>
      </c>
      <c r="H213" s="2">
        <f>'Data Cleaning'!H213</f>
        <v>182.22</v>
      </c>
      <c r="I213">
        <f>'Data Cleaning'!I213</f>
        <v>20</v>
      </c>
      <c r="J213" s="2">
        <f>'Data Cleaning'!J213</f>
        <v>3644.4</v>
      </c>
    </row>
    <row r="214" spans="1:10" x14ac:dyDescent="0.25">
      <c r="A214" t="str">
        <f>'Data Cleaning'!A214</f>
        <v>S213</v>
      </c>
      <c r="B214" s="113">
        <f>'Data Cleaning'!B214</f>
        <v>45947</v>
      </c>
      <c r="C214" t="str">
        <f>'Data Cleaning'!C214</f>
        <v>Nike</v>
      </c>
      <c r="D214" t="str">
        <f>'Data Cleaning'!D214</f>
        <v>Sneakers</v>
      </c>
      <c r="E214" t="str">
        <f>'Data Cleaning'!E214</f>
        <v>White</v>
      </c>
      <c r="F214" t="str">
        <f>'Data Cleaning'!F214</f>
        <v>India</v>
      </c>
      <c r="G214" t="str">
        <f>'Data Cleaning'!G214</f>
        <v>Online</v>
      </c>
      <c r="H214" s="2">
        <f>'Data Cleaning'!H214</f>
        <v>173.43</v>
      </c>
      <c r="I214">
        <f>'Data Cleaning'!I214</f>
        <v>7</v>
      </c>
      <c r="J214" s="2">
        <f>'Data Cleaning'!J214</f>
        <v>1214.01</v>
      </c>
    </row>
    <row r="215" spans="1:10" x14ac:dyDescent="0.25">
      <c r="A215" t="str">
        <f>'Data Cleaning'!A215</f>
        <v>S214</v>
      </c>
      <c r="B215" s="113">
        <f>'Data Cleaning'!B215</f>
        <v>45777</v>
      </c>
      <c r="C215" t="str">
        <f>'Data Cleaning'!C215</f>
        <v>Adidas</v>
      </c>
      <c r="D215" t="str">
        <f>'Data Cleaning'!D215</f>
        <v>Sneakers</v>
      </c>
      <c r="E215" t="str">
        <f>'Data Cleaning'!E215</f>
        <v>Black</v>
      </c>
      <c r="F215" t="str">
        <f>'Data Cleaning'!F215</f>
        <v>France</v>
      </c>
      <c r="G215" t="str">
        <f>'Data Cleaning'!G215</f>
        <v>Online</v>
      </c>
      <c r="H215" s="2">
        <f>'Data Cleaning'!H215</f>
        <v>79.34</v>
      </c>
      <c r="I215">
        <f>'Data Cleaning'!I215</f>
        <v>11</v>
      </c>
      <c r="J215" s="2">
        <f>'Data Cleaning'!J215</f>
        <v>872.74</v>
      </c>
    </row>
    <row r="216" spans="1:10" x14ac:dyDescent="0.25">
      <c r="A216" t="str">
        <f>'Data Cleaning'!A216</f>
        <v>S215</v>
      </c>
      <c r="B216" s="113">
        <f>'Data Cleaning'!B216</f>
        <v>45724</v>
      </c>
      <c r="C216" t="str">
        <f>'Data Cleaning'!C216</f>
        <v>Puma</v>
      </c>
      <c r="D216" t="str">
        <f>'Data Cleaning'!D216</f>
        <v>Casual</v>
      </c>
      <c r="E216" t="str">
        <f>'Data Cleaning'!E216</f>
        <v>Black</v>
      </c>
      <c r="F216" t="str">
        <f>'Data Cleaning'!F216</f>
        <v>UAE</v>
      </c>
      <c r="G216" t="str">
        <f>'Data Cleaning'!G216</f>
        <v>Online</v>
      </c>
      <c r="H216" s="2">
        <f>'Data Cleaning'!H216</f>
        <v>186.68</v>
      </c>
      <c r="I216">
        <f>'Data Cleaning'!I216</f>
        <v>18</v>
      </c>
      <c r="J216" s="2">
        <f>'Data Cleaning'!J216</f>
        <v>3360.24</v>
      </c>
    </row>
    <row r="217" spans="1:10" x14ac:dyDescent="0.25">
      <c r="A217" t="str">
        <f>'Data Cleaning'!A217</f>
        <v>S216</v>
      </c>
      <c r="B217" s="113">
        <f>'Data Cleaning'!B217</f>
        <v>45725</v>
      </c>
      <c r="C217" t="str">
        <f>'Data Cleaning'!C217</f>
        <v>Puma</v>
      </c>
      <c r="D217" t="str">
        <f>'Data Cleaning'!D217</f>
        <v>Casual</v>
      </c>
      <c r="E217" t="str">
        <f>'Data Cleaning'!E217</f>
        <v>Grey</v>
      </c>
      <c r="F217" t="str">
        <f>'Data Cleaning'!F217</f>
        <v>France</v>
      </c>
      <c r="G217" t="str">
        <f>'Data Cleaning'!G217</f>
        <v>Online</v>
      </c>
      <c r="H217" s="2">
        <f>'Data Cleaning'!H217</f>
        <v>82.19</v>
      </c>
      <c r="I217">
        <f>'Data Cleaning'!I217</f>
        <v>1</v>
      </c>
      <c r="J217" s="2">
        <f>'Data Cleaning'!J217</f>
        <v>82.19</v>
      </c>
    </row>
    <row r="218" spans="1:10" x14ac:dyDescent="0.25">
      <c r="A218" t="str">
        <f>'Data Cleaning'!A218</f>
        <v>S217</v>
      </c>
      <c r="B218" s="113">
        <f>'Data Cleaning'!B218</f>
        <v>45747</v>
      </c>
      <c r="C218" t="str">
        <f>'Data Cleaning'!C218</f>
        <v>Nike</v>
      </c>
      <c r="D218" t="str">
        <f>'Data Cleaning'!D218</f>
        <v>Casual</v>
      </c>
      <c r="E218" t="str">
        <f>'Data Cleaning'!E218</f>
        <v>Green</v>
      </c>
      <c r="F218" t="str">
        <f>'Data Cleaning'!F218</f>
        <v>Germany</v>
      </c>
      <c r="G218" t="str">
        <f>'Data Cleaning'!G218</f>
        <v>Mall</v>
      </c>
      <c r="H218" s="2">
        <f>'Data Cleaning'!H218</f>
        <v>101.59</v>
      </c>
      <c r="I218">
        <f>'Data Cleaning'!I218</f>
        <v>9</v>
      </c>
      <c r="J218" s="2">
        <f>'Data Cleaning'!J218</f>
        <v>914.31</v>
      </c>
    </row>
    <row r="219" spans="1:10" x14ac:dyDescent="0.25">
      <c r="A219" t="str">
        <f>'Data Cleaning'!A219</f>
        <v>S218</v>
      </c>
      <c r="B219" s="113">
        <f>'Data Cleaning'!B219</f>
        <v>45716</v>
      </c>
      <c r="C219" t="str">
        <f>'Data Cleaning'!C219</f>
        <v>Reebok</v>
      </c>
      <c r="D219" t="str">
        <f>'Data Cleaning'!D219</f>
        <v>Formal</v>
      </c>
      <c r="E219" t="str">
        <f>'Data Cleaning'!E219</f>
        <v>Blue</v>
      </c>
      <c r="F219" t="str">
        <f>'Data Cleaning'!F219</f>
        <v>India</v>
      </c>
      <c r="G219" t="str">
        <f>'Data Cleaning'!G219</f>
        <v>Mall</v>
      </c>
      <c r="H219" s="2">
        <f>'Data Cleaning'!H219</f>
        <v>194.23</v>
      </c>
      <c r="I219">
        <f>'Data Cleaning'!I219</f>
        <v>3</v>
      </c>
      <c r="J219" s="2">
        <f>'Data Cleaning'!J219</f>
        <v>582.69000000000005</v>
      </c>
    </row>
    <row r="220" spans="1:10" x14ac:dyDescent="0.25">
      <c r="A220" t="str">
        <f>'Data Cleaning'!A220</f>
        <v>S219</v>
      </c>
      <c r="B220" s="113">
        <f>'Data Cleaning'!B220</f>
        <v>45713</v>
      </c>
      <c r="C220" t="str">
        <f>'Data Cleaning'!C220</f>
        <v>New Balance</v>
      </c>
      <c r="D220" t="str">
        <f>'Data Cleaning'!D220</f>
        <v>Casual</v>
      </c>
      <c r="E220" t="str">
        <f>'Data Cleaning'!E220</f>
        <v>Grey</v>
      </c>
      <c r="F220" t="str">
        <f>'Data Cleaning'!F220</f>
        <v>USA</v>
      </c>
      <c r="G220" t="str">
        <f>'Data Cleaning'!G220</f>
        <v>Mall</v>
      </c>
      <c r="H220" s="2">
        <f>'Data Cleaning'!H220</f>
        <v>172.92</v>
      </c>
      <c r="I220">
        <f>'Data Cleaning'!I220</f>
        <v>15</v>
      </c>
      <c r="J220" s="2">
        <f>'Data Cleaning'!J220</f>
        <v>2593.8000000000002</v>
      </c>
    </row>
    <row r="221" spans="1:10" x14ac:dyDescent="0.25">
      <c r="A221" t="str">
        <f>'Data Cleaning'!A221</f>
        <v>S220</v>
      </c>
      <c r="B221" s="113">
        <f>'Data Cleaning'!B221</f>
        <v>45995</v>
      </c>
      <c r="C221" t="str">
        <f>'Data Cleaning'!C221</f>
        <v>Puma</v>
      </c>
      <c r="D221" t="str">
        <f>'Data Cleaning'!D221</f>
        <v>Formal</v>
      </c>
      <c r="E221" t="str">
        <f>'Data Cleaning'!E221</f>
        <v>Green</v>
      </c>
      <c r="F221" t="str">
        <f>'Data Cleaning'!F221</f>
        <v>USA</v>
      </c>
      <c r="G221" t="str">
        <f>'Data Cleaning'!G221</f>
        <v>Online</v>
      </c>
      <c r="H221" s="2">
        <f>'Data Cleaning'!H221</f>
        <v>216.83</v>
      </c>
      <c r="I221">
        <f>'Data Cleaning'!I221</f>
        <v>17</v>
      </c>
      <c r="J221" s="2">
        <f>'Data Cleaning'!J221</f>
        <v>3686.11</v>
      </c>
    </row>
    <row r="222" spans="1:10" x14ac:dyDescent="0.25">
      <c r="A222" t="str">
        <f>'Data Cleaning'!A222</f>
        <v>S221</v>
      </c>
      <c r="B222" s="113">
        <f>'Data Cleaning'!B222</f>
        <v>45903</v>
      </c>
      <c r="C222" t="str">
        <f>'Data Cleaning'!C222</f>
        <v>Reebok</v>
      </c>
      <c r="D222" t="str">
        <f>'Data Cleaning'!D222</f>
        <v>Boots</v>
      </c>
      <c r="E222" t="str">
        <f>'Data Cleaning'!E222</f>
        <v>Black</v>
      </c>
      <c r="F222" t="str">
        <f>'Data Cleaning'!F222</f>
        <v>Germany</v>
      </c>
      <c r="G222" t="str">
        <f>'Data Cleaning'!G222</f>
        <v>Mall</v>
      </c>
      <c r="H222" s="2">
        <f>'Data Cleaning'!H222</f>
        <v>174.67</v>
      </c>
      <c r="I222">
        <f>'Data Cleaning'!I222</f>
        <v>13</v>
      </c>
      <c r="J222" s="2">
        <f>'Data Cleaning'!J222</f>
        <v>2270.71</v>
      </c>
    </row>
    <row r="223" spans="1:10" x14ac:dyDescent="0.25">
      <c r="A223" t="str">
        <f>'Data Cleaning'!A223</f>
        <v>S222</v>
      </c>
      <c r="B223" s="113">
        <f>'Data Cleaning'!B223</f>
        <v>45885</v>
      </c>
      <c r="C223" t="str">
        <f>'Data Cleaning'!C223</f>
        <v>Nike</v>
      </c>
      <c r="D223" t="str">
        <f>'Data Cleaning'!D223</f>
        <v>Sports</v>
      </c>
      <c r="E223" t="str">
        <f>'Data Cleaning'!E223</f>
        <v>Grey</v>
      </c>
      <c r="F223" t="str">
        <f>'Data Cleaning'!F223</f>
        <v>UK</v>
      </c>
      <c r="G223" t="str">
        <f>'Data Cleaning'!G223</f>
        <v>Online</v>
      </c>
      <c r="H223" s="2">
        <f>'Data Cleaning'!H223</f>
        <v>155.03</v>
      </c>
      <c r="I223">
        <f>'Data Cleaning'!I223</f>
        <v>3</v>
      </c>
      <c r="J223" s="2">
        <f>'Data Cleaning'!J223</f>
        <v>465.09</v>
      </c>
    </row>
    <row r="224" spans="1:10" x14ac:dyDescent="0.25">
      <c r="A224" t="str">
        <f>'Data Cleaning'!A224</f>
        <v>S223</v>
      </c>
      <c r="B224" s="113">
        <f>'Data Cleaning'!B224</f>
        <v>45722</v>
      </c>
      <c r="C224" t="str">
        <f>'Data Cleaning'!C224</f>
        <v>New Balance</v>
      </c>
      <c r="D224" t="str">
        <f>'Data Cleaning'!D224</f>
        <v>Boots</v>
      </c>
      <c r="E224" t="str">
        <f>'Data Cleaning'!E224</f>
        <v>Grey</v>
      </c>
      <c r="F224" t="str">
        <f>'Data Cleaning'!F224</f>
        <v>India</v>
      </c>
      <c r="G224" t="str">
        <f>'Data Cleaning'!G224</f>
        <v>Mall</v>
      </c>
      <c r="H224" s="2">
        <f>'Data Cleaning'!H224</f>
        <v>50.61</v>
      </c>
      <c r="I224">
        <f>'Data Cleaning'!I224</f>
        <v>9</v>
      </c>
      <c r="J224" s="2">
        <f>'Data Cleaning'!J224</f>
        <v>455.49</v>
      </c>
    </row>
    <row r="225" spans="1:10" x14ac:dyDescent="0.25">
      <c r="A225" t="str">
        <f>'Data Cleaning'!A225</f>
        <v>S224</v>
      </c>
      <c r="B225" s="113">
        <f>'Data Cleaning'!B225</f>
        <v>45824</v>
      </c>
      <c r="C225" t="str">
        <f>'Data Cleaning'!C225</f>
        <v>New Balance</v>
      </c>
      <c r="D225" t="str">
        <f>'Data Cleaning'!D225</f>
        <v>Sneakers</v>
      </c>
      <c r="E225" t="str">
        <f>'Data Cleaning'!E225</f>
        <v>Blue</v>
      </c>
      <c r="F225" t="str">
        <f>'Data Cleaning'!F225</f>
        <v>Germany</v>
      </c>
      <c r="G225" t="str">
        <f>'Data Cleaning'!G225</f>
        <v>Mall</v>
      </c>
      <c r="H225" s="2">
        <f>'Data Cleaning'!H225</f>
        <v>110.9</v>
      </c>
      <c r="I225">
        <f>'Data Cleaning'!I225</f>
        <v>13</v>
      </c>
      <c r="J225" s="2">
        <f>'Data Cleaning'!J225</f>
        <v>1441.7</v>
      </c>
    </row>
    <row r="226" spans="1:10" x14ac:dyDescent="0.25">
      <c r="A226" t="str">
        <f>'Data Cleaning'!A226</f>
        <v>S225</v>
      </c>
      <c r="B226" s="113">
        <f>'Data Cleaning'!B226</f>
        <v>45967</v>
      </c>
      <c r="C226" t="str">
        <f>'Data Cleaning'!C226</f>
        <v>Nike</v>
      </c>
      <c r="D226" t="str">
        <f>'Data Cleaning'!D226</f>
        <v>Boots</v>
      </c>
      <c r="E226" t="str">
        <f>'Data Cleaning'!E226</f>
        <v>Black</v>
      </c>
      <c r="F226" t="str">
        <f>'Data Cleaning'!F226</f>
        <v>Saudi Arabia</v>
      </c>
      <c r="G226" t="str">
        <f>'Data Cleaning'!G226</f>
        <v>Mall</v>
      </c>
      <c r="H226" s="2">
        <f>'Data Cleaning'!H226</f>
        <v>88.34</v>
      </c>
      <c r="I226">
        <f>'Data Cleaning'!I226</f>
        <v>14</v>
      </c>
      <c r="J226" s="2">
        <f>'Data Cleaning'!J226</f>
        <v>1236.76</v>
      </c>
    </row>
    <row r="227" spans="1:10" x14ac:dyDescent="0.25">
      <c r="A227" t="str">
        <f>'Data Cleaning'!A227</f>
        <v>S226</v>
      </c>
      <c r="B227" s="113">
        <f>'Data Cleaning'!B227</f>
        <v>45991</v>
      </c>
      <c r="C227" t="str">
        <f>'Data Cleaning'!C227</f>
        <v>Skechers</v>
      </c>
      <c r="D227" t="str">
        <f>'Data Cleaning'!D227</f>
        <v>Casual</v>
      </c>
      <c r="E227" t="str">
        <f>'Data Cleaning'!E227</f>
        <v>Red</v>
      </c>
      <c r="F227" t="str">
        <f>'Data Cleaning'!F227</f>
        <v>Germany</v>
      </c>
      <c r="G227" t="str">
        <f>'Data Cleaning'!G227</f>
        <v>Online</v>
      </c>
      <c r="H227" s="2">
        <f>'Data Cleaning'!H227</f>
        <v>83.68</v>
      </c>
      <c r="I227">
        <f>'Data Cleaning'!I227</f>
        <v>18</v>
      </c>
      <c r="J227" s="2">
        <f>'Data Cleaning'!J227</f>
        <v>1506.24</v>
      </c>
    </row>
    <row r="228" spans="1:10" x14ac:dyDescent="0.25">
      <c r="A228" t="str">
        <f>'Data Cleaning'!A228</f>
        <v>S227</v>
      </c>
      <c r="B228" s="113">
        <f>'Data Cleaning'!B228</f>
        <v>45869</v>
      </c>
      <c r="C228" t="str">
        <f>'Data Cleaning'!C228</f>
        <v>Reebok</v>
      </c>
      <c r="D228" t="str">
        <f>'Data Cleaning'!D228</f>
        <v>Formal</v>
      </c>
      <c r="E228" t="str">
        <f>'Data Cleaning'!E228</f>
        <v>Red</v>
      </c>
      <c r="F228" t="str">
        <f>'Data Cleaning'!F228</f>
        <v>UAE</v>
      </c>
      <c r="G228" t="str">
        <f>'Data Cleaning'!G228</f>
        <v>Online</v>
      </c>
      <c r="H228" s="2">
        <f>'Data Cleaning'!H228</f>
        <v>244.06</v>
      </c>
      <c r="I228">
        <f>'Data Cleaning'!I228</f>
        <v>11</v>
      </c>
      <c r="J228" s="2">
        <f>'Data Cleaning'!J228</f>
        <v>2684.66</v>
      </c>
    </row>
    <row r="229" spans="1:10" x14ac:dyDescent="0.25">
      <c r="A229" t="str">
        <f>'Data Cleaning'!A229</f>
        <v>S228</v>
      </c>
      <c r="B229" s="113">
        <f>'Data Cleaning'!B229</f>
        <v>45818</v>
      </c>
      <c r="C229" t="str">
        <f>'Data Cleaning'!C229</f>
        <v>Puma</v>
      </c>
      <c r="D229" t="str">
        <f>'Data Cleaning'!D229</f>
        <v>Boots</v>
      </c>
      <c r="E229" t="str">
        <f>'Data Cleaning'!E229</f>
        <v>Blue</v>
      </c>
      <c r="F229" t="str">
        <f>'Data Cleaning'!F229</f>
        <v>France</v>
      </c>
      <c r="G229" t="str">
        <f>'Data Cleaning'!G229</f>
        <v>Online</v>
      </c>
      <c r="H229" s="2">
        <f>'Data Cleaning'!H229</f>
        <v>116.48</v>
      </c>
      <c r="I229">
        <f>'Data Cleaning'!I229</f>
        <v>14</v>
      </c>
      <c r="J229" s="2">
        <f>'Data Cleaning'!J229</f>
        <v>1630.72</v>
      </c>
    </row>
    <row r="230" spans="1:10" x14ac:dyDescent="0.25">
      <c r="A230" t="str">
        <f>'Data Cleaning'!A230</f>
        <v>S229</v>
      </c>
      <c r="B230" s="113">
        <f>'Data Cleaning'!B230</f>
        <v>46009</v>
      </c>
      <c r="C230" t="str">
        <f>'Data Cleaning'!C230</f>
        <v>Nike</v>
      </c>
      <c r="D230" t="str">
        <f>'Data Cleaning'!D230</f>
        <v>Running</v>
      </c>
      <c r="E230" t="str">
        <f>'Data Cleaning'!E230</f>
        <v>Black</v>
      </c>
      <c r="F230" t="str">
        <f>'Data Cleaning'!F230</f>
        <v>USA</v>
      </c>
      <c r="G230" t="str">
        <f>'Data Cleaning'!G230</f>
        <v>Retail Store</v>
      </c>
      <c r="H230" s="2">
        <f>'Data Cleaning'!H230</f>
        <v>226.25</v>
      </c>
      <c r="I230">
        <f>'Data Cleaning'!I230</f>
        <v>16</v>
      </c>
      <c r="J230" s="2">
        <f>'Data Cleaning'!J230</f>
        <v>3620</v>
      </c>
    </row>
    <row r="231" spans="1:10" x14ac:dyDescent="0.25">
      <c r="A231" t="str">
        <f>'Data Cleaning'!A231</f>
        <v>S230</v>
      </c>
      <c r="B231" s="113">
        <f>'Data Cleaning'!B231</f>
        <v>45707</v>
      </c>
      <c r="C231" t="str">
        <f>'Data Cleaning'!C231</f>
        <v>Adidas</v>
      </c>
      <c r="D231" t="str">
        <f>'Data Cleaning'!D231</f>
        <v>Sneakers</v>
      </c>
      <c r="E231" t="str">
        <f>'Data Cleaning'!E231</f>
        <v>Black</v>
      </c>
      <c r="F231" t="str">
        <f>'Data Cleaning'!F231</f>
        <v>India</v>
      </c>
      <c r="G231" t="str">
        <f>'Data Cleaning'!G231</f>
        <v>Mall</v>
      </c>
      <c r="H231" s="2">
        <f>'Data Cleaning'!H231</f>
        <v>168.85</v>
      </c>
      <c r="I231">
        <f>'Data Cleaning'!I231</f>
        <v>12</v>
      </c>
      <c r="J231" s="2">
        <f>'Data Cleaning'!J231</f>
        <v>2026.2</v>
      </c>
    </row>
    <row r="232" spans="1:10" x14ac:dyDescent="0.25">
      <c r="A232" t="str">
        <f>'Data Cleaning'!A232</f>
        <v>S231</v>
      </c>
      <c r="B232" s="113">
        <f>'Data Cleaning'!B232</f>
        <v>45945</v>
      </c>
      <c r="C232" t="str">
        <f>'Data Cleaning'!C232</f>
        <v>Skechers</v>
      </c>
      <c r="D232" t="str">
        <f>'Data Cleaning'!D232</f>
        <v>Running</v>
      </c>
      <c r="E232" t="str">
        <f>'Data Cleaning'!E232</f>
        <v>Red</v>
      </c>
      <c r="F232" t="str">
        <f>'Data Cleaning'!F232</f>
        <v>France</v>
      </c>
      <c r="G232" t="str">
        <f>'Data Cleaning'!G232</f>
        <v>Mall</v>
      </c>
      <c r="H232" s="2">
        <f>'Data Cleaning'!H232</f>
        <v>204.86</v>
      </c>
      <c r="I232">
        <f>'Data Cleaning'!I232</f>
        <v>11</v>
      </c>
      <c r="J232" s="2">
        <f>'Data Cleaning'!J232</f>
        <v>2253.46</v>
      </c>
    </row>
    <row r="233" spans="1:10" x14ac:dyDescent="0.25">
      <c r="A233" t="str">
        <f>'Data Cleaning'!A233</f>
        <v>S232</v>
      </c>
      <c r="B233" s="113">
        <f>'Data Cleaning'!B233</f>
        <v>45874</v>
      </c>
      <c r="C233" t="str">
        <f>'Data Cleaning'!C233</f>
        <v>Puma</v>
      </c>
      <c r="D233" t="str">
        <f>'Data Cleaning'!D233</f>
        <v>Sneakers</v>
      </c>
      <c r="E233" t="str">
        <f>'Data Cleaning'!E233</f>
        <v>Blue</v>
      </c>
      <c r="F233" t="str">
        <f>'Data Cleaning'!F233</f>
        <v>France</v>
      </c>
      <c r="G233" t="str">
        <f>'Data Cleaning'!G233</f>
        <v>Online</v>
      </c>
      <c r="H233" s="2">
        <f>'Data Cleaning'!H233</f>
        <v>140.58000000000001</v>
      </c>
      <c r="I233">
        <f>'Data Cleaning'!I233</f>
        <v>2</v>
      </c>
      <c r="J233" s="2">
        <f>'Data Cleaning'!J233</f>
        <v>281.16000000000003</v>
      </c>
    </row>
    <row r="234" spans="1:10" x14ac:dyDescent="0.25">
      <c r="A234" t="str">
        <f>'Data Cleaning'!A234</f>
        <v>S233</v>
      </c>
      <c r="B234" s="113">
        <f>'Data Cleaning'!B234</f>
        <v>45953</v>
      </c>
      <c r="C234" t="str">
        <f>'Data Cleaning'!C234</f>
        <v>Adidas</v>
      </c>
      <c r="D234" t="str">
        <f>'Data Cleaning'!D234</f>
        <v>Casual</v>
      </c>
      <c r="E234" t="str">
        <f>'Data Cleaning'!E234</f>
        <v>Green</v>
      </c>
      <c r="F234" t="str">
        <f>'Data Cleaning'!F234</f>
        <v>Germany</v>
      </c>
      <c r="G234" t="str">
        <f>'Data Cleaning'!G234</f>
        <v>Online</v>
      </c>
      <c r="H234" s="2">
        <f>'Data Cleaning'!H234</f>
        <v>156.91999999999999</v>
      </c>
      <c r="I234">
        <f>'Data Cleaning'!I234</f>
        <v>17</v>
      </c>
      <c r="J234" s="2">
        <f>'Data Cleaning'!J234</f>
        <v>2667.64</v>
      </c>
    </row>
    <row r="235" spans="1:10" x14ac:dyDescent="0.25">
      <c r="A235" t="str">
        <f>'Data Cleaning'!A235</f>
        <v>S234</v>
      </c>
      <c r="B235" s="113">
        <f>'Data Cleaning'!B235</f>
        <v>45713</v>
      </c>
      <c r="C235" t="str">
        <f>'Data Cleaning'!C235</f>
        <v>New Balance</v>
      </c>
      <c r="D235" t="str">
        <f>'Data Cleaning'!D235</f>
        <v>Sports</v>
      </c>
      <c r="E235" t="str">
        <f>'Data Cleaning'!E235</f>
        <v>Black</v>
      </c>
      <c r="F235" t="str">
        <f>'Data Cleaning'!F235</f>
        <v>Saudi Arabia</v>
      </c>
      <c r="G235" t="str">
        <f>'Data Cleaning'!G235</f>
        <v>Retail Store</v>
      </c>
      <c r="H235" s="2">
        <f>'Data Cleaning'!H235</f>
        <v>138.35</v>
      </c>
      <c r="I235">
        <f>'Data Cleaning'!I235</f>
        <v>12</v>
      </c>
      <c r="J235" s="2">
        <f>'Data Cleaning'!J235</f>
        <v>1660.2</v>
      </c>
    </row>
    <row r="236" spans="1:10" x14ac:dyDescent="0.25">
      <c r="A236" t="str">
        <f>'Data Cleaning'!A236</f>
        <v>S235</v>
      </c>
      <c r="B236" s="113">
        <f>'Data Cleaning'!B236</f>
        <v>45951</v>
      </c>
      <c r="C236" t="str">
        <f>'Data Cleaning'!C236</f>
        <v>Reebok</v>
      </c>
      <c r="D236" t="str">
        <f>'Data Cleaning'!D236</f>
        <v>Sneakers</v>
      </c>
      <c r="E236" t="str">
        <f>'Data Cleaning'!E236</f>
        <v>Grey</v>
      </c>
      <c r="F236" t="str">
        <f>'Data Cleaning'!F236</f>
        <v>India</v>
      </c>
      <c r="G236" t="str">
        <f>'Data Cleaning'!G236</f>
        <v>Mall</v>
      </c>
      <c r="H236" s="2">
        <f>'Data Cleaning'!H236</f>
        <v>72.95</v>
      </c>
      <c r="I236">
        <f>'Data Cleaning'!I236</f>
        <v>8</v>
      </c>
      <c r="J236" s="2">
        <f>'Data Cleaning'!J236</f>
        <v>583.6</v>
      </c>
    </row>
    <row r="237" spans="1:10" x14ac:dyDescent="0.25">
      <c r="A237" t="str">
        <f>'Data Cleaning'!A237</f>
        <v>S236</v>
      </c>
      <c r="B237" s="113">
        <f>'Data Cleaning'!B237</f>
        <v>45987</v>
      </c>
      <c r="C237" t="str">
        <f>'Data Cleaning'!C237</f>
        <v>Nike</v>
      </c>
      <c r="D237" t="str">
        <f>'Data Cleaning'!D237</f>
        <v>Sneakers</v>
      </c>
      <c r="E237" t="str">
        <f>'Data Cleaning'!E237</f>
        <v>Green</v>
      </c>
      <c r="F237" t="str">
        <f>'Data Cleaning'!F237</f>
        <v>Saudi Arabia</v>
      </c>
      <c r="G237" t="str">
        <f>'Data Cleaning'!G237</f>
        <v>Mall</v>
      </c>
      <c r="H237" s="2">
        <f>'Data Cleaning'!H237</f>
        <v>188.94</v>
      </c>
      <c r="I237">
        <f>'Data Cleaning'!I237</f>
        <v>18</v>
      </c>
      <c r="J237" s="2">
        <f>'Data Cleaning'!J237</f>
        <v>3400.92</v>
      </c>
    </row>
    <row r="238" spans="1:10" x14ac:dyDescent="0.25">
      <c r="A238" t="str">
        <f>'Data Cleaning'!A238</f>
        <v>S237</v>
      </c>
      <c r="B238" s="113">
        <f>'Data Cleaning'!B238</f>
        <v>45794</v>
      </c>
      <c r="C238" t="str">
        <f>'Data Cleaning'!C238</f>
        <v>Adidas</v>
      </c>
      <c r="D238" t="str">
        <f>'Data Cleaning'!D238</f>
        <v>Sports</v>
      </c>
      <c r="E238" t="str">
        <f>'Data Cleaning'!E238</f>
        <v>Green</v>
      </c>
      <c r="F238" t="str">
        <f>'Data Cleaning'!F238</f>
        <v>Saudi Arabia</v>
      </c>
      <c r="G238" t="str">
        <f>'Data Cleaning'!G238</f>
        <v>Retail Store</v>
      </c>
      <c r="H238" s="2">
        <f>'Data Cleaning'!H238</f>
        <v>91.77</v>
      </c>
      <c r="I238">
        <f>'Data Cleaning'!I238</f>
        <v>1</v>
      </c>
      <c r="J238" s="2">
        <f>'Data Cleaning'!J238</f>
        <v>91.77</v>
      </c>
    </row>
    <row r="239" spans="1:10" x14ac:dyDescent="0.25">
      <c r="A239" t="str">
        <f>'Data Cleaning'!A239</f>
        <v>S238</v>
      </c>
      <c r="B239" s="113">
        <f>'Data Cleaning'!B239</f>
        <v>45831</v>
      </c>
      <c r="C239" t="str">
        <f>'Data Cleaning'!C239</f>
        <v>Nike</v>
      </c>
      <c r="D239" t="str">
        <f>'Data Cleaning'!D239</f>
        <v>Casual</v>
      </c>
      <c r="E239" t="str">
        <f>'Data Cleaning'!E239</f>
        <v>White</v>
      </c>
      <c r="F239" t="str">
        <f>'Data Cleaning'!F239</f>
        <v>India</v>
      </c>
      <c r="G239" t="str">
        <f>'Data Cleaning'!G239</f>
        <v>Mall</v>
      </c>
      <c r="H239" s="2">
        <f>'Data Cleaning'!H239</f>
        <v>35.35</v>
      </c>
      <c r="I239">
        <f>'Data Cleaning'!I239</f>
        <v>12</v>
      </c>
      <c r="J239" s="2">
        <f>'Data Cleaning'!J239</f>
        <v>424.2</v>
      </c>
    </row>
    <row r="240" spans="1:10" x14ac:dyDescent="0.25">
      <c r="A240" t="str">
        <f>'Data Cleaning'!A240</f>
        <v>S239</v>
      </c>
      <c r="B240" s="113">
        <f>'Data Cleaning'!B240</f>
        <v>45863</v>
      </c>
      <c r="C240" t="str">
        <f>'Data Cleaning'!C240</f>
        <v>Adidas</v>
      </c>
      <c r="D240" t="str">
        <f>'Data Cleaning'!D240</f>
        <v>Boots</v>
      </c>
      <c r="E240" t="str">
        <f>'Data Cleaning'!E240</f>
        <v>Green</v>
      </c>
      <c r="F240" t="str">
        <f>'Data Cleaning'!F240</f>
        <v>USA</v>
      </c>
      <c r="G240" t="str">
        <f>'Data Cleaning'!G240</f>
        <v>Online</v>
      </c>
      <c r="H240" s="2">
        <f>'Data Cleaning'!H240</f>
        <v>172</v>
      </c>
      <c r="I240">
        <f>'Data Cleaning'!I240</f>
        <v>3</v>
      </c>
      <c r="J240" s="2">
        <f>'Data Cleaning'!J240</f>
        <v>516</v>
      </c>
    </row>
    <row r="241" spans="1:10" x14ac:dyDescent="0.25">
      <c r="A241" t="str">
        <f>'Data Cleaning'!A241</f>
        <v>S240</v>
      </c>
      <c r="B241" s="113">
        <f>'Data Cleaning'!B241</f>
        <v>45929</v>
      </c>
      <c r="C241" t="str">
        <f>'Data Cleaning'!C241</f>
        <v>Reebok</v>
      </c>
      <c r="D241" t="str">
        <f>'Data Cleaning'!D241</f>
        <v>Formal</v>
      </c>
      <c r="E241" t="str">
        <f>'Data Cleaning'!E241</f>
        <v>Red</v>
      </c>
      <c r="F241" t="str">
        <f>'Data Cleaning'!F241</f>
        <v>France</v>
      </c>
      <c r="G241" t="str">
        <f>'Data Cleaning'!G241</f>
        <v>Online</v>
      </c>
      <c r="H241" s="2">
        <f>'Data Cleaning'!H241</f>
        <v>68.959999999999994</v>
      </c>
      <c r="I241">
        <f>'Data Cleaning'!I241</f>
        <v>7</v>
      </c>
      <c r="J241" s="2">
        <f>'Data Cleaning'!J241</f>
        <v>482.72</v>
      </c>
    </row>
    <row r="242" spans="1:10" x14ac:dyDescent="0.25">
      <c r="A242" t="str">
        <f>'Data Cleaning'!A242</f>
        <v>S241</v>
      </c>
      <c r="B242" s="113">
        <f>'Data Cleaning'!B242</f>
        <v>45847</v>
      </c>
      <c r="C242" t="str">
        <f>'Data Cleaning'!C242</f>
        <v>Skechers</v>
      </c>
      <c r="D242" t="str">
        <f>'Data Cleaning'!D242</f>
        <v>Sports</v>
      </c>
      <c r="E242" t="str">
        <f>'Data Cleaning'!E242</f>
        <v>Grey</v>
      </c>
      <c r="F242" t="str">
        <f>'Data Cleaning'!F242</f>
        <v>India</v>
      </c>
      <c r="G242" t="str">
        <f>'Data Cleaning'!G242</f>
        <v>Online</v>
      </c>
      <c r="H242" s="2">
        <f>'Data Cleaning'!H242</f>
        <v>236.9</v>
      </c>
      <c r="I242">
        <f>'Data Cleaning'!I242</f>
        <v>10</v>
      </c>
      <c r="J242" s="2">
        <f>'Data Cleaning'!J242</f>
        <v>2369</v>
      </c>
    </row>
    <row r="243" spans="1:10" x14ac:dyDescent="0.25">
      <c r="A243" t="str">
        <f>'Data Cleaning'!A243</f>
        <v>S242</v>
      </c>
      <c r="B243" s="113">
        <f>'Data Cleaning'!B243</f>
        <v>45684</v>
      </c>
      <c r="C243" t="str">
        <f>'Data Cleaning'!C243</f>
        <v>Adidas</v>
      </c>
      <c r="D243" t="str">
        <f>'Data Cleaning'!D243</f>
        <v>Sneakers</v>
      </c>
      <c r="E243" t="str">
        <f>'Data Cleaning'!E243</f>
        <v>Black</v>
      </c>
      <c r="F243" t="str">
        <f>'Data Cleaning'!F243</f>
        <v>UAE</v>
      </c>
      <c r="G243" t="str">
        <f>'Data Cleaning'!G243</f>
        <v>Online</v>
      </c>
      <c r="H243" s="2">
        <f>'Data Cleaning'!H243</f>
        <v>239.86</v>
      </c>
      <c r="I243">
        <f>'Data Cleaning'!I243</f>
        <v>5</v>
      </c>
      <c r="J243" s="2">
        <f>'Data Cleaning'!J243</f>
        <v>1199.3</v>
      </c>
    </row>
    <row r="244" spans="1:10" x14ac:dyDescent="0.25">
      <c r="A244" t="str">
        <f>'Data Cleaning'!A244</f>
        <v>S243</v>
      </c>
      <c r="B244" s="113">
        <f>'Data Cleaning'!B244</f>
        <v>45797</v>
      </c>
      <c r="C244" t="str">
        <f>'Data Cleaning'!C244</f>
        <v>Skechers</v>
      </c>
      <c r="D244" t="str">
        <f>'Data Cleaning'!D244</f>
        <v>Formal</v>
      </c>
      <c r="E244" t="str">
        <f>'Data Cleaning'!E244</f>
        <v>Red</v>
      </c>
      <c r="F244" t="str">
        <f>'Data Cleaning'!F244</f>
        <v>India</v>
      </c>
      <c r="G244" t="str">
        <f>'Data Cleaning'!G244</f>
        <v>Retail Store</v>
      </c>
      <c r="H244" s="2">
        <f>'Data Cleaning'!H244</f>
        <v>231.27</v>
      </c>
      <c r="I244">
        <f>'Data Cleaning'!I244</f>
        <v>15</v>
      </c>
      <c r="J244" s="2">
        <f>'Data Cleaning'!J244</f>
        <v>3469.05</v>
      </c>
    </row>
    <row r="245" spans="1:10" x14ac:dyDescent="0.25">
      <c r="A245" t="str">
        <f>'Data Cleaning'!A245</f>
        <v>S244</v>
      </c>
      <c r="B245" s="113">
        <f>'Data Cleaning'!B245</f>
        <v>45870</v>
      </c>
      <c r="C245" t="str">
        <f>'Data Cleaning'!C245</f>
        <v>Adidas</v>
      </c>
      <c r="D245" t="str">
        <f>'Data Cleaning'!D245</f>
        <v>Sneakers</v>
      </c>
      <c r="E245" t="str">
        <f>'Data Cleaning'!E245</f>
        <v>Black</v>
      </c>
      <c r="F245" t="str">
        <f>'Data Cleaning'!F245</f>
        <v>France</v>
      </c>
      <c r="G245" t="str">
        <f>'Data Cleaning'!G245</f>
        <v>Retail Store</v>
      </c>
      <c r="H245" s="2">
        <f>'Data Cleaning'!H245</f>
        <v>111.43</v>
      </c>
      <c r="I245">
        <f>'Data Cleaning'!I245</f>
        <v>9</v>
      </c>
      <c r="J245" s="2">
        <f>'Data Cleaning'!J245</f>
        <v>1002.87</v>
      </c>
    </row>
    <row r="246" spans="1:10" x14ac:dyDescent="0.25">
      <c r="A246" t="str">
        <f>'Data Cleaning'!A246</f>
        <v>S245</v>
      </c>
      <c r="B246" s="113">
        <f>'Data Cleaning'!B246</f>
        <v>45714</v>
      </c>
      <c r="C246" t="str">
        <f>'Data Cleaning'!C246</f>
        <v>Skechers</v>
      </c>
      <c r="D246" t="str">
        <f>'Data Cleaning'!D246</f>
        <v>Boots</v>
      </c>
      <c r="E246" t="str">
        <f>'Data Cleaning'!E246</f>
        <v>Grey</v>
      </c>
      <c r="F246" t="str">
        <f>'Data Cleaning'!F246</f>
        <v>Germany</v>
      </c>
      <c r="G246" t="str">
        <f>'Data Cleaning'!G246</f>
        <v>Mall</v>
      </c>
      <c r="H246" s="2">
        <f>'Data Cleaning'!H246</f>
        <v>33.4</v>
      </c>
      <c r="I246">
        <f>'Data Cleaning'!I246</f>
        <v>10</v>
      </c>
      <c r="J246" s="2">
        <f>'Data Cleaning'!J246</f>
        <v>334</v>
      </c>
    </row>
    <row r="247" spans="1:10" x14ac:dyDescent="0.25">
      <c r="A247" t="str">
        <f>'Data Cleaning'!A247</f>
        <v>S246</v>
      </c>
      <c r="B247" s="113">
        <f>'Data Cleaning'!B247</f>
        <v>45999</v>
      </c>
      <c r="C247" t="str">
        <f>'Data Cleaning'!C247</f>
        <v>Nike</v>
      </c>
      <c r="D247" t="str">
        <f>'Data Cleaning'!D247</f>
        <v>Casual</v>
      </c>
      <c r="E247" t="str">
        <f>'Data Cleaning'!E247</f>
        <v>Red</v>
      </c>
      <c r="F247" t="str">
        <f>'Data Cleaning'!F247</f>
        <v>India</v>
      </c>
      <c r="G247" t="str">
        <f>'Data Cleaning'!G247</f>
        <v>Online</v>
      </c>
      <c r="H247" s="2">
        <f>'Data Cleaning'!H247</f>
        <v>234.23</v>
      </c>
      <c r="I247">
        <f>'Data Cleaning'!I247</f>
        <v>10</v>
      </c>
      <c r="J247" s="2">
        <f>'Data Cleaning'!J247</f>
        <v>2342.3000000000002</v>
      </c>
    </row>
    <row r="248" spans="1:10" x14ac:dyDescent="0.25">
      <c r="A248" t="str">
        <f>'Data Cleaning'!A248</f>
        <v>S247</v>
      </c>
      <c r="B248" s="113">
        <f>'Data Cleaning'!B248</f>
        <v>45661</v>
      </c>
      <c r="C248" t="str">
        <f>'Data Cleaning'!C248</f>
        <v>Puma</v>
      </c>
      <c r="D248" t="str">
        <f>'Data Cleaning'!D248</f>
        <v>Casual</v>
      </c>
      <c r="E248" t="str">
        <f>'Data Cleaning'!E248</f>
        <v>White</v>
      </c>
      <c r="F248" t="str">
        <f>'Data Cleaning'!F248</f>
        <v>Saudi Arabia</v>
      </c>
      <c r="G248" t="str">
        <f>'Data Cleaning'!G248</f>
        <v>Retail Store</v>
      </c>
      <c r="H248" s="2">
        <f>'Data Cleaning'!H248</f>
        <v>124.2</v>
      </c>
      <c r="I248">
        <f>'Data Cleaning'!I248</f>
        <v>7</v>
      </c>
      <c r="J248" s="2">
        <f>'Data Cleaning'!J248</f>
        <v>869.4</v>
      </c>
    </row>
    <row r="249" spans="1:10" x14ac:dyDescent="0.25">
      <c r="A249" t="str">
        <f>'Data Cleaning'!A249</f>
        <v>S248</v>
      </c>
      <c r="B249" s="113">
        <f>'Data Cleaning'!B249</f>
        <v>45806</v>
      </c>
      <c r="C249" t="str">
        <f>'Data Cleaning'!C249</f>
        <v>Nike</v>
      </c>
      <c r="D249" t="str">
        <f>'Data Cleaning'!D249</f>
        <v>Running</v>
      </c>
      <c r="E249" t="str">
        <f>'Data Cleaning'!E249</f>
        <v>Red</v>
      </c>
      <c r="F249" t="str">
        <f>'Data Cleaning'!F249</f>
        <v>UAE</v>
      </c>
      <c r="G249" t="str">
        <f>'Data Cleaning'!G249</f>
        <v>Retail Store</v>
      </c>
      <c r="H249" s="2">
        <f>'Data Cleaning'!H249</f>
        <v>242.66</v>
      </c>
      <c r="I249">
        <f>'Data Cleaning'!I249</f>
        <v>11</v>
      </c>
      <c r="J249" s="2">
        <f>'Data Cleaning'!J249</f>
        <v>2669.26</v>
      </c>
    </row>
    <row r="250" spans="1:10" x14ac:dyDescent="0.25">
      <c r="A250" t="str">
        <f>'Data Cleaning'!A250</f>
        <v>S249</v>
      </c>
      <c r="B250" s="113">
        <f>'Data Cleaning'!B250</f>
        <v>45747</v>
      </c>
      <c r="C250" t="str">
        <f>'Data Cleaning'!C250</f>
        <v>Reebok</v>
      </c>
      <c r="D250" t="str">
        <f>'Data Cleaning'!D250</f>
        <v>Sneakers</v>
      </c>
      <c r="E250" t="str">
        <f>'Data Cleaning'!E250</f>
        <v>Green</v>
      </c>
      <c r="F250" t="str">
        <f>'Data Cleaning'!F250</f>
        <v>UK</v>
      </c>
      <c r="G250" t="str">
        <f>'Data Cleaning'!G250</f>
        <v>Mall</v>
      </c>
      <c r="H250" s="2">
        <f>'Data Cleaning'!H250</f>
        <v>242</v>
      </c>
      <c r="I250">
        <f>'Data Cleaning'!I250</f>
        <v>5</v>
      </c>
      <c r="J250" s="2">
        <f>'Data Cleaning'!J250</f>
        <v>1210</v>
      </c>
    </row>
    <row r="251" spans="1:10" x14ac:dyDescent="0.25">
      <c r="A251" t="str">
        <f>'Data Cleaning'!A251</f>
        <v>S250</v>
      </c>
      <c r="B251" s="113">
        <f>'Data Cleaning'!B251</f>
        <v>45944</v>
      </c>
      <c r="C251" t="str">
        <f>'Data Cleaning'!C251</f>
        <v>Nike</v>
      </c>
      <c r="D251" t="str">
        <f>'Data Cleaning'!D251</f>
        <v>Formal</v>
      </c>
      <c r="E251" t="str">
        <f>'Data Cleaning'!E251</f>
        <v>Green</v>
      </c>
      <c r="F251" t="str">
        <f>'Data Cleaning'!F251</f>
        <v>USA</v>
      </c>
      <c r="G251" t="str">
        <f>'Data Cleaning'!G251</f>
        <v>Retail Store</v>
      </c>
      <c r="H251" s="2">
        <f>'Data Cleaning'!H251</f>
        <v>217.66</v>
      </c>
      <c r="I251">
        <f>'Data Cleaning'!I251</f>
        <v>12</v>
      </c>
      <c r="J251" s="2">
        <f>'Data Cleaning'!J251</f>
        <v>2611.92</v>
      </c>
    </row>
    <row r="252" spans="1:10" x14ac:dyDescent="0.25">
      <c r="A252" t="str">
        <f>'Data Cleaning'!A252</f>
        <v>S251</v>
      </c>
      <c r="B252" s="113">
        <f>'Data Cleaning'!B252</f>
        <v>45667</v>
      </c>
      <c r="C252" t="str">
        <f>'Data Cleaning'!C252</f>
        <v>Nike</v>
      </c>
      <c r="D252" t="str">
        <f>'Data Cleaning'!D252</f>
        <v>Sports</v>
      </c>
      <c r="E252" t="str">
        <f>'Data Cleaning'!E252</f>
        <v>Grey</v>
      </c>
      <c r="F252" t="str">
        <f>'Data Cleaning'!F252</f>
        <v>Germany</v>
      </c>
      <c r="G252" t="str">
        <f>'Data Cleaning'!G252</f>
        <v>Mall</v>
      </c>
      <c r="H252" s="2">
        <f>'Data Cleaning'!H252</f>
        <v>94.78</v>
      </c>
      <c r="I252">
        <f>'Data Cleaning'!I252</f>
        <v>15</v>
      </c>
      <c r="J252" s="2">
        <f>'Data Cleaning'!J252</f>
        <v>1421.7</v>
      </c>
    </row>
    <row r="253" spans="1:10" x14ac:dyDescent="0.25">
      <c r="A253" t="str">
        <f>'Data Cleaning'!A253</f>
        <v>S252</v>
      </c>
      <c r="B253" s="113">
        <f>'Data Cleaning'!B253</f>
        <v>45865</v>
      </c>
      <c r="C253" t="str">
        <f>'Data Cleaning'!C253</f>
        <v>Puma</v>
      </c>
      <c r="D253" t="str">
        <f>'Data Cleaning'!D253</f>
        <v>Running</v>
      </c>
      <c r="E253" t="str">
        <f>'Data Cleaning'!E253</f>
        <v>Red</v>
      </c>
      <c r="F253" t="str">
        <f>'Data Cleaning'!F253</f>
        <v>USA</v>
      </c>
      <c r="G253" t="str">
        <f>'Data Cleaning'!G253</f>
        <v>Retail Store</v>
      </c>
      <c r="H253" s="2">
        <f>'Data Cleaning'!H253</f>
        <v>114.72</v>
      </c>
      <c r="I253">
        <f>'Data Cleaning'!I253</f>
        <v>14</v>
      </c>
      <c r="J253" s="2">
        <f>'Data Cleaning'!J253</f>
        <v>1606.08</v>
      </c>
    </row>
    <row r="254" spans="1:10" x14ac:dyDescent="0.25">
      <c r="A254" t="str">
        <f>'Data Cleaning'!A254</f>
        <v>S253</v>
      </c>
      <c r="B254" s="113">
        <f>'Data Cleaning'!B254</f>
        <v>45745</v>
      </c>
      <c r="C254" t="str">
        <f>'Data Cleaning'!C254</f>
        <v>Reebok</v>
      </c>
      <c r="D254" t="str">
        <f>'Data Cleaning'!D254</f>
        <v>Boots</v>
      </c>
      <c r="E254" t="str">
        <f>'Data Cleaning'!E254</f>
        <v>Blue</v>
      </c>
      <c r="F254" t="str">
        <f>'Data Cleaning'!F254</f>
        <v>USA</v>
      </c>
      <c r="G254" t="str">
        <f>'Data Cleaning'!G254</f>
        <v>Retail Store</v>
      </c>
      <c r="H254" s="2">
        <f>'Data Cleaning'!H254</f>
        <v>217.25</v>
      </c>
      <c r="I254">
        <f>'Data Cleaning'!I254</f>
        <v>20</v>
      </c>
      <c r="J254" s="2">
        <f>'Data Cleaning'!J254</f>
        <v>4345</v>
      </c>
    </row>
    <row r="255" spans="1:10" x14ac:dyDescent="0.25">
      <c r="A255" t="str">
        <f>'Data Cleaning'!A255</f>
        <v>S254</v>
      </c>
      <c r="B255" s="113">
        <f>'Data Cleaning'!B255</f>
        <v>45712</v>
      </c>
      <c r="C255" t="str">
        <f>'Data Cleaning'!C255</f>
        <v>Reebok</v>
      </c>
      <c r="D255" t="str">
        <f>'Data Cleaning'!D255</f>
        <v>Sneakers</v>
      </c>
      <c r="E255" t="str">
        <f>'Data Cleaning'!E255</f>
        <v>Red</v>
      </c>
      <c r="F255" t="str">
        <f>'Data Cleaning'!F255</f>
        <v>India</v>
      </c>
      <c r="G255" t="str">
        <f>'Data Cleaning'!G255</f>
        <v>Online</v>
      </c>
      <c r="H255" s="2">
        <f>'Data Cleaning'!H255</f>
        <v>99.72</v>
      </c>
      <c r="I255">
        <f>'Data Cleaning'!I255</f>
        <v>8</v>
      </c>
      <c r="J255" s="2">
        <f>'Data Cleaning'!J255</f>
        <v>797.76</v>
      </c>
    </row>
    <row r="256" spans="1:10" x14ac:dyDescent="0.25">
      <c r="A256" t="str">
        <f>'Data Cleaning'!A256</f>
        <v>S255</v>
      </c>
      <c r="B256" s="113">
        <f>'Data Cleaning'!B256</f>
        <v>45860</v>
      </c>
      <c r="C256" t="str">
        <f>'Data Cleaning'!C256</f>
        <v>Skechers</v>
      </c>
      <c r="D256" t="str">
        <f>'Data Cleaning'!D256</f>
        <v>Sports</v>
      </c>
      <c r="E256" t="str">
        <f>'Data Cleaning'!E256</f>
        <v>White</v>
      </c>
      <c r="F256" t="str">
        <f>'Data Cleaning'!F256</f>
        <v>France</v>
      </c>
      <c r="G256" t="str">
        <f>'Data Cleaning'!G256</f>
        <v>Online</v>
      </c>
      <c r="H256" s="2">
        <f>'Data Cleaning'!H256</f>
        <v>67.290000000000006</v>
      </c>
      <c r="I256">
        <f>'Data Cleaning'!I256</f>
        <v>10</v>
      </c>
      <c r="J256" s="2">
        <f>'Data Cleaning'!J256</f>
        <v>672.9</v>
      </c>
    </row>
    <row r="257" spans="1:10" x14ac:dyDescent="0.25">
      <c r="A257" t="str">
        <f>'Data Cleaning'!A257</f>
        <v>S256</v>
      </c>
      <c r="B257" s="113">
        <f>'Data Cleaning'!B257</f>
        <v>45697</v>
      </c>
      <c r="C257" t="str">
        <f>'Data Cleaning'!C257</f>
        <v>Skechers</v>
      </c>
      <c r="D257" t="str">
        <f>'Data Cleaning'!D257</f>
        <v>Running</v>
      </c>
      <c r="E257" t="str">
        <f>'Data Cleaning'!E257</f>
        <v>Grey</v>
      </c>
      <c r="F257" t="str">
        <f>'Data Cleaning'!F257</f>
        <v>India</v>
      </c>
      <c r="G257" t="str">
        <f>'Data Cleaning'!G257</f>
        <v>Online</v>
      </c>
      <c r="H257" s="2">
        <f>'Data Cleaning'!H257</f>
        <v>152.5</v>
      </c>
      <c r="I257">
        <f>'Data Cleaning'!I257</f>
        <v>17</v>
      </c>
      <c r="J257" s="2">
        <f>'Data Cleaning'!J257</f>
        <v>2592.5</v>
      </c>
    </row>
    <row r="258" spans="1:10" x14ac:dyDescent="0.25">
      <c r="A258" t="str">
        <f>'Data Cleaning'!A258</f>
        <v>S257</v>
      </c>
      <c r="B258" s="113">
        <f>'Data Cleaning'!B258</f>
        <v>45836</v>
      </c>
      <c r="C258" t="str">
        <f>'Data Cleaning'!C258</f>
        <v>Skechers</v>
      </c>
      <c r="D258" t="str">
        <f>'Data Cleaning'!D258</f>
        <v>Boots</v>
      </c>
      <c r="E258" t="str">
        <f>'Data Cleaning'!E258</f>
        <v>White</v>
      </c>
      <c r="F258" t="str">
        <f>'Data Cleaning'!F258</f>
        <v>UK</v>
      </c>
      <c r="G258" t="str">
        <f>'Data Cleaning'!G258</f>
        <v>Online</v>
      </c>
      <c r="H258" s="2">
        <f>'Data Cleaning'!H258</f>
        <v>235.95</v>
      </c>
      <c r="I258">
        <f>'Data Cleaning'!I258</f>
        <v>12</v>
      </c>
      <c r="J258" s="2">
        <f>'Data Cleaning'!J258</f>
        <v>2831.4</v>
      </c>
    </row>
    <row r="259" spans="1:10" x14ac:dyDescent="0.25">
      <c r="A259" t="str">
        <f>'Data Cleaning'!A259</f>
        <v>S258</v>
      </c>
      <c r="B259" s="113">
        <f>'Data Cleaning'!B259</f>
        <v>45732</v>
      </c>
      <c r="C259" t="str">
        <f>'Data Cleaning'!C259</f>
        <v>Adidas</v>
      </c>
      <c r="D259" t="str">
        <f>'Data Cleaning'!D259</f>
        <v>Casual</v>
      </c>
      <c r="E259" t="str">
        <f>'Data Cleaning'!E259</f>
        <v>Grey</v>
      </c>
      <c r="F259" t="str">
        <f>'Data Cleaning'!F259</f>
        <v>UK</v>
      </c>
      <c r="G259" t="str">
        <f>'Data Cleaning'!G259</f>
        <v>Mall</v>
      </c>
      <c r="H259" s="2">
        <f>'Data Cleaning'!H259</f>
        <v>183.13</v>
      </c>
      <c r="I259">
        <f>'Data Cleaning'!I259</f>
        <v>9</v>
      </c>
      <c r="J259" s="2">
        <f>'Data Cleaning'!J259</f>
        <v>1648.17</v>
      </c>
    </row>
    <row r="260" spans="1:10" x14ac:dyDescent="0.25">
      <c r="A260" t="str">
        <f>'Data Cleaning'!A260</f>
        <v>S259</v>
      </c>
      <c r="B260" s="113">
        <f>'Data Cleaning'!B260</f>
        <v>45696</v>
      </c>
      <c r="C260" t="str">
        <f>'Data Cleaning'!C260</f>
        <v>Skechers</v>
      </c>
      <c r="D260" t="str">
        <f>'Data Cleaning'!D260</f>
        <v>Formal</v>
      </c>
      <c r="E260" t="str">
        <f>'Data Cleaning'!E260</f>
        <v>Red</v>
      </c>
      <c r="F260" t="str">
        <f>'Data Cleaning'!F260</f>
        <v>Saudi Arabia</v>
      </c>
      <c r="G260" t="str">
        <f>'Data Cleaning'!G260</f>
        <v>Mall</v>
      </c>
      <c r="H260" s="2">
        <f>'Data Cleaning'!H260</f>
        <v>155.41</v>
      </c>
      <c r="I260">
        <f>'Data Cleaning'!I260</f>
        <v>6</v>
      </c>
      <c r="J260" s="2">
        <f>'Data Cleaning'!J260</f>
        <v>932.46</v>
      </c>
    </row>
    <row r="261" spans="1:10" x14ac:dyDescent="0.25">
      <c r="A261" t="str">
        <f>'Data Cleaning'!A261</f>
        <v>S260</v>
      </c>
      <c r="B261" s="113">
        <f>'Data Cleaning'!B261</f>
        <v>45954</v>
      </c>
      <c r="C261" t="str">
        <f>'Data Cleaning'!C261</f>
        <v>Skechers</v>
      </c>
      <c r="D261" t="str">
        <f>'Data Cleaning'!D261</f>
        <v>Sneakers</v>
      </c>
      <c r="E261" t="str">
        <f>'Data Cleaning'!E261</f>
        <v>Green</v>
      </c>
      <c r="F261" t="str">
        <f>'Data Cleaning'!F261</f>
        <v>UAE</v>
      </c>
      <c r="G261" t="str">
        <f>'Data Cleaning'!G261</f>
        <v>Mall</v>
      </c>
      <c r="H261" s="2">
        <f>'Data Cleaning'!H261</f>
        <v>51.38</v>
      </c>
      <c r="I261">
        <f>'Data Cleaning'!I261</f>
        <v>15</v>
      </c>
      <c r="J261" s="2">
        <f>'Data Cleaning'!J261</f>
        <v>770.7</v>
      </c>
    </row>
    <row r="262" spans="1:10" x14ac:dyDescent="0.25">
      <c r="A262" t="str">
        <f>'Data Cleaning'!A262</f>
        <v>S261</v>
      </c>
      <c r="B262" s="113">
        <f>'Data Cleaning'!B262</f>
        <v>45823</v>
      </c>
      <c r="C262" t="str">
        <f>'Data Cleaning'!C262</f>
        <v>Adidas</v>
      </c>
      <c r="D262" t="str">
        <f>'Data Cleaning'!D262</f>
        <v>Formal</v>
      </c>
      <c r="E262" t="str">
        <f>'Data Cleaning'!E262</f>
        <v>Black</v>
      </c>
      <c r="F262" t="str">
        <f>'Data Cleaning'!F262</f>
        <v>Germany</v>
      </c>
      <c r="G262" t="str">
        <f>'Data Cleaning'!G262</f>
        <v>Retail Store</v>
      </c>
      <c r="H262" s="2">
        <f>'Data Cleaning'!H262</f>
        <v>165.3</v>
      </c>
      <c r="I262">
        <f>'Data Cleaning'!I262</f>
        <v>11</v>
      </c>
      <c r="J262" s="2">
        <f>'Data Cleaning'!J262</f>
        <v>1818.3</v>
      </c>
    </row>
    <row r="263" spans="1:10" x14ac:dyDescent="0.25">
      <c r="A263" t="str">
        <f>'Data Cleaning'!A263</f>
        <v>S262</v>
      </c>
      <c r="B263" s="113">
        <f>'Data Cleaning'!B263</f>
        <v>45981</v>
      </c>
      <c r="C263" t="str">
        <f>'Data Cleaning'!C263</f>
        <v>Puma</v>
      </c>
      <c r="D263" t="str">
        <f>'Data Cleaning'!D263</f>
        <v>Sneakers</v>
      </c>
      <c r="E263" t="str">
        <f>'Data Cleaning'!E263</f>
        <v>Black</v>
      </c>
      <c r="F263" t="str">
        <f>'Data Cleaning'!F263</f>
        <v>France</v>
      </c>
      <c r="G263" t="str">
        <f>'Data Cleaning'!G263</f>
        <v>Mall</v>
      </c>
      <c r="H263" s="2">
        <f>'Data Cleaning'!H263</f>
        <v>247.81</v>
      </c>
      <c r="I263">
        <f>'Data Cleaning'!I263</f>
        <v>10</v>
      </c>
      <c r="J263" s="2">
        <f>'Data Cleaning'!J263</f>
        <v>2478.1</v>
      </c>
    </row>
    <row r="264" spans="1:10" x14ac:dyDescent="0.25">
      <c r="A264" t="str">
        <f>'Data Cleaning'!A264</f>
        <v>S263</v>
      </c>
      <c r="B264" s="113">
        <f>'Data Cleaning'!B264</f>
        <v>45695</v>
      </c>
      <c r="C264" t="str">
        <f>'Data Cleaning'!C264</f>
        <v>Reebok</v>
      </c>
      <c r="D264" t="str">
        <f>'Data Cleaning'!D264</f>
        <v>Formal</v>
      </c>
      <c r="E264" t="str">
        <f>'Data Cleaning'!E264</f>
        <v>Black</v>
      </c>
      <c r="F264" t="str">
        <f>'Data Cleaning'!F264</f>
        <v>USA</v>
      </c>
      <c r="G264" t="str">
        <f>'Data Cleaning'!G264</f>
        <v>Retail Store</v>
      </c>
      <c r="H264" s="2">
        <f>'Data Cleaning'!H264</f>
        <v>60.82</v>
      </c>
      <c r="I264">
        <f>'Data Cleaning'!I264</f>
        <v>10</v>
      </c>
      <c r="J264" s="2">
        <f>'Data Cleaning'!J264</f>
        <v>608.20000000000005</v>
      </c>
    </row>
    <row r="265" spans="1:10" x14ac:dyDescent="0.25">
      <c r="A265" t="str">
        <f>'Data Cleaning'!A265</f>
        <v>S264</v>
      </c>
      <c r="B265" s="113">
        <f>'Data Cleaning'!B265</f>
        <v>45804</v>
      </c>
      <c r="C265" t="str">
        <f>'Data Cleaning'!C265</f>
        <v>Skechers</v>
      </c>
      <c r="D265" t="str">
        <f>'Data Cleaning'!D265</f>
        <v>Running</v>
      </c>
      <c r="E265" t="str">
        <f>'Data Cleaning'!E265</f>
        <v>Grey</v>
      </c>
      <c r="F265" t="str">
        <f>'Data Cleaning'!F265</f>
        <v>India</v>
      </c>
      <c r="G265" t="str">
        <f>'Data Cleaning'!G265</f>
        <v>Mall</v>
      </c>
      <c r="H265" s="2">
        <f>'Data Cleaning'!H265</f>
        <v>144.03</v>
      </c>
      <c r="I265">
        <f>'Data Cleaning'!I265</f>
        <v>3</v>
      </c>
      <c r="J265" s="2">
        <f>'Data Cleaning'!J265</f>
        <v>432.09</v>
      </c>
    </row>
    <row r="266" spans="1:10" x14ac:dyDescent="0.25">
      <c r="A266" t="str">
        <f>'Data Cleaning'!A266</f>
        <v>S265</v>
      </c>
      <c r="B266" s="113">
        <f>'Data Cleaning'!B266</f>
        <v>45854</v>
      </c>
      <c r="C266" t="str">
        <f>'Data Cleaning'!C266</f>
        <v>New Balance</v>
      </c>
      <c r="D266" t="str">
        <f>'Data Cleaning'!D266</f>
        <v>Sneakers</v>
      </c>
      <c r="E266" t="str">
        <f>'Data Cleaning'!E266</f>
        <v>Green</v>
      </c>
      <c r="F266" t="str">
        <f>'Data Cleaning'!F266</f>
        <v>USA</v>
      </c>
      <c r="G266" t="str">
        <f>'Data Cleaning'!G266</f>
        <v>Retail Store</v>
      </c>
      <c r="H266" s="2">
        <f>'Data Cleaning'!H266</f>
        <v>223.02</v>
      </c>
      <c r="I266">
        <f>'Data Cleaning'!I266</f>
        <v>15</v>
      </c>
      <c r="J266" s="2">
        <f>'Data Cleaning'!J266</f>
        <v>3345.3</v>
      </c>
    </row>
    <row r="267" spans="1:10" x14ac:dyDescent="0.25">
      <c r="A267" t="str">
        <f>'Data Cleaning'!A267</f>
        <v>S266</v>
      </c>
      <c r="B267" s="113">
        <f>'Data Cleaning'!B267</f>
        <v>45950</v>
      </c>
      <c r="C267" t="str">
        <f>'Data Cleaning'!C267</f>
        <v>Puma</v>
      </c>
      <c r="D267" t="str">
        <f>'Data Cleaning'!D267</f>
        <v>Sneakers</v>
      </c>
      <c r="E267" t="str">
        <f>'Data Cleaning'!E267</f>
        <v>Red</v>
      </c>
      <c r="F267" t="str">
        <f>'Data Cleaning'!F267</f>
        <v>India</v>
      </c>
      <c r="G267" t="str">
        <f>'Data Cleaning'!G267</f>
        <v>Online</v>
      </c>
      <c r="H267" s="2">
        <f>'Data Cleaning'!H267</f>
        <v>192.97</v>
      </c>
      <c r="I267">
        <f>'Data Cleaning'!I267</f>
        <v>7</v>
      </c>
      <c r="J267" s="2">
        <f>'Data Cleaning'!J267</f>
        <v>1350.79</v>
      </c>
    </row>
    <row r="268" spans="1:10" x14ac:dyDescent="0.25">
      <c r="A268" t="str">
        <f>'Data Cleaning'!A268</f>
        <v>S267</v>
      </c>
      <c r="B268" s="113">
        <f>'Data Cleaning'!B268</f>
        <v>45689</v>
      </c>
      <c r="C268" t="str">
        <f>'Data Cleaning'!C268</f>
        <v>Nike</v>
      </c>
      <c r="D268" t="str">
        <f>'Data Cleaning'!D268</f>
        <v>Sports</v>
      </c>
      <c r="E268" t="str">
        <f>'Data Cleaning'!E268</f>
        <v>Green</v>
      </c>
      <c r="F268" t="str">
        <f>'Data Cleaning'!F268</f>
        <v>USA</v>
      </c>
      <c r="G268" t="str">
        <f>'Data Cleaning'!G268</f>
        <v>Mall</v>
      </c>
      <c r="H268" s="2">
        <f>'Data Cleaning'!H268</f>
        <v>183.34</v>
      </c>
      <c r="I268">
        <f>'Data Cleaning'!I268</f>
        <v>15</v>
      </c>
      <c r="J268" s="2">
        <f>'Data Cleaning'!J268</f>
        <v>2750.1</v>
      </c>
    </row>
    <row r="269" spans="1:10" x14ac:dyDescent="0.25">
      <c r="A269" t="str">
        <f>'Data Cleaning'!A269</f>
        <v>S268</v>
      </c>
      <c r="B269" s="113">
        <f>'Data Cleaning'!B269</f>
        <v>45988</v>
      </c>
      <c r="C269" t="str">
        <f>'Data Cleaning'!C269</f>
        <v>Nike</v>
      </c>
      <c r="D269" t="str">
        <f>'Data Cleaning'!D269</f>
        <v>Casual</v>
      </c>
      <c r="E269" t="str">
        <f>'Data Cleaning'!E269</f>
        <v>Green</v>
      </c>
      <c r="F269" t="str">
        <f>'Data Cleaning'!F269</f>
        <v>Germany</v>
      </c>
      <c r="G269" t="str">
        <f>'Data Cleaning'!G269</f>
        <v>Retail Store</v>
      </c>
      <c r="H269" s="2">
        <f>'Data Cleaning'!H269</f>
        <v>184.55</v>
      </c>
      <c r="I269">
        <f>'Data Cleaning'!I269</f>
        <v>6</v>
      </c>
      <c r="J269" s="2">
        <f>'Data Cleaning'!J269</f>
        <v>1107.3</v>
      </c>
    </row>
    <row r="270" spans="1:10" x14ac:dyDescent="0.25">
      <c r="A270" t="str">
        <f>'Data Cleaning'!A270</f>
        <v>S269</v>
      </c>
      <c r="B270" s="113">
        <f>'Data Cleaning'!B270</f>
        <v>45926</v>
      </c>
      <c r="C270" t="str">
        <f>'Data Cleaning'!C270</f>
        <v>New Balance</v>
      </c>
      <c r="D270" t="str">
        <f>'Data Cleaning'!D270</f>
        <v>Casual</v>
      </c>
      <c r="E270" t="str">
        <f>'Data Cleaning'!E270</f>
        <v>Blue</v>
      </c>
      <c r="F270" t="str">
        <f>'Data Cleaning'!F270</f>
        <v>France</v>
      </c>
      <c r="G270" t="str">
        <f>'Data Cleaning'!G270</f>
        <v>Retail Store</v>
      </c>
      <c r="H270" s="2">
        <f>'Data Cleaning'!H270</f>
        <v>109.09</v>
      </c>
      <c r="I270">
        <f>'Data Cleaning'!I270</f>
        <v>17</v>
      </c>
      <c r="J270" s="2">
        <f>'Data Cleaning'!J270</f>
        <v>1854.53</v>
      </c>
    </row>
    <row r="271" spans="1:10" x14ac:dyDescent="0.25">
      <c r="A271" t="str">
        <f>'Data Cleaning'!A271</f>
        <v>S270</v>
      </c>
      <c r="B271" s="113">
        <f>'Data Cleaning'!B271</f>
        <v>45856</v>
      </c>
      <c r="C271" t="str">
        <f>'Data Cleaning'!C271</f>
        <v>Puma</v>
      </c>
      <c r="D271" t="str">
        <f>'Data Cleaning'!D271</f>
        <v>Boots</v>
      </c>
      <c r="E271" t="str">
        <f>'Data Cleaning'!E271</f>
        <v>Grey</v>
      </c>
      <c r="F271" t="str">
        <f>'Data Cleaning'!F271</f>
        <v>USA</v>
      </c>
      <c r="G271" t="str">
        <f>'Data Cleaning'!G271</f>
        <v>Mall</v>
      </c>
      <c r="H271" s="2">
        <f>'Data Cleaning'!H271</f>
        <v>94.59</v>
      </c>
      <c r="I271">
        <f>'Data Cleaning'!I271</f>
        <v>14</v>
      </c>
      <c r="J271" s="2">
        <f>'Data Cleaning'!J271</f>
        <v>1324.26</v>
      </c>
    </row>
    <row r="272" spans="1:10" x14ac:dyDescent="0.25">
      <c r="A272" t="str">
        <f>'Data Cleaning'!A272</f>
        <v>S271</v>
      </c>
      <c r="B272" s="113">
        <f>'Data Cleaning'!B272</f>
        <v>45989</v>
      </c>
      <c r="C272" t="str">
        <f>'Data Cleaning'!C272</f>
        <v>Nike</v>
      </c>
      <c r="D272" t="str">
        <f>'Data Cleaning'!D272</f>
        <v>Sports</v>
      </c>
      <c r="E272" t="str">
        <f>'Data Cleaning'!E272</f>
        <v>Black</v>
      </c>
      <c r="F272" t="str">
        <f>'Data Cleaning'!F272</f>
        <v>India</v>
      </c>
      <c r="G272" t="str">
        <f>'Data Cleaning'!G272</f>
        <v>Mall</v>
      </c>
      <c r="H272" s="2">
        <f>'Data Cleaning'!H272</f>
        <v>208.06</v>
      </c>
      <c r="I272">
        <f>'Data Cleaning'!I272</f>
        <v>11</v>
      </c>
      <c r="J272" s="2">
        <f>'Data Cleaning'!J272</f>
        <v>2288.66</v>
      </c>
    </row>
    <row r="273" spans="1:10" x14ac:dyDescent="0.25">
      <c r="A273" t="str">
        <f>'Data Cleaning'!A273</f>
        <v>S272</v>
      </c>
      <c r="B273" s="113">
        <f>'Data Cleaning'!B273</f>
        <v>45855</v>
      </c>
      <c r="C273" t="str">
        <f>'Data Cleaning'!C273</f>
        <v>Puma</v>
      </c>
      <c r="D273" t="str">
        <f>'Data Cleaning'!D273</f>
        <v>Boots</v>
      </c>
      <c r="E273" t="str">
        <f>'Data Cleaning'!E273</f>
        <v>Green</v>
      </c>
      <c r="F273" t="str">
        <f>'Data Cleaning'!F273</f>
        <v>India</v>
      </c>
      <c r="G273" t="str">
        <f>'Data Cleaning'!G273</f>
        <v>Online</v>
      </c>
      <c r="H273" s="2">
        <f>'Data Cleaning'!H273</f>
        <v>208.22</v>
      </c>
      <c r="I273">
        <f>'Data Cleaning'!I273</f>
        <v>10</v>
      </c>
      <c r="J273" s="2">
        <f>'Data Cleaning'!J273</f>
        <v>2082.1999999999998</v>
      </c>
    </row>
    <row r="274" spans="1:10" x14ac:dyDescent="0.25">
      <c r="A274" t="str">
        <f>'Data Cleaning'!A274</f>
        <v>S273</v>
      </c>
      <c r="B274" s="113">
        <f>'Data Cleaning'!B274</f>
        <v>45828</v>
      </c>
      <c r="C274" t="str">
        <f>'Data Cleaning'!C274</f>
        <v>New Balance</v>
      </c>
      <c r="D274" t="str">
        <f>'Data Cleaning'!D274</f>
        <v>Boots</v>
      </c>
      <c r="E274" t="str">
        <f>'Data Cleaning'!E274</f>
        <v>White</v>
      </c>
      <c r="F274" t="str">
        <f>'Data Cleaning'!F274</f>
        <v>France</v>
      </c>
      <c r="G274" t="str">
        <f>'Data Cleaning'!G274</f>
        <v>Retail Store</v>
      </c>
      <c r="H274" s="2">
        <f>'Data Cleaning'!H274</f>
        <v>220.76</v>
      </c>
      <c r="I274">
        <f>'Data Cleaning'!I274</f>
        <v>3</v>
      </c>
      <c r="J274" s="2">
        <f>'Data Cleaning'!J274</f>
        <v>662.28</v>
      </c>
    </row>
    <row r="275" spans="1:10" x14ac:dyDescent="0.25">
      <c r="A275" t="str">
        <f>'Data Cleaning'!A275</f>
        <v>S274</v>
      </c>
      <c r="B275" s="113">
        <f>'Data Cleaning'!B275</f>
        <v>45993</v>
      </c>
      <c r="C275" t="str">
        <f>'Data Cleaning'!C275</f>
        <v>Adidas</v>
      </c>
      <c r="D275" t="str">
        <f>'Data Cleaning'!D275</f>
        <v>Sneakers</v>
      </c>
      <c r="E275" t="str">
        <f>'Data Cleaning'!E275</f>
        <v>Green</v>
      </c>
      <c r="F275" t="str">
        <f>'Data Cleaning'!F275</f>
        <v>USA</v>
      </c>
      <c r="G275" t="str">
        <f>'Data Cleaning'!G275</f>
        <v>Retail Store</v>
      </c>
      <c r="H275" s="2">
        <f>'Data Cleaning'!H275</f>
        <v>230.91</v>
      </c>
      <c r="I275">
        <f>'Data Cleaning'!I275</f>
        <v>13</v>
      </c>
      <c r="J275" s="2">
        <f>'Data Cleaning'!J275</f>
        <v>3001.83</v>
      </c>
    </row>
    <row r="276" spans="1:10" x14ac:dyDescent="0.25">
      <c r="A276" t="str">
        <f>'Data Cleaning'!A276</f>
        <v>S275</v>
      </c>
      <c r="B276" s="113">
        <f>'Data Cleaning'!B276</f>
        <v>45944</v>
      </c>
      <c r="C276" t="str">
        <f>'Data Cleaning'!C276</f>
        <v>Skechers</v>
      </c>
      <c r="D276" t="str">
        <f>'Data Cleaning'!D276</f>
        <v>Sports</v>
      </c>
      <c r="E276" t="str">
        <f>'Data Cleaning'!E276</f>
        <v>White</v>
      </c>
      <c r="F276" t="str">
        <f>'Data Cleaning'!F276</f>
        <v>UAE</v>
      </c>
      <c r="G276" t="str">
        <f>'Data Cleaning'!G276</f>
        <v>Mall</v>
      </c>
      <c r="H276" s="2">
        <f>'Data Cleaning'!H276</f>
        <v>142.5</v>
      </c>
      <c r="I276">
        <f>'Data Cleaning'!I276</f>
        <v>13</v>
      </c>
      <c r="J276" s="2">
        <f>'Data Cleaning'!J276</f>
        <v>1852.5</v>
      </c>
    </row>
    <row r="277" spans="1:10" x14ac:dyDescent="0.25">
      <c r="A277" t="str">
        <f>'Data Cleaning'!A277</f>
        <v>S276</v>
      </c>
      <c r="B277" s="113">
        <f>'Data Cleaning'!B277</f>
        <v>46008</v>
      </c>
      <c r="C277" t="str">
        <f>'Data Cleaning'!C277</f>
        <v>Nike</v>
      </c>
      <c r="D277" t="str">
        <f>'Data Cleaning'!D277</f>
        <v>Boots</v>
      </c>
      <c r="E277" t="str">
        <f>'Data Cleaning'!E277</f>
        <v>Green</v>
      </c>
      <c r="F277" t="str">
        <f>'Data Cleaning'!F277</f>
        <v>Germany</v>
      </c>
      <c r="G277" t="str">
        <f>'Data Cleaning'!G277</f>
        <v>Mall</v>
      </c>
      <c r="H277" s="2">
        <f>'Data Cleaning'!H277</f>
        <v>140.33000000000001</v>
      </c>
      <c r="I277">
        <f>'Data Cleaning'!I277</f>
        <v>17</v>
      </c>
      <c r="J277" s="2">
        <f>'Data Cleaning'!J277</f>
        <v>2385.61</v>
      </c>
    </row>
    <row r="278" spans="1:10" x14ac:dyDescent="0.25">
      <c r="A278" t="str">
        <f>'Data Cleaning'!A278</f>
        <v>S277</v>
      </c>
      <c r="B278" s="113">
        <f>'Data Cleaning'!B278</f>
        <v>45843</v>
      </c>
      <c r="C278" t="str">
        <f>'Data Cleaning'!C278</f>
        <v>Puma</v>
      </c>
      <c r="D278" t="str">
        <f>'Data Cleaning'!D278</f>
        <v>Sports</v>
      </c>
      <c r="E278" t="str">
        <f>'Data Cleaning'!E278</f>
        <v>White</v>
      </c>
      <c r="F278" t="str">
        <f>'Data Cleaning'!F278</f>
        <v>UK</v>
      </c>
      <c r="G278" t="str">
        <f>'Data Cleaning'!G278</f>
        <v>Retail Store</v>
      </c>
      <c r="H278" s="2">
        <f>'Data Cleaning'!H278</f>
        <v>205.62</v>
      </c>
      <c r="I278">
        <f>'Data Cleaning'!I278</f>
        <v>1</v>
      </c>
      <c r="J278" s="2">
        <f>'Data Cleaning'!J278</f>
        <v>205.62</v>
      </c>
    </row>
    <row r="279" spans="1:10" x14ac:dyDescent="0.25">
      <c r="A279" t="str">
        <f>'Data Cleaning'!A279</f>
        <v>S278</v>
      </c>
      <c r="B279" s="113">
        <f>'Data Cleaning'!B279</f>
        <v>45906</v>
      </c>
      <c r="C279" t="str">
        <f>'Data Cleaning'!C279</f>
        <v>Adidas</v>
      </c>
      <c r="D279" t="str">
        <f>'Data Cleaning'!D279</f>
        <v>Casual</v>
      </c>
      <c r="E279" t="str">
        <f>'Data Cleaning'!E279</f>
        <v>White</v>
      </c>
      <c r="F279" t="str">
        <f>'Data Cleaning'!F279</f>
        <v>USA</v>
      </c>
      <c r="G279" t="str">
        <f>'Data Cleaning'!G279</f>
        <v>Retail Store</v>
      </c>
      <c r="H279" s="2">
        <f>'Data Cleaning'!H279</f>
        <v>172.99</v>
      </c>
      <c r="I279">
        <f>'Data Cleaning'!I279</f>
        <v>7</v>
      </c>
      <c r="J279" s="2">
        <f>'Data Cleaning'!J279</f>
        <v>1210.93</v>
      </c>
    </row>
    <row r="280" spans="1:10" x14ac:dyDescent="0.25">
      <c r="A280" t="str">
        <f>'Data Cleaning'!A280</f>
        <v>S279</v>
      </c>
      <c r="B280" s="113">
        <f>'Data Cleaning'!B280</f>
        <v>45709</v>
      </c>
      <c r="C280" t="str">
        <f>'Data Cleaning'!C280</f>
        <v>New Balance</v>
      </c>
      <c r="D280" t="str">
        <f>'Data Cleaning'!D280</f>
        <v>Boots</v>
      </c>
      <c r="E280" t="str">
        <f>'Data Cleaning'!E280</f>
        <v>Grey</v>
      </c>
      <c r="F280" t="str">
        <f>'Data Cleaning'!F280</f>
        <v>USA</v>
      </c>
      <c r="G280" t="str">
        <f>'Data Cleaning'!G280</f>
        <v>Mall</v>
      </c>
      <c r="H280" s="2">
        <f>'Data Cleaning'!H280</f>
        <v>184.43</v>
      </c>
      <c r="I280">
        <f>'Data Cleaning'!I280</f>
        <v>17</v>
      </c>
      <c r="J280" s="2">
        <f>'Data Cleaning'!J280</f>
        <v>3135.31</v>
      </c>
    </row>
    <row r="281" spans="1:10" x14ac:dyDescent="0.25">
      <c r="A281" t="str">
        <f>'Data Cleaning'!A281</f>
        <v>S280</v>
      </c>
      <c r="B281" s="113">
        <f>'Data Cleaning'!B281</f>
        <v>45830</v>
      </c>
      <c r="C281" t="str">
        <f>'Data Cleaning'!C281</f>
        <v>Adidas</v>
      </c>
      <c r="D281" t="str">
        <f>'Data Cleaning'!D281</f>
        <v>Sneakers</v>
      </c>
      <c r="E281" t="str">
        <f>'Data Cleaning'!E281</f>
        <v>Red</v>
      </c>
      <c r="F281" t="str">
        <f>'Data Cleaning'!F281</f>
        <v>UK</v>
      </c>
      <c r="G281" t="str">
        <f>'Data Cleaning'!G281</f>
        <v>Online</v>
      </c>
      <c r="H281" s="2">
        <f>'Data Cleaning'!H281</f>
        <v>205.07</v>
      </c>
      <c r="I281">
        <f>'Data Cleaning'!I281</f>
        <v>20</v>
      </c>
      <c r="J281" s="2">
        <f>'Data Cleaning'!J281</f>
        <v>4101.3999999999996</v>
      </c>
    </row>
    <row r="282" spans="1:10" x14ac:dyDescent="0.25">
      <c r="A282" t="str">
        <f>'Data Cleaning'!A282</f>
        <v>S281</v>
      </c>
      <c r="B282" s="113">
        <f>'Data Cleaning'!B282</f>
        <v>45750</v>
      </c>
      <c r="C282" t="str">
        <f>'Data Cleaning'!C282</f>
        <v>Adidas</v>
      </c>
      <c r="D282" t="str">
        <f>'Data Cleaning'!D282</f>
        <v>Boots</v>
      </c>
      <c r="E282" t="str">
        <f>'Data Cleaning'!E282</f>
        <v>Red</v>
      </c>
      <c r="F282" t="str">
        <f>'Data Cleaning'!F282</f>
        <v>USA</v>
      </c>
      <c r="G282" t="str">
        <f>'Data Cleaning'!G282</f>
        <v>Retail Store</v>
      </c>
      <c r="H282" s="2">
        <f>'Data Cleaning'!H282</f>
        <v>225.8</v>
      </c>
      <c r="I282">
        <f>'Data Cleaning'!I282</f>
        <v>20</v>
      </c>
      <c r="J282" s="2">
        <f>'Data Cleaning'!J282</f>
        <v>4516</v>
      </c>
    </row>
    <row r="283" spans="1:10" x14ac:dyDescent="0.25">
      <c r="A283" t="str">
        <f>'Data Cleaning'!A283</f>
        <v>S282</v>
      </c>
      <c r="B283" s="113">
        <f>'Data Cleaning'!B283</f>
        <v>45844</v>
      </c>
      <c r="C283" t="str">
        <f>'Data Cleaning'!C283</f>
        <v>Reebok</v>
      </c>
      <c r="D283" t="str">
        <f>'Data Cleaning'!D283</f>
        <v>Sneakers</v>
      </c>
      <c r="E283" t="str">
        <f>'Data Cleaning'!E283</f>
        <v>Blue</v>
      </c>
      <c r="F283" t="str">
        <f>'Data Cleaning'!F283</f>
        <v>Saudi Arabia</v>
      </c>
      <c r="G283" t="str">
        <f>'Data Cleaning'!G283</f>
        <v>Mall</v>
      </c>
      <c r="H283" s="2">
        <f>'Data Cleaning'!H283</f>
        <v>104.36</v>
      </c>
      <c r="I283">
        <f>'Data Cleaning'!I283</f>
        <v>8</v>
      </c>
      <c r="J283" s="2">
        <f>'Data Cleaning'!J283</f>
        <v>834.88</v>
      </c>
    </row>
    <row r="284" spans="1:10" x14ac:dyDescent="0.25">
      <c r="A284" t="str">
        <f>'Data Cleaning'!A284</f>
        <v>S283</v>
      </c>
      <c r="B284" s="113">
        <f>'Data Cleaning'!B284</f>
        <v>45887</v>
      </c>
      <c r="C284" t="str">
        <f>'Data Cleaning'!C284</f>
        <v>New Balance</v>
      </c>
      <c r="D284" t="str">
        <f>'Data Cleaning'!D284</f>
        <v>Casual</v>
      </c>
      <c r="E284" t="str">
        <f>'Data Cleaning'!E284</f>
        <v>Blue</v>
      </c>
      <c r="F284" t="str">
        <f>'Data Cleaning'!F284</f>
        <v>Saudi Arabia</v>
      </c>
      <c r="G284" t="str">
        <f>'Data Cleaning'!G284</f>
        <v>Retail Store</v>
      </c>
      <c r="H284" s="2">
        <f>'Data Cleaning'!H284</f>
        <v>112.63</v>
      </c>
      <c r="I284">
        <f>'Data Cleaning'!I284</f>
        <v>8</v>
      </c>
      <c r="J284" s="2">
        <f>'Data Cleaning'!J284</f>
        <v>901.04</v>
      </c>
    </row>
    <row r="285" spans="1:10" x14ac:dyDescent="0.25">
      <c r="A285" t="str">
        <f>'Data Cleaning'!A285</f>
        <v>S284</v>
      </c>
      <c r="B285" s="113">
        <f>'Data Cleaning'!B285</f>
        <v>45757</v>
      </c>
      <c r="C285" t="str">
        <f>'Data Cleaning'!C285</f>
        <v>Skechers</v>
      </c>
      <c r="D285" t="str">
        <f>'Data Cleaning'!D285</f>
        <v>Sneakers</v>
      </c>
      <c r="E285" t="str">
        <f>'Data Cleaning'!E285</f>
        <v>Red</v>
      </c>
      <c r="F285" t="str">
        <f>'Data Cleaning'!F285</f>
        <v>Germany</v>
      </c>
      <c r="G285" t="str">
        <f>'Data Cleaning'!G285</f>
        <v>Retail Store</v>
      </c>
      <c r="H285" s="2">
        <f>'Data Cleaning'!H285</f>
        <v>50.68</v>
      </c>
      <c r="I285">
        <f>'Data Cleaning'!I285</f>
        <v>12</v>
      </c>
      <c r="J285" s="2">
        <f>'Data Cleaning'!J285</f>
        <v>608.16</v>
      </c>
    </row>
    <row r="286" spans="1:10" x14ac:dyDescent="0.25">
      <c r="A286" t="str">
        <f>'Data Cleaning'!A286</f>
        <v>S285</v>
      </c>
      <c r="B286" s="113">
        <f>'Data Cleaning'!B286</f>
        <v>45853</v>
      </c>
      <c r="C286" t="str">
        <f>'Data Cleaning'!C286</f>
        <v>New Balance</v>
      </c>
      <c r="D286" t="str">
        <f>'Data Cleaning'!D286</f>
        <v>Formal</v>
      </c>
      <c r="E286" t="str">
        <f>'Data Cleaning'!E286</f>
        <v>White</v>
      </c>
      <c r="F286" t="str">
        <f>'Data Cleaning'!F286</f>
        <v>Saudi Arabia</v>
      </c>
      <c r="G286" t="str">
        <f>'Data Cleaning'!G286</f>
        <v>Online</v>
      </c>
      <c r="H286" s="2">
        <f>'Data Cleaning'!H286</f>
        <v>157.22</v>
      </c>
      <c r="I286">
        <f>'Data Cleaning'!I286</f>
        <v>17</v>
      </c>
      <c r="J286" s="2">
        <f>'Data Cleaning'!J286</f>
        <v>2672.74</v>
      </c>
    </row>
    <row r="287" spans="1:10" x14ac:dyDescent="0.25">
      <c r="A287" t="str">
        <f>'Data Cleaning'!A287</f>
        <v>S286</v>
      </c>
      <c r="B287" s="113">
        <f>'Data Cleaning'!B287</f>
        <v>45967</v>
      </c>
      <c r="C287" t="str">
        <f>'Data Cleaning'!C287</f>
        <v>Puma</v>
      </c>
      <c r="D287" t="str">
        <f>'Data Cleaning'!D287</f>
        <v>Running</v>
      </c>
      <c r="E287" t="str">
        <f>'Data Cleaning'!E287</f>
        <v>Green</v>
      </c>
      <c r="F287" t="str">
        <f>'Data Cleaning'!F287</f>
        <v>Germany</v>
      </c>
      <c r="G287" t="str">
        <f>'Data Cleaning'!G287</f>
        <v>Retail Store</v>
      </c>
      <c r="H287" s="2">
        <f>'Data Cleaning'!H287</f>
        <v>37.909999999999997</v>
      </c>
      <c r="I287">
        <f>'Data Cleaning'!I287</f>
        <v>5</v>
      </c>
      <c r="J287" s="2">
        <f>'Data Cleaning'!J287</f>
        <v>189.55</v>
      </c>
    </row>
    <row r="288" spans="1:10" x14ac:dyDescent="0.25">
      <c r="A288" t="str">
        <f>'Data Cleaning'!A288</f>
        <v>S287</v>
      </c>
      <c r="B288" s="113">
        <f>'Data Cleaning'!B288</f>
        <v>45941</v>
      </c>
      <c r="C288" t="str">
        <f>'Data Cleaning'!C288</f>
        <v>Skechers</v>
      </c>
      <c r="D288" t="str">
        <f>'Data Cleaning'!D288</f>
        <v>Sneakers</v>
      </c>
      <c r="E288" t="str">
        <f>'Data Cleaning'!E288</f>
        <v>Black</v>
      </c>
      <c r="F288" t="str">
        <f>'Data Cleaning'!F288</f>
        <v>France</v>
      </c>
      <c r="G288" t="str">
        <f>'Data Cleaning'!G288</f>
        <v>Online</v>
      </c>
      <c r="H288" s="2">
        <f>'Data Cleaning'!H288</f>
        <v>132.43</v>
      </c>
      <c r="I288">
        <f>'Data Cleaning'!I288</f>
        <v>4</v>
      </c>
      <c r="J288" s="2">
        <f>'Data Cleaning'!J288</f>
        <v>529.72</v>
      </c>
    </row>
    <row r="289" spans="1:10" x14ac:dyDescent="0.25">
      <c r="A289" t="str">
        <f>'Data Cleaning'!A289</f>
        <v>S288</v>
      </c>
      <c r="B289" s="113">
        <f>'Data Cleaning'!B289</f>
        <v>45740</v>
      </c>
      <c r="C289" t="str">
        <f>'Data Cleaning'!C289</f>
        <v>Reebok</v>
      </c>
      <c r="D289" t="str">
        <f>'Data Cleaning'!D289</f>
        <v>Sneakers</v>
      </c>
      <c r="E289" t="str">
        <f>'Data Cleaning'!E289</f>
        <v>White</v>
      </c>
      <c r="F289" t="str">
        <f>'Data Cleaning'!F289</f>
        <v>Saudi Arabia</v>
      </c>
      <c r="G289" t="str">
        <f>'Data Cleaning'!G289</f>
        <v>Retail Store</v>
      </c>
      <c r="H289" s="2">
        <f>'Data Cleaning'!H289</f>
        <v>149.38</v>
      </c>
      <c r="I289">
        <f>'Data Cleaning'!I289</f>
        <v>9</v>
      </c>
      <c r="J289" s="2">
        <f>'Data Cleaning'!J289</f>
        <v>1344.42</v>
      </c>
    </row>
    <row r="290" spans="1:10" x14ac:dyDescent="0.25">
      <c r="A290" t="str">
        <f>'Data Cleaning'!A290</f>
        <v>S289</v>
      </c>
      <c r="B290" s="113">
        <f>'Data Cleaning'!B290</f>
        <v>45704</v>
      </c>
      <c r="C290" t="str">
        <f>'Data Cleaning'!C290</f>
        <v>Reebok</v>
      </c>
      <c r="D290" t="str">
        <f>'Data Cleaning'!D290</f>
        <v>Sports</v>
      </c>
      <c r="E290" t="str">
        <f>'Data Cleaning'!E290</f>
        <v>Black</v>
      </c>
      <c r="F290" t="str">
        <f>'Data Cleaning'!F290</f>
        <v>Germany</v>
      </c>
      <c r="G290" t="str">
        <f>'Data Cleaning'!G290</f>
        <v>Online</v>
      </c>
      <c r="H290" s="2">
        <f>'Data Cleaning'!H290</f>
        <v>93.04</v>
      </c>
      <c r="I290">
        <f>'Data Cleaning'!I290</f>
        <v>8</v>
      </c>
      <c r="J290" s="2">
        <f>'Data Cleaning'!J290</f>
        <v>744.32</v>
      </c>
    </row>
    <row r="291" spans="1:10" x14ac:dyDescent="0.25">
      <c r="A291" t="str">
        <f>'Data Cleaning'!A291</f>
        <v>S290</v>
      </c>
      <c r="B291" s="113">
        <f>'Data Cleaning'!B291</f>
        <v>45860</v>
      </c>
      <c r="C291" t="str">
        <f>'Data Cleaning'!C291</f>
        <v>Puma</v>
      </c>
      <c r="D291" t="str">
        <f>'Data Cleaning'!D291</f>
        <v>Casual</v>
      </c>
      <c r="E291" t="str">
        <f>'Data Cleaning'!E291</f>
        <v>Red</v>
      </c>
      <c r="F291" t="str">
        <f>'Data Cleaning'!F291</f>
        <v>USA</v>
      </c>
      <c r="G291" t="str">
        <f>'Data Cleaning'!G291</f>
        <v>Retail Store</v>
      </c>
      <c r="H291" s="2">
        <f>'Data Cleaning'!H291</f>
        <v>159.97999999999999</v>
      </c>
      <c r="I291">
        <f>'Data Cleaning'!I291</f>
        <v>17</v>
      </c>
      <c r="J291" s="2">
        <f>'Data Cleaning'!J291</f>
        <v>2719.66</v>
      </c>
    </row>
    <row r="292" spans="1:10" x14ac:dyDescent="0.25">
      <c r="A292" t="str">
        <f>'Data Cleaning'!A292</f>
        <v>S291</v>
      </c>
      <c r="B292" s="113">
        <f>'Data Cleaning'!B292</f>
        <v>45772</v>
      </c>
      <c r="C292" t="str">
        <f>'Data Cleaning'!C292</f>
        <v>Puma</v>
      </c>
      <c r="D292" t="str">
        <f>'Data Cleaning'!D292</f>
        <v>Running</v>
      </c>
      <c r="E292" t="str">
        <f>'Data Cleaning'!E292</f>
        <v>Green</v>
      </c>
      <c r="F292" t="str">
        <f>'Data Cleaning'!F292</f>
        <v>UAE</v>
      </c>
      <c r="G292" t="str">
        <f>'Data Cleaning'!G292</f>
        <v>Retail Store</v>
      </c>
      <c r="H292" s="2">
        <f>'Data Cleaning'!H292</f>
        <v>36.71</v>
      </c>
      <c r="I292">
        <f>'Data Cleaning'!I292</f>
        <v>1</v>
      </c>
      <c r="J292" s="2">
        <f>'Data Cleaning'!J292</f>
        <v>36.71</v>
      </c>
    </row>
    <row r="293" spans="1:10" x14ac:dyDescent="0.25">
      <c r="A293" t="str">
        <f>'Data Cleaning'!A293</f>
        <v>S292</v>
      </c>
      <c r="B293" s="113">
        <f>'Data Cleaning'!B293</f>
        <v>45732</v>
      </c>
      <c r="C293" t="str">
        <f>'Data Cleaning'!C293</f>
        <v>Nike</v>
      </c>
      <c r="D293" t="str">
        <f>'Data Cleaning'!D293</f>
        <v>Sports</v>
      </c>
      <c r="E293" t="str">
        <f>'Data Cleaning'!E293</f>
        <v>Red</v>
      </c>
      <c r="F293" t="str">
        <f>'Data Cleaning'!F293</f>
        <v>UAE</v>
      </c>
      <c r="G293" t="str">
        <f>'Data Cleaning'!G293</f>
        <v>Online</v>
      </c>
      <c r="H293" s="2">
        <f>'Data Cleaning'!H293</f>
        <v>38.22</v>
      </c>
      <c r="I293">
        <f>'Data Cleaning'!I293</f>
        <v>5</v>
      </c>
      <c r="J293" s="2">
        <f>'Data Cleaning'!J293</f>
        <v>191.1</v>
      </c>
    </row>
    <row r="294" spans="1:10" x14ac:dyDescent="0.25">
      <c r="A294" t="str">
        <f>'Data Cleaning'!A294</f>
        <v>S293</v>
      </c>
      <c r="B294" s="113">
        <f>'Data Cleaning'!B294</f>
        <v>46019</v>
      </c>
      <c r="C294" t="str">
        <f>'Data Cleaning'!C294</f>
        <v>Reebok</v>
      </c>
      <c r="D294" t="str">
        <f>'Data Cleaning'!D294</f>
        <v>Sneakers</v>
      </c>
      <c r="E294" t="str">
        <f>'Data Cleaning'!E294</f>
        <v>Black</v>
      </c>
      <c r="F294" t="str">
        <f>'Data Cleaning'!F294</f>
        <v>USA</v>
      </c>
      <c r="G294" t="str">
        <f>'Data Cleaning'!G294</f>
        <v>Online</v>
      </c>
      <c r="H294" s="2">
        <f>'Data Cleaning'!H294</f>
        <v>210.97</v>
      </c>
      <c r="I294">
        <f>'Data Cleaning'!I294</f>
        <v>16</v>
      </c>
      <c r="J294" s="2">
        <f>'Data Cleaning'!J294</f>
        <v>3375.52</v>
      </c>
    </row>
    <row r="295" spans="1:10" x14ac:dyDescent="0.25">
      <c r="A295" t="str">
        <f>'Data Cleaning'!A295</f>
        <v>S294</v>
      </c>
      <c r="B295" s="113">
        <f>'Data Cleaning'!B295</f>
        <v>45789</v>
      </c>
      <c r="C295" t="str">
        <f>'Data Cleaning'!C295</f>
        <v>Adidas</v>
      </c>
      <c r="D295" t="str">
        <f>'Data Cleaning'!D295</f>
        <v>Sneakers</v>
      </c>
      <c r="E295" t="str">
        <f>'Data Cleaning'!E295</f>
        <v>Green</v>
      </c>
      <c r="F295" t="str">
        <f>'Data Cleaning'!F295</f>
        <v>India</v>
      </c>
      <c r="G295" t="str">
        <f>'Data Cleaning'!G295</f>
        <v>Mall</v>
      </c>
      <c r="H295" s="2">
        <f>'Data Cleaning'!H295</f>
        <v>109.24</v>
      </c>
      <c r="I295">
        <f>'Data Cleaning'!I295</f>
        <v>7</v>
      </c>
      <c r="J295" s="2">
        <f>'Data Cleaning'!J295</f>
        <v>764.68</v>
      </c>
    </row>
    <row r="296" spans="1:10" x14ac:dyDescent="0.25">
      <c r="A296" t="str">
        <f>'Data Cleaning'!A296</f>
        <v>S295</v>
      </c>
      <c r="B296" s="113">
        <f>'Data Cleaning'!B296</f>
        <v>45874</v>
      </c>
      <c r="C296" t="str">
        <f>'Data Cleaning'!C296</f>
        <v>Puma</v>
      </c>
      <c r="D296" t="str">
        <f>'Data Cleaning'!D296</f>
        <v>Casual</v>
      </c>
      <c r="E296" t="str">
        <f>'Data Cleaning'!E296</f>
        <v>Blue</v>
      </c>
      <c r="F296" t="str">
        <f>'Data Cleaning'!F296</f>
        <v>USA</v>
      </c>
      <c r="G296" t="str">
        <f>'Data Cleaning'!G296</f>
        <v>Online</v>
      </c>
      <c r="H296" s="2">
        <f>'Data Cleaning'!H296</f>
        <v>57.95</v>
      </c>
      <c r="I296">
        <f>'Data Cleaning'!I296</f>
        <v>4</v>
      </c>
      <c r="J296" s="2">
        <f>'Data Cleaning'!J296</f>
        <v>231.8</v>
      </c>
    </row>
    <row r="297" spans="1:10" x14ac:dyDescent="0.25">
      <c r="A297" t="str">
        <f>'Data Cleaning'!A297</f>
        <v>S296</v>
      </c>
      <c r="B297" s="113">
        <f>'Data Cleaning'!B297</f>
        <v>45780</v>
      </c>
      <c r="C297" t="str">
        <f>'Data Cleaning'!C297</f>
        <v>Skechers</v>
      </c>
      <c r="D297" t="str">
        <f>'Data Cleaning'!D297</f>
        <v>Sneakers</v>
      </c>
      <c r="E297" t="str">
        <f>'Data Cleaning'!E297</f>
        <v>Red</v>
      </c>
      <c r="F297" t="str">
        <f>'Data Cleaning'!F297</f>
        <v>USA</v>
      </c>
      <c r="G297" t="str">
        <f>'Data Cleaning'!G297</f>
        <v>Online</v>
      </c>
      <c r="H297" s="2">
        <f>'Data Cleaning'!H297</f>
        <v>144.88999999999999</v>
      </c>
      <c r="I297">
        <f>'Data Cleaning'!I297</f>
        <v>14</v>
      </c>
      <c r="J297" s="2">
        <f>'Data Cleaning'!J297</f>
        <v>2028.46</v>
      </c>
    </row>
    <row r="298" spans="1:10" x14ac:dyDescent="0.25">
      <c r="A298" t="str">
        <f>'Data Cleaning'!A298</f>
        <v>S297</v>
      </c>
      <c r="B298" s="113">
        <f>'Data Cleaning'!B298</f>
        <v>45913</v>
      </c>
      <c r="C298" t="str">
        <f>'Data Cleaning'!C298</f>
        <v>New Balance</v>
      </c>
      <c r="D298" t="str">
        <f>'Data Cleaning'!D298</f>
        <v>Running</v>
      </c>
      <c r="E298" t="str">
        <f>'Data Cleaning'!E298</f>
        <v>Green</v>
      </c>
      <c r="F298" t="str">
        <f>'Data Cleaning'!F298</f>
        <v>India</v>
      </c>
      <c r="G298" t="str">
        <f>'Data Cleaning'!G298</f>
        <v>Mall</v>
      </c>
      <c r="H298" s="2">
        <f>'Data Cleaning'!H298</f>
        <v>199.4</v>
      </c>
      <c r="I298">
        <f>'Data Cleaning'!I298</f>
        <v>20</v>
      </c>
      <c r="J298" s="2">
        <f>'Data Cleaning'!J298</f>
        <v>3988</v>
      </c>
    </row>
    <row r="299" spans="1:10" x14ac:dyDescent="0.25">
      <c r="A299" t="str">
        <f>'Data Cleaning'!A299</f>
        <v>S298</v>
      </c>
      <c r="B299" s="113">
        <f>'Data Cleaning'!B299</f>
        <v>45781</v>
      </c>
      <c r="C299" t="str">
        <f>'Data Cleaning'!C299</f>
        <v>Puma</v>
      </c>
      <c r="D299" t="str">
        <f>'Data Cleaning'!D299</f>
        <v>Formal</v>
      </c>
      <c r="E299" t="str">
        <f>'Data Cleaning'!E299</f>
        <v>Black</v>
      </c>
      <c r="F299" t="str">
        <f>'Data Cleaning'!F299</f>
        <v>India</v>
      </c>
      <c r="G299" t="str">
        <f>'Data Cleaning'!G299</f>
        <v>Retail Store</v>
      </c>
      <c r="H299" s="2">
        <f>'Data Cleaning'!H299</f>
        <v>77.48</v>
      </c>
      <c r="I299">
        <f>'Data Cleaning'!I299</f>
        <v>5</v>
      </c>
      <c r="J299" s="2">
        <f>'Data Cleaning'!J299</f>
        <v>387.4</v>
      </c>
    </row>
    <row r="300" spans="1:10" x14ac:dyDescent="0.25">
      <c r="A300" t="str">
        <f>'Data Cleaning'!A300</f>
        <v>S299</v>
      </c>
      <c r="B300" s="113">
        <f>'Data Cleaning'!B300</f>
        <v>45781</v>
      </c>
      <c r="C300" t="str">
        <f>'Data Cleaning'!C300</f>
        <v>Reebok</v>
      </c>
      <c r="D300" t="str">
        <f>'Data Cleaning'!D300</f>
        <v>Casual</v>
      </c>
      <c r="E300" t="str">
        <f>'Data Cleaning'!E300</f>
        <v>Green</v>
      </c>
      <c r="F300" t="str">
        <f>'Data Cleaning'!F300</f>
        <v>UAE</v>
      </c>
      <c r="G300" t="str">
        <f>'Data Cleaning'!G300</f>
        <v>Online</v>
      </c>
      <c r="H300" s="2">
        <f>'Data Cleaning'!H300</f>
        <v>167.04</v>
      </c>
      <c r="I300">
        <f>'Data Cleaning'!I300</f>
        <v>19</v>
      </c>
      <c r="J300" s="2">
        <f>'Data Cleaning'!J300</f>
        <v>3173.76</v>
      </c>
    </row>
    <row r="301" spans="1:10" x14ac:dyDescent="0.25">
      <c r="A301" t="str">
        <f>'Data Cleaning'!A301</f>
        <v>S300</v>
      </c>
      <c r="B301" s="113">
        <f>'Data Cleaning'!B301</f>
        <v>45926</v>
      </c>
      <c r="C301" t="str">
        <f>'Data Cleaning'!C301</f>
        <v>Nike</v>
      </c>
      <c r="D301" t="str">
        <f>'Data Cleaning'!D301</f>
        <v>Sneakers</v>
      </c>
      <c r="E301" t="str">
        <f>'Data Cleaning'!E301</f>
        <v>Grey</v>
      </c>
      <c r="F301" t="str">
        <f>'Data Cleaning'!F301</f>
        <v>India</v>
      </c>
      <c r="G301" t="str">
        <f>'Data Cleaning'!G301</f>
        <v>Mall</v>
      </c>
      <c r="H301" s="2">
        <f>'Data Cleaning'!H301</f>
        <v>48.78</v>
      </c>
      <c r="I301">
        <f>'Data Cleaning'!I301</f>
        <v>12</v>
      </c>
      <c r="J301" s="2">
        <f>'Data Cleaning'!J301</f>
        <v>585.36</v>
      </c>
    </row>
    <row r="302" spans="1:10" x14ac:dyDescent="0.25">
      <c r="A302" t="str">
        <f>'Data Cleaning'!A302</f>
        <v>S301</v>
      </c>
      <c r="B302" s="113">
        <f>'Data Cleaning'!B302</f>
        <v>45941</v>
      </c>
      <c r="C302" t="str">
        <f>'Data Cleaning'!C302</f>
        <v>Reebok</v>
      </c>
      <c r="D302" t="str">
        <f>'Data Cleaning'!D302</f>
        <v>Formal</v>
      </c>
      <c r="E302" t="str">
        <f>'Data Cleaning'!E302</f>
        <v>Black</v>
      </c>
      <c r="F302" t="str">
        <f>'Data Cleaning'!F302</f>
        <v>UAE</v>
      </c>
      <c r="G302" t="str">
        <f>'Data Cleaning'!G302</f>
        <v>Retail Store</v>
      </c>
      <c r="H302" s="2">
        <f>'Data Cleaning'!H302</f>
        <v>41.37</v>
      </c>
      <c r="I302">
        <f>'Data Cleaning'!I302</f>
        <v>1</v>
      </c>
      <c r="J302" s="2">
        <f>'Data Cleaning'!J302</f>
        <v>41.37</v>
      </c>
    </row>
    <row r="303" spans="1:10" x14ac:dyDescent="0.25">
      <c r="A303" t="str">
        <f>'Data Cleaning'!A303</f>
        <v>S302</v>
      </c>
      <c r="B303" s="113">
        <f>'Data Cleaning'!B303</f>
        <v>45849</v>
      </c>
      <c r="C303" t="str">
        <f>'Data Cleaning'!C303</f>
        <v>Skechers</v>
      </c>
      <c r="D303" t="str">
        <f>'Data Cleaning'!D303</f>
        <v>Running</v>
      </c>
      <c r="E303" t="str">
        <f>'Data Cleaning'!E303</f>
        <v>Blue</v>
      </c>
      <c r="F303" t="str">
        <f>'Data Cleaning'!F303</f>
        <v>Saudi Arabia</v>
      </c>
      <c r="G303" t="str">
        <f>'Data Cleaning'!G303</f>
        <v>Online</v>
      </c>
      <c r="H303" s="2">
        <f>'Data Cleaning'!H303</f>
        <v>146.9</v>
      </c>
      <c r="I303">
        <f>'Data Cleaning'!I303</f>
        <v>9</v>
      </c>
      <c r="J303" s="2">
        <f>'Data Cleaning'!J303</f>
        <v>1322.1</v>
      </c>
    </row>
    <row r="304" spans="1:10" x14ac:dyDescent="0.25">
      <c r="A304" t="str">
        <f>'Data Cleaning'!A304</f>
        <v>S303</v>
      </c>
      <c r="B304" s="113">
        <f>'Data Cleaning'!B304</f>
        <v>45834</v>
      </c>
      <c r="C304" t="str">
        <f>'Data Cleaning'!C304</f>
        <v>Skechers</v>
      </c>
      <c r="D304" t="str">
        <f>'Data Cleaning'!D304</f>
        <v>Boots</v>
      </c>
      <c r="E304" t="str">
        <f>'Data Cleaning'!E304</f>
        <v>Green</v>
      </c>
      <c r="F304" t="str">
        <f>'Data Cleaning'!F304</f>
        <v>USA</v>
      </c>
      <c r="G304" t="str">
        <f>'Data Cleaning'!G304</f>
        <v>Mall</v>
      </c>
      <c r="H304" s="2">
        <f>'Data Cleaning'!H304</f>
        <v>148.94</v>
      </c>
      <c r="I304">
        <f>'Data Cleaning'!I304</f>
        <v>8</v>
      </c>
      <c r="J304" s="2">
        <f>'Data Cleaning'!J304</f>
        <v>1191.52</v>
      </c>
    </row>
    <row r="305" spans="1:10" x14ac:dyDescent="0.25">
      <c r="A305" t="str">
        <f>'Data Cleaning'!A305</f>
        <v>S304</v>
      </c>
      <c r="B305" s="113">
        <f>'Data Cleaning'!B305</f>
        <v>45828</v>
      </c>
      <c r="C305" t="str">
        <f>'Data Cleaning'!C305</f>
        <v>Nike</v>
      </c>
      <c r="D305" t="str">
        <f>'Data Cleaning'!D305</f>
        <v>Sports</v>
      </c>
      <c r="E305" t="str">
        <f>'Data Cleaning'!E305</f>
        <v>Grey</v>
      </c>
      <c r="F305" t="str">
        <f>'Data Cleaning'!F305</f>
        <v>France</v>
      </c>
      <c r="G305" t="str">
        <f>'Data Cleaning'!G305</f>
        <v>Mall</v>
      </c>
      <c r="H305" s="2">
        <f>'Data Cleaning'!H305</f>
        <v>170.23</v>
      </c>
      <c r="I305">
        <f>'Data Cleaning'!I305</f>
        <v>5</v>
      </c>
      <c r="J305" s="2">
        <f>'Data Cleaning'!J305</f>
        <v>851.15</v>
      </c>
    </row>
    <row r="306" spans="1:10" x14ac:dyDescent="0.25">
      <c r="A306" t="str">
        <f>'Data Cleaning'!A306</f>
        <v>S305</v>
      </c>
      <c r="B306" s="113">
        <f>'Data Cleaning'!B306</f>
        <v>45747</v>
      </c>
      <c r="C306" t="str">
        <f>'Data Cleaning'!C306</f>
        <v>Skechers</v>
      </c>
      <c r="D306" t="str">
        <f>'Data Cleaning'!D306</f>
        <v>Formal</v>
      </c>
      <c r="E306" t="str">
        <f>'Data Cleaning'!E306</f>
        <v>Green</v>
      </c>
      <c r="F306" t="str">
        <f>'Data Cleaning'!F306</f>
        <v>UK</v>
      </c>
      <c r="G306" t="str">
        <f>'Data Cleaning'!G306</f>
        <v>Online</v>
      </c>
      <c r="H306" s="2">
        <f>'Data Cleaning'!H306</f>
        <v>189.74</v>
      </c>
      <c r="I306">
        <f>'Data Cleaning'!I306</f>
        <v>15</v>
      </c>
      <c r="J306" s="2">
        <f>'Data Cleaning'!J306</f>
        <v>2846.1</v>
      </c>
    </row>
    <row r="307" spans="1:10" x14ac:dyDescent="0.25">
      <c r="A307" t="str">
        <f>'Data Cleaning'!A307</f>
        <v>S306</v>
      </c>
      <c r="B307" s="113">
        <f>'Data Cleaning'!B307</f>
        <v>45690</v>
      </c>
      <c r="C307" t="str">
        <f>'Data Cleaning'!C307</f>
        <v>Nike</v>
      </c>
      <c r="D307" t="str">
        <f>'Data Cleaning'!D307</f>
        <v>Sports</v>
      </c>
      <c r="E307" t="str">
        <f>'Data Cleaning'!E307</f>
        <v>White</v>
      </c>
      <c r="F307" t="str">
        <f>'Data Cleaning'!F307</f>
        <v>USA</v>
      </c>
      <c r="G307" t="str">
        <f>'Data Cleaning'!G307</f>
        <v>Online</v>
      </c>
      <c r="H307" s="2">
        <f>'Data Cleaning'!H307</f>
        <v>244.69</v>
      </c>
      <c r="I307">
        <f>'Data Cleaning'!I307</f>
        <v>15</v>
      </c>
      <c r="J307" s="2">
        <f>'Data Cleaning'!J307</f>
        <v>3670.35</v>
      </c>
    </row>
    <row r="308" spans="1:10" x14ac:dyDescent="0.25">
      <c r="A308" t="str">
        <f>'Data Cleaning'!A308</f>
        <v>S307</v>
      </c>
      <c r="B308" s="113">
        <f>'Data Cleaning'!B308</f>
        <v>45679</v>
      </c>
      <c r="C308" t="str">
        <f>'Data Cleaning'!C308</f>
        <v>Puma</v>
      </c>
      <c r="D308" t="str">
        <f>'Data Cleaning'!D308</f>
        <v>Sneakers</v>
      </c>
      <c r="E308" t="str">
        <f>'Data Cleaning'!E308</f>
        <v>Red</v>
      </c>
      <c r="F308" t="str">
        <f>'Data Cleaning'!F308</f>
        <v>Saudi Arabia</v>
      </c>
      <c r="G308" t="str">
        <f>'Data Cleaning'!G308</f>
        <v>Mall</v>
      </c>
      <c r="H308" s="2">
        <f>'Data Cleaning'!H308</f>
        <v>143.59</v>
      </c>
      <c r="I308">
        <f>'Data Cleaning'!I308</f>
        <v>11</v>
      </c>
      <c r="J308" s="2">
        <f>'Data Cleaning'!J308</f>
        <v>1579.49</v>
      </c>
    </row>
    <row r="309" spans="1:10" x14ac:dyDescent="0.25">
      <c r="A309" t="str">
        <f>'Data Cleaning'!A309</f>
        <v>S308</v>
      </c>
      <c r="B309" s="113">
        <f>'Data Cleaning'!B309</f>
        <v>45900</v>
      </c>
      <c r="C309" t="str">
        <f>'Data Cleaning'!C309</f>
        <v>Nike</v>
      </c>
      <c r="D309" t="str">
        <f>'Data Cleaning'!D309</f>
        <v>Boots</v>
      </c>
      <c r="E309" t="str">
        <f>'Data Cleaning'!E309</f>
        <v>White</v>
      </c>
      <c r="F309" t="str">
        <f>'Data Cleaning'!F309</f>
        <v>France</v>
      </c>
      <c r="G309" t="str">
        <f>'Data Cleaning'!G309</f>
        <v>Retail Store</v>
      </c>
      <c r="H309" s="2">
        <f>'Data Cleaning'!H309</f>
        <v>101.05</v>
      </c>
      <c r="I309">
        <f>'Data Cleaning'!I309</f>
        <v>9</v>
      </c>
      <c r="J309" s="2">
        <f>'Data Cleaning'!J309</f>
        <v>909.45</v>
      </c>
    </row>
    <row r="310" spans="1:10" x14ac:dyDescent="0.25">
      <c r="A310" t="str">
        <f>'Data Cleaning'!A310</f>
        <v>S309</v>
      </c>
      <c r="B310" s="113">
        <f>'Data Cleaning'!B310</f>
        <v>45682</v>
      </c>
      <c r="C310" t="str">
        <f>'Data Cleaning'!C310</f>
        <v>Puma</v>
      </c>
      <c r="D310" t="str">
        <f>'Data Cleaning'!D310</f>
        <v>Running</v>
      </c>
      <c r="E310" t="str">
        <f>'Data Cleaning'!E310</f>
        <v>Blue</v>
      </c>
      <c r="F310" t="str">
        <f>'Data Cleaning'!F310</f>
        <v>Germany</v>
      </c>
      <c r="G310" t="str">
        <f>'Data Cleaning'!G310</f>
        <v>Retail Store</v>
      </c>
      <c r="H310" s="2">
        <f>'Data Cleaning'!H310</f>
        <v>204.94</v>
      </c>
      <c r="I310">
        <f>'Data Cleaning'!I310</f>
        <v>11</v>
      </c>
      <c r="J310" s="2">
        <f>'Data Cleaning'!J310</f>
        <v>2254.34</v>
      </c>
    </row>
    <row r="311" spans="1:10" x14ac:dyDescent="0.25">
      <c r="A311" t="str">
        <f>'Data Cleaning'!A311</f>
        <v>S310</v>
      </c>
      <c r="B311" s="113">
        <f>'Data Cleaning'!B311</f>
        <v>45883</v>
      </c>
      <c r="C311" t="str">
        <f>'Data Cleaning'!C311</f>
        <v>Puma</v>
      </c>
      <c r="D311" t="str">
        <f>'Data Cleaning'!D311</f>
        <v>Casual</v>
      </c>
      <c r="E311" t="str">
        <f>'Data Cleaning'!E311</f>
        <v>Red</v>
      </c>
      <c r="F311" t="str">
        <f>'Data Cleaning'!F311</f>
        <v>UAE</v>
      </c>
      <c r="G311" t="str">
        <f>'Data Cleaning'!G311</f>
        <v>Retail Store</v>
      </c>
      <c r="H311" s="2">
        <f>'Data Cleaning'!H311</f>
        <v>89.58</v>
      </c>
      <c r="I311">
        <f>'Data Cleaning'!I311</f>
        <v>13</v>
      </c>
      <c r="J311" s="2">
        <f>'Data Cleaning'!J311</f>
        <v>1164.54</v>
      </c>
    </row>
    <row r="312" spans="1:10" x14ac:dyDescent="0.25">
      <c r="A312" t="str">
        <f>'Data Cleaning'!A312</f>
        <v>S311</v>
      </c>
      <c r="B312" s="113">
        <f>'Data Cleaning'!B312</f>
        <v>45846</v>
      </c>
      <c r="C312" t="str">
        <f>'Data Cleaning'!C312</f>
        <v>Puma</v>
      </c>
      <c r="D312" t="str">
        <f>'Data Cleaning'!D312</f>
        <v>Running</v>
      </c>
      <c r="E312" t="str">
        <f>'Data Cleaning'!E312</f>
        <v>Green</v>
      </c>
      <c r="F312" t="str">
        <f>'Data Cleaning'!F312</f>
        <v>Germany</v>
      </c>
      <c r="G312" t="str">
        <f>'Data Cleaning'!G312</f>
        <v>Online</v>
      </c>
      <c r="H312" s="2">
        <f>'Data Cleaning'!H312</f>
        <v>126.57</v>
      </c>
      <c r="I312">
        <f>'Data Cleaning'!I312</f>
        <v>17</v>
      </c>
      <c r="J312" s="2">
        <f>'Data Cleaning'!J312</f>
        <v>2151.69</v>
      </c>
    </row>
    <row r="313" spans="1:10" x14ac:dyDescent="0.25">
      <c r="A313" t="str">
        <f>'Data Cleaning'!A313</f>
        <v>S312</v>
      </c>
      <c r="B313" s="113">
        <f>'Data Cleaning'!B313</f>
        <v>45878</v>
      </c>
      <c r="C313" t="str">
        <f>'Data Cleaning'!C313</f>
        <v>Adidas</v>
      </c>
      <c r="D313" t="str">
        <f>'Data Cleaning'!D313</f>
        <v>Sneakers</v>
      </c>
      <c r="E313" t="str">
        <f>'Data Cleaning'!E313</f>
        <v>Blue</v>
      </c>
      <c r="F313" t="str">
        <f>'Data Cleaning'!F313</f>
        <v>France</v>
      </c>
      <c r="G313" t="str">
        <f>'Data Cleaning'!G313</f>
        <v>Online</v>
      </c>
      <c r="H313" s="2">
        <f>'Data Cleaning'!H313</f>
        <v>47.26</v>
      </c>
      <c r="I313">
        <f>'Data Cleaning'!I313</f>
        <v>20</v>
      </c>
      <c r="J313" s="2">
        <f>'Data Cleaning'!J313</f>
        <v>945.2</v>
      </c>
    </row>
    <row r="314" spans="1:10" x14ac:dyDescent="0.25">
      <c r="A314" t="str">
        <f>'Data Cleaning'!A314</f>
        <v>S313</v>
      </c>
      <c r="B314" s="113">
        <f>'Data Cleaning'!B314</f>
        <v>45698</v>
      </c>
      <c r="C314" t="str">
        <f>'Data Cleaning'!C314</f>
        <v>Skechers</v>
      </c>
      <c r="D314" t="str">
        <f>'Data Cleaning'!D314</f>
        <v>Sports</v>
      </c>
      <c r="E314" t="str">
        <f>'Data Cleaning'!E314</f>
        <v>Blue</v>
      </c>
      <c r="F314" t="str">
        <f>'Data Cleaning'!F314</f>
        <v>Germany</v>
      </c>
      <c r="G314" t="str">
        <f>'Data Cleaning'!G314</f>
        <v>Mall</v>
      </c>
      <c r="H314" s="2">
        <f>'Data Cleaning'!H314</f>
        <v>35.58</v>
      </c>
      <c r="I314">
        <f>'Data Cleaning'!I314</f>
        <v>11</v>
      </c>
      <c r="J314" s="2">
        <f>'Data Cleaning'!J314</f>
        <v>391.38</v>
      </c>
    </row>
    <row r="315" spans="1:10" x14ac:dyDescent="0.25">
      <c r="A315" t="str">
        <f>'Data Cleaning'!A315</f>
        <v>S314</v>
      </c>
      <c r="B315" s="113">
        <f>'Data Cleaning'!B315</f>
        <v>45876</v>
      </c>
      <c r="C315" t="str">
        <f>'Data Cleaning'!C315</f>
        <v>Skechers</v>
      </c>
      <c r="D315" t="str">
        <f>'Data Cleaning'!D315</f>
        <v>Formal</v>
      </c>
      <c r="E315" t="str">
        <f>'Data Cleaning'!E315</f>
        <v>Blue</v>
      </c>
      <c r="F315" t="str">
        <f>'Data Cleaning'!F315</f>
        <v>Germany</v>
      </c>
      <c r="G315" t="str">
        <f>'Data Cleaning'!G315</f>
        <v>Online</v>
      </c>
      <c r="H315" s="2">
        <f>'Data Cleaning'!H315</f>
        <v>241.78</v>
      </c>
      <c r="I315">
        <f>'Data Cleaning'!I315</f>
        <v>6</v>
      </c>
      <c r="J315" s="2">
        <f>'Data Cleaning'!J315</f>
        <v>1450.68</v>
      </c>
    </row>
    <row r="316" spans="1:10" x14ac:dyDescent="0.25">
      <c r="A316" t="str">
        <f>'Data Cleaning'!A316</f>
        <v>S315</v>
      </c>
      <c r="B316" s="113">
        <f>'Data Cleaning'!B316</f>
        <v>45838</v>
      </c>
      <c r="C316" t="str">
        <f>'Data Cleaning'!C316</f>
        <v>Reebok</v>
      </c>
      <c r="D316" t="str">
        <f>'Data Cleaning'!D316</f>
        <v>Sports</v>
      </c>
      <c r="E316" t="str">
        <f>'Data Cleaning'!E316</f>
        <v>Green</v>
      </c>
      <c r="F316" t="str">
        <f>'Data Cleaning'!F316</f>
        <v>Saudi Arabia</v>
      </c>
      <c r="G316" t="str">
        <f>'Data Cleaning'!G316</f>
        <v>Online</v>
      </c>
      <c r="H316" s="2">
        <f>'Data Cleaning'!H316</f>
        <v>213.92</v>
      </c>
      <c r="I316">
        <f>'Data Cleaning'!I316</f>
        <v>20</v>
      </c>
      <c r="J316" s="2">
        <f>'Data Cleaning'!J316</f>
        <v>4278.3999999999996</v>
      </c>
    </row>
    <row r="317" spans="1:10" x14ac:dyDescent="0.25">
      <c r="A317" t="str">
        <f>'Data Cleaning'!A317</f>
        <v>S316</v>
      </c>
      <c r="B317" s="113">
        <f>'Data Cleaning'!B317</f>
        <v>45696</v>
      </c>
      <c r="C317" t="str">
        <f>'Data Cleaning'!C317</f>
        <v>Puma</v>
      </c>
      <c r="D317" t="str">
        <f>'Data Cleaning'!D317</f>
        <v>Sneakers</v>
      </c>
      <c r="E317" t="str">
        <f>'Data Cleaning'!E317</f>
        <v>Green</v>
      </c>
      <c r="F317" t="str">
        <f>'Data Cleaning'!F317</f>
        <v>UAE</v>
      </c>
      <c r="G317" t="str">
        <f>'Data Cleaning'!G317</f>
        <v>Online</v>
      </c>
      <c r="H317" s="2">
        <f>'Data Cleaning'!H317</f>
        <v>183.11</v>
      </c>
      <c r="I317">
        <f>'Data Cleaning'!I317</f>
        <v>13</v>
      </c>
      <c r="J317" s="2">
        <f>'Data Cleaning'!J317</f>
        <v>2380.4299999999998</v>
      </c>
    </row>
    <row r="318" spans="1:10" x14ac:dyDescent="0.25">
      <c r="A318" t="str">
        <f>'Data Cleaning'!A318</f>
        <v>S317</v>
      </c>
      <c r="B318" s="113">
        <f>'Data Cleaning'!B318</f>
        <v>45673</v>
      </c>
      <c r="C318" t="str">
        <f>'Data Cleaning'!C318</f>
        <v>New Balance</v>
      </c>
      <c r="D318" t="str">
        <f>'Data Cleaning'!D318</f>
        <v>Boots</v>
      </c>
      <c r="E318" t="str">
        <f>'Data Cleaning'!E318</f>
        <v>Red</v>
      </c>
      <c r="F318" t="str">
        <f>'Data Cleaning'!F318</f>
        <v>USA</v>
      </c>
      <c r="G318" t="str">
        <f>'Data Cleaning'!G318</f>
        <v>Online</v>
      </c>
      <c r="H318" s="2">
        <f>'Data Cleaning'!H318</f>
        <v>119.97</v>
      </c>
      <c r="I318">
        <f>'Data Cleaning'!I318</f>
        <v>5</v>
      </c>
      <c r="J318" s="2">
        <f>'Data Cleaning'!J318</f>
        <v>599.85</v>
      </c>
    </row>
    <row r="319" spans="1:10" x14ac:dyDescent="0.25">
      <c r="A319" t="str">
        <f>'Data Cleaning'!A319</f>
        <v>S318</v>
      </c>
      <c r="B319" s="113">
        <f>'Data Cleaning'!B319</f>
        <v>45692</v>
      </c>
      <c r="C319" t="str">
        <f>'Data Cleaning'!C319</f>
        <v>Skechers</v>
      </c>
      <c r="D319" t="str">
        <f>'Data Cleaning'!D319</f>
        <v>Sports</v>
      </c>
      <c r="E319" t="str">
        <f>'Data Cleaning'!E319</f>
        <v>Blue</v>
      </c>
      <c r="F319" t="str">
        <f>'Data Cleaning'!F319</f>
        <v>Germany</v>
      </c>
      <c r="G319" t="str">
        <f>'Data Cleaning'!G319</f>
        <v>Mall</v>
      </c>
      <c r="H319" s="2">
        <f>'Data Cleaning'!H319</f>
        <v>68.12</v>
      </c>
      <c r="I319">
        <f>'Data Cleaning'!I319</f>
        <v>8</v>
      </c>
      <c r="J319" s="2">
        <f>'Data Cleaning'!J319</f>
        <v>544.96</v>
      </c>
    </row>
    <row r="320" spans="1:10" x14ac:dyDescent="0.25">
      <c r="A320" t="str">
        <f>'Data Cleaning'!A320</f>
        <v>S319</v>
      </c>
      <c r="B320" s="113">
        <f>'Data Cleaning'!B320</f>
        <v>45674</v>
      </c>
      <c r="C320" t="str">
        <f>'Data Cleaning'!C320</f>
        <v>Adidas</v>
      </c>
      <c r="D320" t="str">
        <f>'Data Cleaning'!D320</f>
        <v>Boots</v>
      </c>
      <c r="E320" t="str">
        <f>'Data Cleaning'!E320</f>
        <v>Red</v>
      </c>
      <c r="F320" t="str">
        <f>'Data Cleaning'!F320</f>
        <v>France</v>
      </c>
      <c r="G320" t="str">
        <f>'Data Cleaning'!G320</f>
        <v>Retail Store</v>
      </c>
      <c r="H320" s="2">
        <f>'Data Cleaning'!H320</f>
        <v>64.42</v>
      </c>
      <c r="I320">
        <f>'Data Cleaning'!I320</f>
        <v>20</v>
      </c>
      <c r="J320" s="2">
        <f>'Data Cleaning'!J320</f>
        <v>1288.4000000000001</v>
      </c>
    </row>
    <row r="321" spans="1:10" x14ac:dyDescent="0.25">
      <c r="A321" t="str">
        <f>'Data Cleaning'!A321</f>
        <v>S320</v>
      </c>
      <c r="B321" s="113">
        <f>'Data Cleaning'!B321</f>
        <v>45885</v>
      </c>
      <c r="C321" t="str">
        <f>'Data Cleaning'!C321</f>
        <v>New Balance</v>
      </c>
      <c r="D321" t="str">
        <f>'Data Cleaning'!D321</f>
        <v>Casual</v>
      </c>
      <c r="E321" t="str">
        <f>'Data Cleaning'!E321</f>
        <v>Grey</v>
      </c>
      <c r="F321" t="str">
        <f>'Data Cleaning'!F321</f>
        <v>France</v>
      </c>
      <c r="G321" t="str">
        <f>'Data Cleaning'!G321</f>
        <v>Retail Store</v>
      </c>
      <c r="H321" s="2">
        <f>'Data Cleaning'!H321</f>
        <v>85.05</v>
      </c>
      <c r="I321">
        <f>'Data Cleaning'!I321</f>
        <v>3</v>
      </c>
      <c r="J321" s="2">
        <f>'Data Cleaning'!J321</f>
        <v>255.15</v>
      </c>
    </row>
    <row r="322" spans="1:10" x14ac:dyDescent="0.25">
      <c r="A322" t="str">
        <f>'Data Cleaning'!A322</f>
        <v>S321</v>
      </c>
      <c r="B322" s="113">
        <f>'Data Cleaning'!B322</f>
        <v>45818</v>
      </c>
      <c r="C322" t="str">
        <f>'Data Cleaning'!C322</f>
        <v>Adidas</v>
      </c>
      <c r="D322" t="str">
        <f>'Data Cleaning'!D322</f>
        <v>Running</v>
      </c>
      <c r="E322" t="str">
        <f>'Data Cleaning'!E322</f>
        <v>Black</v>
      </c>
      <c r="F322" t="str">
        <f>'Data Cleaning'!F322</f>
        <v>UAE</v>
      </c>
      <c r="G322" t="str">
        <f>'Data Cleaning'!G322</f>
        <v>Online</v>
      </c>
      <c r="H322" s="2">
        <f>'Data Cleaning'!H322</f>
        <v>150.83000000000001</v>
      </c>
      <c r="I322">
        <f>'Data Cleaning'!I322</f>
        <v>9</v>
      </c>
      <c r="J322" s="2">
        <f>'Data Cleaning'!J322</f>
        <v>1357.47</v>
      </c>
    </row>
    <row r="323" spans="1:10" x14ac:dyDescent="0.25">
      <c r="A323" t="str">
        <f>'Data Cleaning'!A323</f>
        <v>S322</v>
      </c>
      <c r="B323" s="113">
        <f>'Data Cleaning'!B323</f>
        <v>45913</v>
      </c>
      <c r="C323" t="str">
        <f>'Data Cleaning'!C323</f>
        <v>Reebok</v>
      </c>
      <c r="D323" t="str">
        <f>'Data Cleaning'!D323</f>
        <v>Sneakers</v>
      </c>
      <c r="E323" t="str">
        <f>'Data Cleaning'!E323</f>
        <v>Black</v>
      </c>
      <c r="F323" t="str">
        <f>'Data Cleaning'!F323</f>
        <v>France</v>
      </c>
      <c r="G323" t="str">
        <f>'Data Cleaning'!G323</f>
        <v>Retail Store</v>
      </c>
      <c r="H323" s="2">
        <f>'Data Cleaning'!H323</f>
        <v>187.21</v>
      </c>
      <c r="I323">
        <f>'Data Cleaning'!I323</f>
        <v>17</v>
      </c>
      <c r="J323" s="2">
        <f>'Data Cleaning'!J323</f>
        <v>3182.57</v>
      </c>
    </row>
    <row r="324" spans="1:10" x14ac:dyDescent="0.25">
      <c r="A324" t="str">
        <f>'Data Cleaning'!A324</f>
        <v>S323</v>
      </c>
      <c r="B324" s="113">
        <f>'Data Cleaning'!B324</f>
        <v>46018</v>
      </c>
      <c r="C324" t="str">
        <f>'Data Cleaning'!C324</f>
        <v>Adidas</v>
      </c>
      <c r="D324" t="str">
        <f>'Data Cleaning'!D324</f>
        <v>Sneakers</v>
      </c>
      <c r="E324" t="str">
        <f>'Data Cleaning'!E324</f>
        <v>Blue</v>
      </c>
      <c r="F324" t="str">
        <f>'Data Cleaning'!F324</f>
        <v>UAE</v>
      </c>
      <c r="G324" t="str">
        <f>'Data Cleaning'!G324</f>
        <v>Retail Store</v>
      </c>
      <c r="H324" s="2">
        <f>'Data Cleaning'!H324</f>
        <v>175.24</v>
      </c>
      <c r="I324">
        <f>'Data Cleaning'!I324</f>
        <v>15</v>
      </c>
      <c r="J324" s="2">
        <f>'Data Cleaning'!J324</f>
        <v>2628.6</v>
      </c>
    </row>
    <row r="325" spans="1:10" x14ac:dyDescent="0.25">
      <c r="A325" t="str">
        <f>'Data Cleaning'!A325</f>
        <v>S324</v>
      </c>
      <c r="B325" s="113">
        <f>'Data Cleaning'!B325</f>
        <v>45760</v>
      </c>
      <c r="C325" t="str">
        <f>'Data Cleaning'!C325</f>
        <v>Adidas</v>
      </c>
      <c r="D325" t="str">
        <f>'Data Cleaning'!D325</f>
        <v>Running</v>
      </c>
      <c r="E325" t="str">
        <f>'Data Cleaning'!E325</f>
        <v>Red</v>
      </c>
      <c r="F325" t="str">
        <f>'Data Cleaning'!F325</f>
        <v>UK</v>
      </c>
      <c r="G325" t="str">
        <f>'Data Cleaning'!G325</f>
        <v>Mall</v>
      </c>
      <c r="H325" s="2">
        <f>'Data Cleaning'!H325</f>
        <v>91.59</v>
      </c>
      <c r="I325">
        <f>'Data Cleaning'!I325</f>
        <v>4</v>
      </c>
      <c r="J325" s="2">
        <f>'Data Cleaning'!J325</f>
        <v>366.36</v>
      </c>
    </row>
    <row r="326" spans="1:10" x14ac:dyDescent="0.25">
      <c r="A326" t="str">
        <f>'Data Cleaning'!A326</f>
        <v>S325</v>
      </c>
      <c r="B326" s="113">
        <f>'Data Cleaning'!B326</f>
        <v>45885</v>
      </c>
      <c r="C326" t="str">
        <f>'Data Cleaning'!C326</f>
        <v>Skechers</v>
      </c>
      <c r="D326" t="str">
        <f>'Data Cleaning'!D326</f>
        <v>Sports</v>
      </c>
      <c r="E326" t="str">
        <f>'Data Cleaning'!E326</f>
        <v>Green</v>
      </c>
      <c r="F326" t="str">
        <f>'Data Cleaning'!F326</f>
        <v>France</v>
      </c>
      <c r="G326" t="str">
        <f>'Data Cleaning'!G326</f>
        <v>Mall</v>
      </c>
      <c r="H326" s="2">
        <f>'Data Cleaning'!H326</f>
        <v>240.07</v>
      </c>
      <c r="I326">
        <f>'Data Cleaning'!I326</f>
        <v>3</v>
      </c>
      <c r="J326" s="2">
        <f>'Data Cleaning'!J326</f>
        <v>720.21</v>
      </c>
    </row>
    <row r="327" spans="1:10" x14ac:dyDescent="0.25">
      <c r="A327" t="str">
        <f>'Data Cleaning'!A327</f>
        <v>S326</v>
      </c>
      <c r="B327" s="113">
        <f>'Data Cleaning'!B327</f>
        <v>45691</v>
      </c>
      <c r="C327" t="str">
        <f>'Data Cleaning'!C327</f>
        <v>New Balance</v>
      </c>
      <c r="D327" t="str">
        <f>'Data Cleaning'!D327</f>
        <v>Sports</v>
      </c>
      <c r="E327" t="str">
        <f>'Data Cleaning'!E327</f>
        <v>Blue</v>
      </c>
      <c r="F327" t="str">
        <f>'Data Cleaning'!F327</f>
        <v>Saudi Arabia</v>
      </c>
      <c r="G327" t="str">
        <f>'Data Cleaning'!G327</f>
        <v>Online</v>
      </c>
      <c r="H327" s="2">
        <f>'Data Cleaning'!H327</f>
        <v>192.34</v>
      </c>
      <c r="I327">
        <f>'Data Cleaning'!I327</f>
        <v>18</v>
      </c>
      <c r="J327" s="2">
        <f>'Data Cleaning'!J327</f>
        <v>3462.12</v>
      </c>
    </row>
    <row r="328" spans="1:10" x14ac:dyDescent="0.25">
      <c r="A328" t="str">
        <f>'Data Cleaning'!A328</f>
        <v>S327</v>
      </c>
      <c r="B328" s="113">
        <f>'Data Cleaning'!B328</f>
        <v>46022</v>
      </c>
      <c r="C328" t="str">
        <f>'Data Cleaning'!C328</f>
        <v>Puma</v>
      </c>
      <c r="D328" t="str">
        <f>'Data Cleaning'!D328</f>
        <v>Sneakers</v>
      </c>
      <c r="E328" t="str">
        <f>'Data Cleaning'!E328</f>
        <v>White</v>
      </c>
      <c r="F328" t="str">
        <f>'Data Cleaning'!F328</f>
        <v>USA</v>
      </c>
      <c r="G328" t="str">
        <f>'Data Cleaning'!G328</f>
        <v>Online</v>
      </c>
      <c r="H328" s="2">
        <f>'Data Cleaning'!H328</f>
        <v>151.96</v>
      </c>
      <c r="I328">
        <f>'Data Cleaning'!I328</f>
        <v>6</v>
      </c>
      <c r="J328" s="2">
        <f>'Data Cleaning'!J328</f>
        <v>911.76</v>
      </c>
    </row>
    <row r="329" spans="1:10" x14ac:dyDescent="0.25">
      <c r="A329" t="str">
        <f>'Data Cleaning'!A329</f>
        <v>S328</v>
      </c>
      <c r="B329" s="113">
        <f>'Data Cleaning'!B329</f>
        <v>45729</v>
      </c>
      <c r="C329" t="str">
        <f>'Data Cleaning'!C329</f>
        <v>Reebok</v>
      </c>
      <c r="D329" t="str">
        <f>'Data Cleaning'!D329</f>
        <v>Running</v>
      </c>
      <c r="E329" t="str">
        <f>'Data Cleaning'!E329</f>
        <v>Blue</v>
      </c>
      <c r="F329" t="str">
        <f>'Data Cleaning'!F329</f>
        <v>India</v>
      </c>
      <c r="G329" t="str">
        <f>'Data Cleaning'!G329</f>
        <v>Mall</v>
      </c>
      <c r="H329" s="2">
        <f>'Data Cleaning'!H329</f>
        <v>164.58</v>
      </c>
      <c r="I329">
        <f>'Data Cleaning'!I329</f>
        <v>8</v>
      </c>
      <c r="J329" s="2">
        <f>'Data Cleaning'!J329</f>
        <v>1316.64</v>
      </c>
    </row>
    <row r="330" spans="1:10" x14ac:dyDescent="0.25">
      <c r="A330" t="str">
        <f>'Data Cleaning'!A330</f>
        <v>S329</v>
      </c>
      <c r="B330" s="113">
        <f>'Data Cleaning'!B330</f>
        <v>45846</v>
      </c>
      <c r="C330" t="str">
        <f>'Data Cleaning'!C330</f>
        <v>New Balance</v>
      </c>
      <c r="D330" t="str">
        <f>'Data Cleaning'!D330</f>
        <v>Casual</v>
      </c>
      <c r="E330" t="str">
        <f>'Data Cleaning'!E330</f>
        <v>Grey</v>
      </c>
      <c r="F330" t="str">
        <f>'Data Cleaning'!F330</f>
        <v>USA</v>
      </c>
      <c r="G330" t="str">
        <f>'Data Cleaning'!G330</f>
        <v>Online</v>
      </c>
      <c r="H330" s="2">
        <f>'Data Cleaning'!H330</f>
        <v>122.31</v>
      </c>
      <c r="I330">
        <f>'Data Cleaning'!I330</f>
        <v>15</v>
      </c>
      <c r="J330" s="2">
        <f>'Data Cleaning'!J330</f>
        <v>1834.65</v>
      </c>
    </row>
    <row r="331" spans="1:10" x14ac:dyDescent="0.25">
      <c r="A331" t="str">
        <f>'Data Cleaning'!A331</f>
        <v>S330</v>
      </c>
      <c r="B331" s="113">
        <f>'Data Cleaning'!B331</f>
        <v>45816</v>
      </c>
      <c r="C331" t="str">
        <f>'Data Cleaning'!C331</f>
        <v>Skechers</v>
      </c>
      <c r="D331" t="str">
        <f>'Data Cleaning'!D331</f>
        <v>Boots</v>
      </c>
      <c r="E331" t="str">
        <f>'Data Cleaning'!E331</f>
        <v>Red</v>
      </c>
      <c r="F331" t="str">
        <f>'Data Cleaning'!F331</f>
        <v>India</v>
      </c>
      <c r="G331" t="str">
        <f>'Data Cleaning'!G331</f>
        <v>Retail Store</v>
      </c>
      <c r="H331" s="2">
        <f>'Data Cleaning'!H331</f>
        <v>84.5</v>
      </c>
      <c r="I331">
        <f>'Data Cleaning'!I331</f>
        <v>13</v>
      </c>
      <c r="J331" s="2">
        <f>'Data Cleaning'!J331</f>
        <v>1098.5</v>
      </c>
    </row>
    <row r="332" spans="1:10" x14ac:dyDescent="0.25">
      <c r="A332" t="str">
        <f>'Data Cleaning'!A332</f>
        <v>S331</v>
      </c>
      <c r="B332" s="113">
        <f>'Data Cleaning'!B332</f>
        <v>45867</v>
      </c>
      <c r="C332" t="str">
        <f>'Data Cleaning'!C332</f>
        <v>Nike</v>
      </c>
      <c r="D332" t="str">
        <f>'Data Cleaning'!D332</f>
        <v>Casual</v>
      </c>
      <c r="E332" t="str">
        <f>'Data Cleaning'!E332</f>
        <v>Blue</v>
      </c>
      <c r="F332" t="str">
        <f>'Data Cleaning'!F332</f>
        <v>UAE</v>
      </c>
      <c r="G332" t="str">
        <f>'Data Cleaning'!G332</f>
        <v>Online</v>
      </c>
      <c r="H332" s="2">
        <f>'Data Cleaning'!H332</f>
        <v>108.31</v>
      </c>
      <c r="I332">
        <f>'Data Cleaning'!I332</f>
        <v>19</v>
      </c>
      <c r="J332" s="2">
        <f>'Data Cleaning'!J332</f>
        <v>2057.89</v>
      </c>
    </row>
    <row r="333" spans="1:10" x14ac:dyDescent="0.25">
      <c r="A333" t="str">
        <f>'Data Cleaning'!A333</f>
        <v>S332</v>
      </c>
      <c r="B333" s="113">
        <f>'Data Cleaning'!B333</f>
        <v>45888</v>
      </c>
      <c r="C333" t="str">
        <f>'Data Cleaning'!C333</f>
        <v>Skechers</v>
      </c>
      <c r="D333" t="str">
        <f>'Data Cleaning'!D333</f>
        <v>Sneakers</v>
      </c>
      <c r="E333" t="str">
        <f>'Data Cleaning'!E333</f>
        <v>Blue</v>
      </c>
      <c r="F333" t="str">
        <f>'Data Cleaning'!F333</f>
        <v>UK</v>
      </c>
      <c r="G333" t="str">
        <f>'Data Cleaning'!G333</f>
        <v>Mall</v>
      </c>
      <c r="H333" s="2">
        <f>'Data Cleaning'!H333</f>
        <v>196.73</v>
      </c>
      <c r="I333">
        <f>'Data Cleaning'!I333</f>
        <v>15</v>
      </c>
      <c r="J333" s="2">
        <f>'Data Cleaning'!J333</f>
        <v>2950.95</v>
      </c>
    </row>
    <row r="334" spans="1:10" x14ac:dyDescent="0.25">
      <c r="A334" t="str">
        <f>'Data Cleaning'!A334</f>
        <v>S333</v>
      </c>
      <c r="B334" s="113">
        <f>'Data Cleaning'!B334</f>
        <v>45985</v>
      </c>
      <c r="C334" t="str">
        <f>'Data Cleaning'!C334</f>
        <v>Adidas</v>
      </c>
      <c r="D334" t="str">
        <f>'Data Cleaning'!D334</f>
        <v>Casual</v>
      </c>
      <c r="E334" t="str">
        <f>'Data Cleaning'!E334</f>
        <v>Red</v>
      </c>
      <c r="F334" t="str">
        <f>'Data Cleaning'!F334</f>
        <v>India</v>
      </c>
      <c r="G334" t="str">
        <f>'Data Cleaning'!G334</f>
        <v>Online</v>
      </c>
      <c r="H334" s="2">
        <f>'Data Cleaning'!H334</f>
        <v>33.17</v>
      </c>
      <c r="I334">
        <f>'Data Cleaning'!I334</f>
        <v>19</v>
      </c>
      <c r="J334" s="2">
        <f>'Data Cleaning'!J334</f>
        <v>630.23</v>
      </c>
    </row>
    <row r="335" spans="1:10" x14ac:dyDescent="0.25">
      <c r="A335" t="str">
        <f>'Data Cleaning'!A335</f>
        <v>S334</v>
      </c>
      <c r="B335" s="113">
        <f>'Data Cleaning'!B335</f>
        <v>45721</v>
      </c>
      <c r="C335" t="str">
        <f>'Data Cleaning'!C335</f>
        <v>Adidas</v>
      </c>
      <c r="D335" t="str">
        <f>'Data Cleaning'!D335</f>
        <v>Sports</v>
      </c>
      <c r="E335" t="str">
        <f>'Data Cleaning'!E335</f>
        <v>White</v>
      </c>
      <c r="F335" t="str">
        <f>'Data Cleaning'!F335</f>
        <v>UK</v>
      </c>
      <c r="G335" t="str">
        <f>'Data Cleaning'!G335</f>
        <v>Retail Store</v>
      </c>
      <c r="H335" s="2">
        <f>'Data Cleaning'!H335</f>
        <v>55.54</v>
      </c>
      <c r="I335">
        <f>'Data Cleaning'!I335</f>
        <v>17</v>
      </c>
      <c r="J335" s="2">
        <f>'Data Cleaning'!J335</f>
        <v>944.18</v>
      </c>
    </row>
    <row r="336" spans="1:10" x14ac:dyDescent="0.25">
      <c r="A336" t="str">
        <f>'Data Cleaning'!A336</f>
        <v>S335</v>
      </c>
      <c r="B336" s="113">
        <f>'Data Cleaning'!B336</f>
        <v>46021</v>
      </c>
      <c r="C336" t="str">
        <f>'Data Cleaning'!C336</f>
        <v>Puma</v>
      </c>
      <c r="D336" t="str">
        <f>'Data Cleaning'!D336</f>
        <v>Sneakers</v>
      </c>
      <c r="E336" t="str">
        <f>'Data Cleaning'!E336</f>
        <v>Blue</v>
      </c>
      <c r="F336" t="str">
        <f>'Data Cleaning'!F336</f>
        <v>Saudi Arabia</v>
      </c>
      <c r="G336" t="str">
        <f>'Data Cleaning'!G336</f>
        <v>Online</v>
      </c>
      <c r="H336" s="2">
        <f>'Data Cleaning'!H336</f>
        <v>40.119999999999997</v>
      </c>
      <c r="I336">
        <f>'Data Cleaning'!I336</f>
        <v>8</v>
      </c>
      <c r="J336" s="2">
        <f>'Data Cleaning'!J336</f>
        <v>320.95999999999998</v>
      </c>
    </row>
    <row r="337" spans="1:10" x14ac:dyDescent="0.25">
      <c r="A337" t="str">
        <f>'Data Cleaning'!A337</f>
        <v>S336</v>
      </c>
      <c r="B337" s="113">
        <f>'Data Cleaning'!B337</f>
        <v>45786</v>
      </c>
      <c r="C337" t="str">
        <f>'Data Cleaning'!C337</f>
        <v>Skechers</v>
      </c>
      <c r="D337" t="str">
        <f>'Data Cleaning'!D337</f>
        <v>Sneakers</v>
      </c>
      <c r="E337" t="str">
        <f>'Data Cleaning'!E337</f>
        <v>Blue</v>
      </c>
      <c r="F337" t="str">
        <f>'Data Cleaning'!F337</f>
        <v>UK</v>
      </c>
      <c r="G337" t="str">
        <f>'Data Cleaning'!G337</f>
        <v>Mall</v>
      </c>
      <c r="H337" s="2">
        <f>'Data Cleaning'!H337</f>
        <v>38.96</v>
      </c>
      <c r="I337">
        <f>'Data Cleaning'!I337</f>
        <v>7</v>
      </c>
      <c r="J337" s="2">
        <f>'Data Cleaning'!J337</f>
        <v>272.72000000000003</v>
      </c>
    </row>
    <row r="338" spans="1:10" x14ac:dyDescent="0.25">
      <c r="A338" t="str">
        <f>'Data Cleaning'!A338</f>
        <v>S337</v>
      </c>
      <c r="B338" s="113">
        <f>'Data Cleaning'!B338</f>
        <v>45813</v>
      </c>
      <c r="C338" t="str">
        <f>'Data Cleaning'!C338</f>
        <v>New Balance</v>
      </c>
      <c r="D338" t="str">
        <f>'Data Cleaning'!D338</f>
        <v>Running</v>
      </c>
      <c r="E338" t="str">
        <f>'Data Cleaning'!E338</f>
        <v>Grey</v>
      </c>
      <c r="F338" t="str">
        <f>'Data Cleaning'!F338</f>
        <v>UAE</v>
      </c>
      <c r="G338" t="str">
        <f>'Data Cleaning'!G338</f>
        <v>Online</v>
      </c>
      <c r="H338" s="2">
        <f>'Data Cleaning'!H338</f>
        <v>218.2</v>
      </c>
      <c r="I338">
        <f>'Data Cleaning'!I338</f>
        <v>20</v>
      </c>
      <c r="J338" s="2">
        <f>'Data Cleaning'!J338</f>
        <v>4364</v>
      </c>
    </row>
    <row r="339" spans="1:10" x14ac:dyDescent="0.25">
      <c r="A339" t="str">
        <f>'Data Cleaning'!A339</f>
        <v>S338</v>
      </c>
      <c r="B339" s="113">
        <f>'Data Cleaning'!B339</f>
        <v>45961</v>
      </c>
      <c r="C339" t="str">
        <f>'Data Cleaning'!C339</f>
        <v>Adidas</v>
      </c>
      <c r="D339" t="str">
        <f>'Data Cleaning'!D339</f>
        <v>Casual</v>
      </c>
      <c r="E339" t="str">
        <f>'Data Cleaning'!E339</f>
        <v>Green</v>
      </c>
      <c r="F339" t="str">
        <f>'Data Cleaning'!F339</f>
        <v>India</v>
      </c>
      <c r="G339" t="str">
        <f>'Data Cleaning'!G339</f>
        <v>Mall</v>
      </c>
      <c r="H339" s="2">
        <f>'Data Cleaning'!H339</f>
        <v>184.8</v>
      </c>
      <c r="I339">
        <f>'Data Cleaning'!I339</f>
        <v>19</v>
      </c>
      <c r="J339" s="2">
        <f>'Data Cleaning'!J339</f>
        <v>3511.2</v>
      </c>
    </row>
    <row r="340" spans="1:10" x14ac:dyDescent="0.25">
      <c r="A340" t="str">
        <f>'Data Cleaning'!A340</f>
        <v>S339</v>
      </c>
      <c r="B340" s="113">
        <f>'Data Cleaning'!B340</f>
        <v>45967</v>
      </c>
      <c r="C340" t="str">
        <f>'Data Cleaning'!C340</f>
        <v>New Balance</v>
      </c>
      <c r="D340" t="str">
        <f>'Data Cleaning'!D340</f>
        <v>Running</v>
      </c>
      <c r="E340" t="str">
        <f>'Data Cleaning'!E340</f>
        <v>Black</v>
      </c>
      <c r="F340" t="str">
        <f>'Data Cleaning'!F340</f>
        <v>USA</v>
      </c>
      <c r="G340" t="str">
        <f>'Data Cleaning'!G340</f>
        <v>Online</v>
      </c>
      <c r="H340" s="2">
        <f>'Data Cleaning'!H340</f>
        <v>134.32</v>
      </c>
      <c r="I340">
        <f>'Data Cleaning'!I340</f>
        <v>11</v>
      </c>
      <c r="J340" s="2">
        <f>'Data Cleaning'!J340</f>
        <v>1477.52</v>
      </c>
    </row>
    <row r="341" spans="1:10" x14ac:dyDescent="0.25">
      <c r="A341" t="str">
        <f>'Data Cleaning'!A341</f>
        <v>S340</v>
      </c>
      <c r="B341" s="113">
        <f>'Data Cleaning'!B341</f>
        <v>45986</v>
      </c>
      <c r="C341" t="str">
        <f>'Data Cleaning'!C341</f>
        <v>Puma</v>
      </c>
      <c r="D341" t="str">
        <f>'Data Cleaning'!D341</f>
        <v>Boots</v>
      </c>
      <c r="E341" t="str">
        <f>'Data Cleaning'!E341</f>
        <v>White</v>
      </c>
      <c r="F341" t="str">
        <f>'Data Cleaning'!F341</f>
        <v>Saudi Arabia</v>
      </c>
      <c r="G341" t="str">
        <f>'Data Cleaning'!G341</f>
        <v>Mall</v>
      </c>
      <c r="H341" s="2">
        <f>'Data Cleaning'!H341</f>
        <v>51.52</v>
      </c>
      <c r="I341">
        <f>'Data Cleaning'!I341</f>
        <v>19</v>
      </c>
      <c r="J341" s="2">
        <f>'Data Cleaning'!J341</f>
        <v>978.88</v>
      </c>
    </row>
    <row r="342" spans="1:10" x14ac:dyDescent="0.25">
      <c r="A342" t="str">
        <f>'Data Cleaning'!A342</f>
        <v>S341</v>
      </c>
      <c r="B342" s="113">
        <f>'Data Cleaning'!B342</f>
        <v>45871</v>
      </c>
      <c r="C342" t="str">
        <f>'Data Cleaning'!C342</f>
        <v>Skechers</v>
      </c>
      <c r="D342" t="str">
        <f>'Data Cleaning'!D342</f>
        <v>Running</v>
      </c>
      <c r="E342" t="str">
        <f>'Data Cleaning'!E342</f>
        <v>Red</v>
      </c>
      <c r="F342" t="str">
        <f>'Data Cleaning'!F342</f>
        <v>UAE</v>
      </c>
      <c r="G342" t="str">
        <f>'Data Cleaning'!G342</f>
        <v>Mall</v>
      </c>
      <c r="H342" s="2">
        <f>'Data Cleaning'!H342</f>
        <v>138.16</v>
      </c>
      <c r="I342">
        <f>'Data Cleaning'!I342</f>
        <v>20</v>
      </c>
      <c r="J342" s="2">
        <f>'Data Cleaning'!J342</f>
        <v>2763.2</v>
      </c>
    </row>
    <row r="343" spans="1:10" x14ac:dyDescent="0.25">
      <c r="A343" t="str">
        <f>'Data Cleaning'!A343</f>
        <v>S342</v>
      </c>
      <c r="B343" s="113">
        <f>'Data Cleaning'!B343</f>
        <v>45806</v>
      </c>
      <c r="C343" t="str">
        <f>'Data Cleaning'!C343</f>
        <v>Reebok</v>
      </c>
      <c r="D343" t="str">
        <f>'Data Cleaning'!D343</f>
        <v>Casual</v>
      </c>
      <c r="E343" t="str">
        <f>'Data Cleaning'!E343</f>
        <v>Green</v>
      </c>
      <c r="F343" t="str">
        <f>'Data Cleaning'!F343</f>
        <v>Germany</v>
      </c>
      <c r="G343" t="str">
        <f>'Data Cleaning'!G343</f>
        <v>Retail Store</v>
      </c>
      <c r="H343" s="2">
        <f>'Data Cleaning'!H343</f>
        <v>134.16</v>
      </c>
      <c r="I343">
        <f>'Data Cleaning'!I343</f>
        <v>10</v>
      </c>
      <c r="J343" s="2">
        <f>'Data Cleaning'!J343</f>
        <v>1341.6</v>
      </c>
    </row>
    <row r="344" spans="1:10" x14ac:dyDescent="0.25">
      <c r="A344" t="str">
        <f>'Data Cleaning'!A344</f>
        <v>S343</v>
      </c>
      <c r="B344" s="113">
        <f>'Data Cleaning'!B344</f>
        <v>45890</v>
      </c>
      <c r="C344" t="str">
        <f>'Data Cleaning'!C344</f>
        <v>Skechers</v>
      </c>
      <c r="D344" t="str">
        <f>'Data Cleaning'!D344</f>
        <v>Running</v>
      </c>
      <c r="E344" t="str">
        <f>'Data Cleaning'!E344</f>
        <v>White</v>
      </c>
      <c r="F344" t="str">
        <f>'Data Cleaning'!F344</f>
        <v>Germany</v>
      </c>
      <c r="G344" t="str">
        <f>'Data Cleaning'!G344</f>
        <v>Retail Store</v>
      </c>
      <c r="H344" s="2">
        <f>'Data Cleaning'!H344</f>
        <v>68.099999999999994</v>
      </c>
      <c r="I344">
        <f>'Data Cleaning'!I344</f>
        <v>3</v>
      </c>
      <c r="J344" s="2">
        <f>'Data Cleaning'!J344</f>
        <v>204.3</v>
      </c>
    </row>
    <row r="345" spans="1:10" x14ac:dyDescent="0.25">
      <c r="A345" t="str">
        <f>'Data Cleaning'!A345</f>
        <v>S344</v>
      </c>
      <c r="B345" s="113">
        <f>'Data Cleaning'!B345</f>
        <v>45905</v>
      </c>
      <c r="C345" t="str">
        <f>'Data Cleaning'!C345</f>
        <v>Adidas</v>
      </c>
      <c r="D345" t="str">
        <f>'Data Cleaning'!D345</f>
        <v>Sports</v>
      </c>
      <c r="E345" t="str">
        <f>'Data Cleaning'!E345</f>
        <v>Grey</v>
      </c>
      <c r="F345" t="str">
        <f>'Data Cleaning'!F345</f>
        <v>UK</v>
      </c>
      <c r="G345" t="str">
        <f>'Data Cleaning'!G345</f>
        <v>Retail Store</v>
      </c>
      <c r="H345" s="2">
        <f>'Data Cleaning'!H345</f>
        <v>125.45</v>
      </c>
      <c r="I345">
        <f>'Data Cleaning'!I345</f>
        <v>15</v>
      </c>
      <c r="J345" s="2">
        <f>'Data Cleaning'!J345</f>
        <v>1881.75</v>
      </c>
    </row>
    <row r="346" spans="1:10" x14ac:dyDescent="0.25">
      <c r="A346" t="str">
        <f>'Data Cleaning'!A346</f>
        <v>S345</v>
      </c>
      <c r="B346" s="113">
        <f>'Data Cleaning'!B346</f>
        <v>45821</v>
      </c>
      <c r="C346" t="str">
        <f>'Data Cleaning'!C346</f>
        <v>Reebok</v>
      </c>
      <c r="D346" t="str">
        <f>'Data Cleaning'!D346</f>
        <v>Casual</v>
      </c>
      <c r="E346" t="str">
        <f>'Data Cleaning'!E346</f>
        <v>Blue</v>
      </c>
      <c r="F346" t="str">
        <f>'Data Cleaning'!F346</f>
        <v>India</v>
      </c>
      <c r="G346" t="str">
        <f>'Data Cleaning'!G346</f>
        <v>Mall</v>
      </c>
      <c r="H346" s="2">
        <f>'Data Cleaning'!H346</f>
        <v>117.67</v>
      </c>
      <c r="I346">
        <f>'Data Cleaning'!I346</f>
        <v>12</v>
      </c>
      <c r="J346" s="2">
        <f>'Data Cleaning'!J346</f>
        <v>1412.04</v>
      </c>
    </row>
    <row r="347" spans="1:10" x14ac:dyDescent="0.25">
      <c r="A347" t="str">
        <f>'Data Cleaning'!A347</f>
        <v>S346</v>
      </c>
      <c r="B347" s="113">
        <f>'Data Cleaning'!B347</f>
        <v>45712</v>
      </c>
      <c r="C347" t="str">
        <f>'Data Cleaning'!C347</f>
        <v>Adidas</v>
      </c>
      <c r="D347" t="str">
        <f>'Data Cleaning'!D347</f>
        <v>Formal</v>
      </c>
      <c r="E347" t="str">
        <f>'Data Cleaning'!E347</f>
        <v>Black</v>
      </c>
      <c r="F347" t="str">
        <f>'Data Cleaning'!F347</f>
        <v>France</v>
      </c>
      <c r="G347" t="str">
        <f>'Data Cleaning'!G347</f>
        <v>Retail Store</v>
      </c>
      <c r="H347" s="2">
        <f>'Data Cleaning'!H347</f>
        <v>165.49</v>
      </c>
      <c r="I347">
        <f>'Data Cleaning'!I347</f>
        <v>11</v>
      </c>
      <c r="J347" s="2">
        <f>'Data Cleaning'!J347</f>
        <v>1820.39</v>
      </c>
    </row>
    <row r="348" spans="1:10" x14ac:dyDescent="0.25">
      <c r="A348" t="str">
        <f>'Data Cleaning'!A348</f>
        <v>S347</v>
      </c>
      <c r="B348" s="113">
        <f>'Data Cleaning'!B348</f>
        <v>45784</v>
      </c>
      <c r="C348" t="str">
        <f>'Data Cleaning'!C348</f>
        <v>Nike</v>
      </c>
      <c r="D348" t="str">
        <f>'Data Cleaning'!D348</f>
        <v>Running</v>
      </c>
      <c r="E348" t="str">
        <f>'Data Cleaning'!E348</f>
        <v>Blue</v>
      </c>
      <c r="F348" t="str">
        <f>'Data Cleaning'!F348</f>
        <v>Germany</v>
      </c>
      <c r="G348" t="str">
        <f>'Data Cleaning'!G348</f>
        <v>Mall</v>
      </c>
      <c r="H348" s="2">
        <f>'Data Cleaning'!H348</f>
        <v>169.72</v>
      </c>
      <c r="I348">
        <f>'Data Cleaning'!I348</f>
        <v>5</v>
      </c>
      <c r="J348" s="2">
        <f>'Data Cleaning'!J348</f>
        <v>848.6</v>
      </c>
    </row>
    <row r="349" spans="1:10" x14ac:dyDescent="0.25">
      <c r="A349" t="str">
        <f>'Data Cleaning'!A349</f>
        <v>S348</v>
      </c>
      <c r="B349" s="113">
        <f>'Data Cleaning'!B349</f>
        <v>45872</v>
      </c>
      <c r="C349" t="str">
        <f>'Data Cleaning'!C349</f>
        <v>Adidas</v>
      </c>
      <c r="D349" t="str">
        <f>'Data Cleaning'!D349</f>
        <v>Sports</v>
      </c>
      <c r="E349" t="str">
        <f>'Data Cleaning'!E349</f>
        <v>Grey</v>
      </c>
      <c r="F349" t="str">
        <f>'Data Cleaning'!F349</f>
        <v>UAE</v>
      </c>
      <c r="G349" t="str">
        <f>'Data Cleaning'!G349</f>
        <v>Retail Store</v>
      </c>
      <c r="H349" s="2">
        <f>'Data Cleaning'!H349</f>
        <v>39.97</v>
      </c>
      <c r="I349">
        <f>'Data Cleaning'!I349</f>
        <v>8</v>
      </c>
      <c r="J349" s="2">
        <f>'Data Cleaning'!J349</f>
        <v>319.76</v>
      </c>
    </row>
    <row r="350" spans="1:10" x14ac:dyDescent="0.25">
      <c r="A350" t="str">
        <f>'Data Cleaning'!A350</f>
        <v>S349</v>
      </c>
      <c r="B350" s="113">
        <f>'Data Cleaning'!B350</f>
        <v>45755</v>
      </c>
      <c r="C350" t="str">
        <f>'Data Cleaning'!C350</f>
        <v>Reebok</v>
      </c>
      <c r="D350" t="str">
        <f>'Data Cleaning'!D350</f>
        <v>Sneakers</v>
      </c>
      <c r="E350" t="str">
        <f>'Data Cleaning'!E350</f>
        <v>Red</v>
      </c>
      <c r="F350" t="str">
        <f>'Data Cleaning'!F350</f>
        <v>Germany</v>
      </c>
      <c r="G350" t="str">
        <f>'Data Cleaning'!G350</f>
        <v>Retail Store</v>
      </c>
      <c r="H350" s="2">
        <f>'Data Cleaning'!H350</f>
        <v>112.41</v>
      </c>
      <c r="I350">
        <f>'Data Cleaning'!I350</f>
        <v>6</v>
      </c>
      <c r="J350" s="2">
        <f>'Data Cleaning'!J350</f>
        <v>674.46</v>
      </c>
    </row>
    <row r="351" spans="1:10" x14ac:dyDescent="0.25">
      <c r="A351" t="str">
        <f>'Data Cleaning'!A351</f>
        <v>S350</v>
      </c>
      <c r="B351" s="113">
        <f>'Data Cleaning'!B351</f>
        <v>45912</v>
      </c>
      <c r="C351" t="str">
        <f>'Data Cleaning'!C351</f>
        <v>Nike</v>
      </c>
      <c r="D351" t="str">
        <f>'Data Cleaning'!D351</f>
        <v>Formal</v>
      </c>
      <c r="E351" t="str">
        <f>'Data Cleaning'!E351</f>
        <v>Grey</v>
      </c>
      <c r="F351" t="str">
        <f>'Data Cleaning'!F351</f>
        <v>Germany</v>
      </c>
      <c r="G351" t="str">
        <f>'Data Cleaning'!G351</f>
        <v>Online</v>
      </c>
      <c r="H351" s="2">
        <f>'Data Cleaning'!H351</f>
        <v>167.69</v>
      </c>
      <c r="I351">
        <f>'Data Cleaning'!I351</f>
        <v>1</v>
      </c>
      <c r="J351" s="2">
        <f>'Data Cleaning'!J351</f>
        <v>167.69</v>
      </c>
    </row>
    <row r="352" spans="1:10" x14ac:dyDescent="0.25">
      <c r="A352" t="str">
        <f>'Data Cleaning'!A352</f>
        <v>S351</v>
      </c>
      <c r="B352" s="113">
        <f>'Data Cleaning'!B352</f>
        <v>45768</v>
      </c>
      <c r="C352" t="str">
        <f>'Data Cleaning'!C352</f>
        <v>Puma</v>
      </c>
      <c r="D352" t="str">
        <f>'Data Cleaning'!D352</f>
        <v>Running</v>
      </c>
      <c r="E352" t="str">
        <f>'Data Cleaning'!E352</f>
        <v>Black</v>
      </c>
      <c r="F352" t="str">
        <f>'Data Cleaning'!F352</f>
        <v>France</v>
      </c>
      <c r="G352" t="str">
        <f>'Data Cleaning'!G352</f>
        <v>Retail Store</v>
      </c>
      <c r="H352" s="2">
        <f>'Data Cleaning'!H352</f>
        <v>140.69</v>
      </c>
      <c r="I352">
        <f>'Data Cleaning'!I352</f>
        <v>19</v>
      </c>
      <c r="J352" s="2">
        <f>'Data Cleaning'!J352</f>
        <v>2673.11</v>
      </c>
    </row>
    <row r="353" spans="1:10" x14ac:dyDescent="0.25">
      <c r="A353" t="str">
        <f>'Data Cleaning'!A353</f>
        <v>S352</v>
      </c>
      <c r="B353" s="113">
        <f>'Data Cleaning'!B353</f>
        <v>45963</v>
      </c>
      <c r="C353" t="str">
        <f>'Data Cleaning'!C353</f>
        <v>Puma</v>
      </c>
      <c r="D353" t="str">
        <f>'Data Cleaning'!D353</f>
        <v>Sneakers</v>
      </c>
      <c r="E353" t="str">
        <f>'Data Cleaning'!E353</f>
        <v>Black</v>
      </c>
      <c r="F353" t="str">
        <f>'Data Cleaning'!F353</f>
        <v>Saudi Arabia</v>
      </c>
      <c r="G353" t="str">
        <f>'Data Cleaning'!G353</f>
        <v>Online</v>
      </c>
      <c r="H353" s="2">
        <f>'Data Cleaning'!H353</f>
        <v>218.43</v>
      </c>
      <c r="I353">
        <f>'Data Cleaning'!I353</f>
        <v>16</v>
      </c>
      <c r="J353" s="2">
        <f>'Data Cleaning'!J353</f>
        <v>3494.88</v>
      </c>
    </row>
    <row r="354" spans="1:10" x14ac:dyDescent="0.25">
      <c r="A354" t="str">
        <f>'Data Cleaning'!A354</f>
        <v>S353</v>
      </c>
      <c r="B354" s="113">
        <f>'Data Cleaning'!B354</f>
        <v>45878</v>
      </c>
      <c r="C354" t="str">
        <f>'Data Cleaning'!C354</f>
        <v>Puma</v>
      </c>
      <c r="D354" t="str">
        <f>'Data Cleaning'!D354</f>
        <v>Boots</v>
      </c>
      <c r="E354" t="str">
        <f>'Data Cleaning'!E354</f>
        <v>Blue</v>
      </c>
      <c r="F354" t="str">
        <f>'Data Cleaning'!F354</f>
        <v>Saudi Arabia</v>
      </c>
      <c r="G354" t="str">
        <f>'Data Cleaning'!G354</f>
        <v>Retail Store</v>
      </c>
      <c r="H354" s="2">
        <f>'Data Cleaning'!H354</f>
        <v>174.91</v>
      </c>
      <c r="I354">
        <f>'Data Cleaning'!I354</f>
        <v>5</v>
      </c>
      <c r="J354" s="2">
        <f>'Data Cleaning'!J354</f>
        <v>874.55</v>
      </c>
    </row>
    <row r="355" spans="1:10" x14ac:dyDescent="0.25">
      <c r="A355" t="str">
        <f>'Data Cleaning'!A355</f>
        <v>S354</v>
      </c>
      <c r="B355" s="113">
        <f>'Data Cleaning'!B355</f>
        <v>45845</v>
      </c>
      <c r="C355" t="str">
        <f>'Data Cleaning'!C355</f>
        <v>Reebok</v>
      </c>
      <c r="D355" t="str">
        <f>'Data Cleaning'!D355</f>
        <v>Running</v>
      </c>
      <c r="E355" t="str">
        <f>'Data Cleaning'!E355</f>
        <v>Grey</v>
      </c>
      <c r="F355" t="str">
        <f>'Data Cleaning'!F355</f>
        <v>India</v>
      </c>
      <c r="G355" t="str">
        <f>'Data Cleaning'!G355</f>
        <v>Online</v>
      </c>
      <c r="H355" s="2">
        <f>'Data Cleaning'!H355</f>
        <v>65.849999999999994</v>
      </c>
      <c r="I355">
        <f>'Data Cleaning'!I355</f>
        <v>2</v>
      </c>
      <c r="J355" s="2">
        <f>'Data Cleaning'!J355</f>
        <v>131.69999999999999</v>
      </c>
    </row>
    <row r="356" spans="1:10" x14ac:dyDescent="0.25">
      <c r="A356" t="str">
        <f>'Data Cleaning'!A356</f>
        <v>S355</v>
      </c>
      <c r="B356" s="113">
        <f>'Data Cleaning'!B356</f>
        <v>45843</v>
      </c>
      <c r="C356" t="str">
        <f>'Data Cleaning'!C356</f>
        <v>Puma</v>
      </c>
      <c r="D356" t="str">
        <f>'Data Cleaning'!D356</f>
        <v>Running</v>
      </c>
      <c r="E356" t="str">
        <f>'Data Cleaning'!E356</f>
        <v>Red</v>
      </c>
      <c r="F356" t="str">
        <f>'Data Cleaning'!F356</f>
        <v>India</v>
      </c>
      <c r="G356" t="str">
        <f>'Data Cleaning'!G356</f>
        <v>Retail Store</v>
      </c>
      <c r="H356" s="2">
        <f>'Data Cleaning'!H356</f>
        <v>45.53</v>
      </c>
      <c r="I356">
        <f>'Data Cleaning'!I356</f>
        <v>18</v>
      </c>
      <c r="J356" s="2">
        <f>'Data Cleaning'!J356</f>
        <v>819.54</v>
      </c>
    </row>
    <row r="357" spans="1:10" x14ac:dyDescent="0.25">
      <c r="A357" t="str">
        <f>'Data Cleaning'!A357</f>
        <v>S356</v>
      </c>
      <c r="B357" s="113">
        <f>'Data Cleaning'!B357</f>
        <v>45939</v>
      </c>
      <c r="C357" t="str">
        <f>'Data Cleaning'!C357</f>
        <v>New Balance</v>
      </c>
      <c r="D357" t="str">
        <f>'Data Cleaning'!D357</f>
        <v>Boots</v>
      </c>
      <c r="E357" t="str">
        <f>'Data Cleaning'!E357</f>
        <v>Grey</v>
      </c>
      <c r="F357" t="str">
        <f>'Data Cleaning'!F357</f>
        <v>USA</v>
      </c>
      <c r="G357" t="str">
        <f>'Data Cleaning'!G357</f>
        <v>Online</v>
      </c>
      <c r="H357" s="2">
        <f>'Data Cleaning'!H357</f>
        <v>171.33</v>
      </c>
      <c r="I357">
        <f>'Data Cleaning'!I357</f>
        <v>9</v>
      </c>
      <c r="J357" s="2">
        <f>'Data Cleaning'!J357</f>
        <v>1541.97</v>
      </c>
    </row>
    <row r="358" spans="1:10" x14ac:dyDescent="0.25">
      <c r="A358" t="str">
        <f>'Data Cleaning'!A358</f>
        <v>S357</v>
      </c>
      <c r="B358" s="113">
        <f>'Data Cleaning'!B358</f>
        <v>45707</v>
      </c>
      <c r="C358" t="str">
        <f>'Data Cleaning'!C358</f>
        <v>Puma</v>
      </c>
      <c r="D358" t="str">
        <f>'Data Cleaning'!D358</f>
        <v>Sports</v>
      </c>
      <c r="E358" t="str">
        <f>'Data Cleaning'!E358</f>
        <v>Grey</v>
      </c>
      <c r="F358" t="str">
        <f>'Data Cleaning'!F358</f>
        <v>France</v>
      </c>
      <c r="G358" t="str">
        <f>'Data Cleaning'!G358</f>
        <v>Online</v>
      </c>
      <c r="H358" s="2">
        <f>'Data Cleaning'!H358</f>
        <v>35.83</v>
      </c>
      <c r="I358">
        <f>'Data Cleaning'!I358</f>
        <v>13</v>
      </c>
      <c r="J358" s="2">
        <f>'Data Cleaning'!J358</f>
        <v>465.79</v>
      </c>
    </row>
    <row r="359" spans="1:10" x14ac:dyDescent="0.25">
      <c r="A359" t="str">
        <f>'Data Cleaning'!A359</f>
        <v>S358</v>
      </c>
      <c r="B359" s="113">
        <f>'Data Cleaning'!B359</f>
        <v>45759</v>
      </c>
      <c r="C359" t="str">
        <f>'Data Cleaning'!C359</f>
        <v>New Balance</v>
      </c>
      <c r="D359" t="str">
        <f>'Data Cleaning'!D359</f>
        <v>Formal</v>
      </c>
      <c r="E359" t="str">
        <f>'Data Cleaning'!E359</f>
        <v>Grey</v>
      </c>
      <c r="F359" t="str">
        <f>'Data Cleaning'!F359</f>
        <v>USA</v>
      </c>
      <c r="G359" t="str">
        <f>'Data Cleaning'!G359</f>
        <v>Online</v>
      </c>
      <c r="H359" s="2">
        <f>'Data Cleaning'!H359</f>
        <v>158.87</v>
      </c>
      <c r="I359">
        <f>'Data Cleaning'!I359</f>
        <v>20</v>
      </c>
      <c r="J359" s="2">
        <f>'Data Cleaning'!J359</f>
        <v>3177.4</v>
      </c>
    </row>
    <row r="360" spans="1:10" x14ac:dyDescent="0.25">
      <c r="A360" t="str">
        <f>'Data Cleaning'!A360</f>
        <v>S359</v>
      </c>
      <c r="B360" s="113">
        <f>'Data Cleaning'!B360</f>
        <v>45677</v>
      </c>
      <c r="C360" t="str">
        <f>'Data Cleaning'!C360</f>
        <v>Skechers</v>
      </c>
      <c r="D360" t="str">
        <f>'Data Cleaning'!D360</f>
        <v>Sports</v>
      </c>
      <c r="E360" t="str">
        <f>'Data Cleaning'!E360</f>
        <v>Red</v>
      </c>
      <c r="F360" t="str">
        <f>'Data Cleaning'!F360</f>
        <v>India</v>
      </c>
      <c r="G360" t="str">
        <f>'Data Cleaning'!G360</f>
        <v>Retail Store</v>
      </c>
      <c r="H360" s="2">
        <f>'Data Cleaning'!H360</f>
        <v>236.85</v>
      </c>
      <c r="I360">
        <f>'Data Cleaning'!I360</f>
        <v>5</v>
      </c>
      <c r="J360" s="2">
        <f>'Data Cleaning'!J360</f>
        <v>1184.25</v>
      </c>
    </row>
    <row r="361" spans="1:10" x14ac:dyDescent="0.25">
      <c r="A361" t="str">
        <f>'Data Cleaning'!A361</f>
        <v>S360</v>
      </c>
      <c r="B361" s="113">
        <f>'Data Cleaning'!B361</f>
        <v>45734</v>
      </c>
      <c r="C361" t="str">
        <f>'Data Cleaning'!C361</f>
        <v>New Balance</v>
      </c>
      <c r="D361" t="str">
        <f>'Data Cleaning'!D361</f>
        <v>Casual</v>
      </c>
      <c r="E361" t="str">
        <f>'Data Cleaning'!E361</f>
        <v>Blue</v>
      </c>
      <c r="F361" t="str">
        <f>'Data Cleaning'!F361</f>
        <v>India</v>
      </c>
      <c r="G361" t="str">
        <f>'Data Cleaning'!G361</f>
        <v>Retail Store</v>
      </c>
      <c r="H361" s="2">
        <f>'Data Cleaning'!H361</f>
        <v>156.6</v>
      </c>
      <c r="I361">
        <f>'Data Cleaning'!I361</f>
        <v>20</v>
      </c>
      <c r="J361" s="2">
        <f>'Data Cleaning'!J361</f>
        <v>3132</v>
      </c>
    </row>
    <row r="362" spans="1:10" x14ac:dyDescent="0.25">
      <c r="A362" t="str">
        <f>'Data Cleaning'!A362</f>
        <v>S361</v>
      </c>
      <c r="B362" s="113">
        <f>'Data Cleaning'!B362</f>
        <v>45741</v>
      </c>
      <c r="C362" t="str">
        <f>'Data Cleaning'!C362</f>
        <v>New Balance</v>
      </c>
      <c r="D362" t="str">
        <f>'Data Cleaning'!D362</f>
        <v>Boots</v>
      </c>
      <c r="E362" t="str">
        <f>'Data Cleaning'!E362</f>
        <v>Blue</v>
      </c>
      <c r="F362" t="str">
        <f>'Data Cleaning'!F362</f>
        <v>India</v>
      </c>
      <c r="G362" t="str">
        <f>'Data Cleaning'!G362</f>
        <v>Retail Store</v>
      </c>
      <c r="H362" s="2">
        <f>'Data Cleaning'!H362</f>
        <v>115.4</v>
      </c>
      <c r="I362">
        <f>'Data Cleaning'!I362</f>
        <v>13</v>
      </c>
      <c r="J362" s="2">
        <f>'Data Cleaning'!J362</f>
        <v>1500.2</v>
      </c>
    </row>
    <row r="363" spans="1:10" x14ac:dyDescent="0.25">
      <c r="A363" t="str">
        <f>'Data Cleaning'!A363</f>
        <v>S362</v>
      </c>
      <c r="B363" s="113">
        <f>'Data Cleaning'!B363</f>
        <v>45917</v>
      </c>
      <c r="C363" t="str">
        <f>'Data Cleaning'!C363</f>
        <v>New Balance</v>
      </c>
      <c r="D363" t="str">
        <f>'Data Cleaning'!D363</f>
        <v>Formal</v>
      </c>
      <c r="E363" t="str">
        <f>'Data Cleaning'!E363</f>
        <v>Green</v>
      </c>
      <c r="F363" t="str">
        <f>'Data Cleaning'!F363</f>
        <v>India</v>
      </c>
      <c r="G363" t="str">
        <f>'Data Cleaning'!G363</f>
        <v>Retail Store</v>
      </c>
      <c r="H363" s="2">
        <f>'Data Cleaning'!H363</f>
        <v>171.52</v>
      </c>
      <c r="I363">
        <f>'Data Cleaning'!I363</f>
        <v>17</v>
      </c>
      <c r="J363" s="2">
        <f>'Data Cleaning'!J363</f>
        <v>2915.84</v>
      </c>
    </row>
    <row r="364" spans="1:10" x14ac:dyDescent="0.25">
      <c r="A364" t="str">
        <f>'Data Cleaning'!A364</f>
        <v>S363</v>
      </c>
      <c r="B364" s="113">
        <f>'Data Cleaning'!B364</f>
        <v>45901</v>
      </c>
      <c r="C364" t="str">
        <f>'Data Cleaning'!C364</f>
        <v>Puma</v>
      </c>
      <c r="D364" t="str">
        <f>'Data Cleaning'!D364</f>
        <v>Sports</v>
      </c>
      <c r="E364" t="str">
        <f>'Data Cleaning'!E364</f>
        <v>Green</v>
      </c>
      <c r="F364" t="str">
        <f>'Data Cleaning'!F364</f>
        <v>USA</v>
      </c>
      <c r="G364" t="str">
        <f>'Data Cleaning'!G364</f>
        <v>Retail Store</v>
      </c>
      <c r="H364" s="2">
        <f>'Data Cleaning'!H364</f>
        <v>130.82</v>
      </c>
      <c r="I364">
        <f>'Data Cleaning'!I364</f>
        <v>1</v>
      </c>
      <c r="J364" s="2">
        <f>'Data Cleaning'!J364</f>
        <v>130.82</v>
      </c>
    </row>
    <row r="365" spans="1:10" x14ac:dyDescent="0.25">
      <c r="A365" t="str">
        <f>'Data Cleaning'!A365</f>
        <v>S364</v>
      </c>
      <c r="B365" s="113">
        <f>'Data Cleaning'!B365</f>
        <v>45956</v>
      </c>
      <c r="C365" t="str">
        <f>'Data Cleaning'!C365</f>
        <v>Skechers</v>
      </c>
      <c r="D365" t="str">
        <f>'Data Cleaning'!D365</f>
        <v>Boots</v>
      </c>
      <c r="E365" t="str">
        <f>'Data Cleaning'!E365</f>
        <v>Green</v>
      </c>
      <c r="F365" t="str">
        <f>'Data Cleaning'!F365</f>
        <v>USA</v>
      </c>
      <c r="G365" t="str">
        <f>'Data Cleaning'!G365</f>
        <v>Mall</v>
      </c>
      <c r="H365" s="2">
        <f>'Data Cleaning'!H365</f>
        <v>150.04</v>
      </c>
      <c r="I365">
        <f>'Data Cleaning'!I365</f>
        <v>10</v>
      </c>
      <c r="J365" s="2">
        <f>'Data Cleaning'!J365</f>
        <v>1500.4</v>
      </c>
    </row>
    <row r="366" spans="1:10" x14ac:dyDescent="0.25">
      <c r="A366" t="str">
        <f>'Data Cleaning'!A366</f>
        <v>S365</v>
      </c>
      <c r="B366" s="113">
        <f>'Data Cleaning'!B366</f>
        <v>45900</v>
      </c>
      <c r="C366" t="str">
        <f>'Data Cleaning'!C366</f>
        <v>Skechers</v>
      </c>
      <c r="D366" t="str">
        <f>'Data Cleaning'!D366</f>
        <v>Sneakers</v>
      </c>
      <c r="E366" t="str">
        <f>'Data Cleaning'!E366</f>
        <v>Grey</v>
      </c>
      <c r="F366" t="str">
        <f>'Data Cleaning'!F366</f>
        <v>UK</v>
      </c>
      <c r="G366" t="str">
        <f>'Data Cleaning'!G366</f>
        <v>Mall</v>
      </c>
      <c r="H366" s="2">
        <f>'Data Cleaning'!H366</f>
        <v>237.12</v>
      </c>
      <c r="I366">
        <f>'Data Cleaning'!I366</f>
        <v>9</v>
      </c>
      <c r="J366" s="2">
        <f>'Data Cleaning'!J366</f>
        <v>2134.08</v>
      </c>
    </row>
    <row r="367" spans="1:10" x14ac:dyDescent="0.25">
      <c r="A367" t="str">
        <f>'Data Cleaning'!A367</f>
        <v>S366</v>
      </c>
      <c r="B367" s="113">
        <f>'Data Cleaning'!B367</f>
        <v>45684</v>
      </c>
      <c r="C367" t="str">
        <f>'Data Cleaning'!C367</f>
        <v>Reebok</v>
      </c>
      <c r="D367" t="str">
        <f>'Data Cleaning'!D367</f>
        <v>Casual</v>
      </c>
      <c r="E367" t="str">
        <f>'Data Cleaning'!E367</f>
        <v>Grey</v>
      </c>
      <c r="F367" t="str">
        <f>'Data Cleaning'!F367</f>
        <v>UAE</v>
      </c>
      <c r="G367" t="str">
        <f>'Data Cleaning'!G367</f>
        <v>Mall</v>
      </c>
      <c r="H367" s="2">
        <f>'Data Cleaning'!H367</f>
        <v>114.94</v>
      </c>
      <c r="I367">
        <f>'Data Cleaning'!I367</f>
        <v>19</v>
      </c>
      <c r="J367" s="2">
        <f>'Data Cleaning'!J367</f>
        <v>2183.86</v>
      </c>
    </row>
    <row r="368" spans="1:10" x14ac:dyDescent="0.25">
      <c r="A368" t="str">
        <f>'Data Cleaning'!A368</f>
        <v>S367</v>
      </c>
      <c r="B368" s="113">
        <f>'Data Cleaning'!B368</f>
        <v>45975</v>
      </c>
      <c r="C368" t="str">
        <f>'Data Cleaning'!C368</f>
        <v>Adidas</v>
      </c>
      <c r="D368" t="str">
        <f>'Data Cleaning'!D368</f>
        <v>Boots</v>
      </c>
      <c r="E368" t="str">
        <f>'Data Cleaning'!E368</f>
        <v>White</v>
      </c>
      <c r="F368" t="str">
        <f>'Data Cleaning'!F368</f>
        <v>USA</v>
      </c>
      <c r="G368" t="str">
        <f>'Data Cleaning'!G368</f>
        <v>Mall</v>
      </c>
      <c r="H368" s="2">
        <f>'Data Cleaning'!H368</f>
        <v>241.46</v>
      </c>
      <c r="I368">
        <f>'Data Cleaning'!I368</f>
        <v>13</v>
      </c>
      <c r="J368" s="2">
        <f>'Data Cleaning'!J368</f>
        <v>3138.98</v>
      </c>
    </row>
    <row r="369" spans="1:10" x14ac:dyDescent="0.25">
      <c r="A369" t="str">
        <f>'Data Cleaning'!A369</f>
        <v>S368</v>
      </c>
      <c r="B369" s="113">
        <f>'Data Cleaning'!B369</f>
        <v>46016</v>
      </c>
      <c r="C369" t="str">
        <f>'Data Cleaning'!C369</f>
        <v>Adidas</v>
      </c>
      <c r="D369" t="str">
        <f>'Data Cleaning'!D369</f>
        <v>Running</v>
      </c>
      <c r="E369" t="str">
        <f>'Data Cleaning'!E369</f>
        <v>Red</v>
      </c>
      <c r="F369" t="str">
        <f>'Data Cleaning'!F369</f>
        <v>France</v>
      </c>
      <c r="G369" t="str">
        <f>'Data Cleaning'!G369</f>
        <v>Retail Store</v>
      </c>
      <c r="H369" s="2">
        <f>'Data Cleaning'!H369</f>
        <v>229.18</v>
      </c>
      <c r="I369">
        <f>'Data Cleaning'!I369</f>
        <v>4</v>
      </c>
      <c r="J369" s="2">
        <f>'Data Cleaning'!J369</f>
        <v>916.72</v>
      </c>
    </row>
    <row r="370" spans="1:10" x14ac:dyDescent="0.25">
      <c r="A370" t="str">
        <f>'Data Cleaning'!A370</f>
        <v>S369</v>
      </c>
      <c r="B370" s="113">
        <f>'Data Cleaning'!B370</f>
        <v>45735</v>
      </c>
      <c r="C370" t="str">
        <f>'Data Cleaning'!C370</f>
        <v>Skechers</v>
      </c>
      <c r="D370" t="str">
        <f>'Data Cleaning'!D370</f>
        <v>Casual</v>
      </c>
      <c r="E370" t="str">
        <f>'Data Cleaning'!E370</f>
        <v>Red</v>
      </c>
      <c r="F370" t="str">
        <f>'Data Cleaning'!F370</f>
        <v>India</v>
      </c>
      <c r="G370" t="str">
        <f>'Data Cleaning'!G370</f>
        <v>Mall</v>
      </c>
      <c r="H370" s="2">
        <f>'Data Cleaning'!H370</f>
        <v>73.069999999999993</v>
      </c>
      <c r="I370">
        <f>'Data Cleaning'!I370</f>
        <v>14</v>
      </c>
      <c r="J370" s="2">
        <f>'Data Cleaning'!J370</f>
        <v>1022.98</v>
      </c>
    </row>
    <row r="371" spans="1:10" x14ac:dyDescent="0.25">
      <c r="A371" t="str">
        <f>'Data Cleaning'!A371</f>
        <v>S370</v>
      </c>
      <c r="B371" s="113">
        <f>'Data Cleaning'!B371</f>
        <v>45899</v>
      </c>
      <c r="C371" t="str">
        <f>'Data Cleaning'!C371</f>
        <v>Skechers</v>
      </c>
      <c r="D371" t="str">
        <f>'Data Cleaning'!D371</f>
        <v>Casual</v>
      </c>
      <c r="E371" t="str">
        <f>'Data Cleaning'!E371</f>
        <v>Grey</v>
      </c>
      <c r="F371" t="str">
        <f>'Data Cleaning'!F371</f>
        <v>UK</v>
      </c>
      <c r="G371" t="str">
        <f>'Data Cleaning'!G371</f>
        <v>Mall</v>
      </c>
      <c r="H371" s="2">
        <f>'Data Cleaning'!H371</f>
        <v>45.26</v>
      </c>
      <c r="I371">
        <f>'Data Cleaning'!I371</f>
        <v>2</v>
      </c>
      <c r="J371" s="2">
        <f>'Data Cleaning'!J371</f>
        <v>90.52</v>
      </c>
    </row>
    <row r="372" spans="1:10" x14ac:dyDescent="0.25">
      <c r="A372" t="str">
        <f>'Data Cleaning'!A372</f>
        <v>S371</v>
      </c>
      <c r="B372" s="113">
        <f>'Data Cleaning'!B372</f>
        <v>45824</v>
      </c>
      <c r="C372" t="str">
        <f>'Data Cleaning'!C372</f>
        <v>New Balance</v>
      </c>
      <c r="D372" t="str">
        <f>'Data Cleaning'!D372</f>
        <v>Formal</v>
      </c>
      <c r="E372" t="str">
        <f>'Data Cleaning'!E372</f>
        <v>Blue</v>
      </c>
      <c r="F372" t="str">
        <f>'Data Cleaning'!F372</f>
        <v>UK</v>
      </c>
      <c r="G372" t="str">
        <f>'Data Cleaning'!G372</f>
        <v>Retail Store</v>
      </c>
      <c r="H372" s="2">
        <f>'Data Cleaning'!H372</f>
        <v>52.17</v>
      </c>
      <c r="I372">
        <f>'Data Cleaning'!I372</f>
        <v>16</v>
      </c>
      <c r="J372" s="2">
        <f>'Data Cleaning'!J372</f>
        <v>834.72</v>
      </c>
    </row>
    <row r="373" spans="1:10" x14ac:dyDescent="0.25">
      <c r="A373" t="str">
        <f>'Data Cleaning'!A373</f>
        <v>S372</v>
      </c>
      <c r="B373" s="113">
        <f>'Data Cleaning'!B373</f>
        <v>45930</v>
      </c>
      <c r="C373" t="str">
        <f>'Data Cleaning'!C373</f>
        <v>New Balance</v>
      </c>
      <c r="D373" t="str">
        <f>'Data Cleaning'!D373</f>
        <v>Sports</v>
      </c>
      <c r="E373" t="str">
        <f>'Data Cleaning'!E373</f>
        <v>Green</v>
      </c>
      <c r="F373" t="str">
        <f>'Data Cleaning'!F373</f>
        <v>Saudi Arabia</v>
      </c>
      <c r="G373" t="str">
        <f>'Data Cleaning'!G373</f>
        <v>Mall</v>
      </c>
      <c r="H373" s="2">
        <f>'Data Cleaning'!H373</f>
        <v>34.01</v>
      </c>
      <c r="I373">
        <f>'Data Cleaning'!I373</f>
        <v>11</v>
      </c>
      <c r="J373" s="2">
        <f>'Data Cleaning'!J373</f>
        <v>374.11</v>
      </c>
    </row>
    <row r="374" spans="1:10" x14ac:dyDescent="0.25">
      <c r="A374" t="str">
        <f>'Data Cleaning'!A374</f>
        <v>S373</v>
      </c>
      <c r="B374" s="113">
        <f>'Data Cleaning'!B374</f>
        <v>46006</v>
      </c>
      <c r="C374" t="str">
        <f>'Data Cleaning'!C374</f>
        <v>New Balance</v>
      </c>
      <c r="D374" t="str">
        <f>'Data Cleaning'!D374</f>
        <v>Formal</v>
      </c>
      <c r="E374" t="str">
        <f>'Data Cleaning'!E374</f>
        <v>White</v>
      </c>
      <c r="F374" t="str">
        <f>'Data Cleaning'!F374</f>
        <v>UK</v>
      </c>
      <c r="G374" t="str">
        <f>'Data Cleaning'!G374</f>
        <v>Retail Store</v>
      </c>
      <c r="H374" s="2">
        <f>'Data Cleaning'!H374</f>
        <v>50.78</v>
      </c>
      <c r="I374">
        <f>'Data Cleaning'!I374</f>
        <v>9</v>
      </c>
      <c r="J374" s="2">
        <f>'Data Cleaning'!J374</f>
        <v>457.02</v>
      </c>
    </row>
    <row r="375" spans="1:10" x14ac:dyDescent="0.25">
      <c r="A375" t="str">
        <f>'Data Cleaning'!A375</f>
        <v>S374</v>
      </c>
      <c r="B375" s="113">
        <f>'Data Cleaning'!B375</f>
        <v>45943</v>
      </c>
      <c r="C375" t="str">
        <f>'Data Cleaning'!C375</f>
        <v>Adidas</v>
      </c>
      <c r="D375" t="str">
        <f>'Data Cleaning'!D375</f>
        <v>Sports</v>
      </c>
      <c r="E375" t="str">
        <f>'Data Cleaning'!E375</f>
        <v>Blue</v>
      </c>
      <c r="F375" t="str">
        <f>'Data Cleaning'!F375</f>
        <v>UAE</v>
      </c>
      <c r="G375" t="str">
        <f>'Data Cleaning'!G375</f>
        <v>Online</v>
      </c>
      <c r="H375" s="2">
        <f>'Data Cleaning'!H375</f>
        <v>180.26</v>
      </c>
      <c r="I375">
        <f>'Data Cleaning'!I375</f>
        <v>10</v>
      </c>
      <c r="J375" s="2">
        <f>'Data Cleaning'!J375</f>
        <v>1802.6</v>
      </c>
    </row>
    <row r="376" spans="1:10" x14ac:dyDescent="0.25">
      <c r="A376" t="str">
        <f>'Data Cleaning'!A376</f>
        <v>S375</v>
      </c>
      <c r="B376" s="113">
        <f>'Data Cleaning'!B376</f>
        <v>46011</v>
      </c>
      <c r="C376" t="str">
        <f>'Data Cleaning'!C376</f>
        <v>Puma</v>
      </c>
      <c r="D376" t="str">
        <f>'Data Cleaning'!D376</f>
        <v>Formal</v>
      </c>
      <c r="E376" t="str">
        <f>'Data Cleaning'!E376</f>
        <v>Blue</v>
      </c>
      <c r="F376" t="str">
        <f>'Data Cleaning'!F376</f>
        <v>India</v>
      </c>
      <c r="G376" t="str">
        <f>'Data Cleaning'!G376</f>
        <v>Mall</v>
      </c>
      <c r="H376" s="2">
        <f>'Data Cleaning'!H376</f>
        <v>45.66</v>
      </c>
      <c r="I376">
        <f>'Data Cleaning'!I376</f>
        <v>16</v>
      </c>
      <c r="J376" s="2">
        <f>'Data Cleaning'!J376</f>
        <v>730.56</v>
      </c>
    </row>
    <row r="377" spans="1:10" x14ac:dyDescent="0.25">
      <c r="A377" t="str">
        <f>'Data Cleaning'!A377</f>
        <v>S376</v>
      </c>
      <c r="B377" s="113">
        <f>'Data Cleaning'!B377</f>
        <v>45798</v>
      </c>
      <c r="C377" t="str">
        <f>'Data Cleaning'!C377</f>
        <v>Nike</v>
      </c>
      <c r="D377" t="str">
        <f>'Data Cleaning'!D377</f>
        <v>Sneakers</v>
      </c>
      <c r="E377" t="str">
        <f>'Data Cleaning'!E377</f>
        <v>Green</v>
      </c>
      <c r="F377" t="str">
        <f>'Data Cleaning'!F377</f>
        <v>India</v>
      </c>
      <c r="G377" t="str">
        <f>'Data Cleaning'!G377</f>
        <v>Retail Store</v>
      </c>
      <c r="H377" s="2">
        <f>'Data Cleaning'!H377</f>
        <v>100.17</v>
      </c>
      <c r="I377">
        <f>'Data Cleaning'!I377</f>
        <v>10</v>
      </c>
      <c r="J377" s="2">
        <f>'Data Cleaning'!J377</f>
        <v>1001.7</v>
      </c>
    </row>
    <row r="378" spans="1:10" x14ac:dyDescent="0.25">
      <c r="A378" t="str">
        <f>'Data Cleaning'!A378</f>
        <v>S377</v>
      </c>
      <c r="B378" s="113">
        <f>'Data Cleaning'!B378</f>
        <v>45860</v>
      </c>
      <c r="C378" t="str">
        <f>'Data Cleaning'!C378</f>
        <v>Adidas</v>
      </c>
      <c r="D378" t="str">
        <f>'Data Cleaning'!D378</f>
        <v>Sports</v>
      </c>
      <c r="E378" t="str">
        <f>'Data Cleaning'!E378</f>
        <v>Black</v>
      </c>
      <c r="F378" t="str">
        <f>'Data Cleaning'!F378</f>
        <v>France</v>
      </c>
      <c r="G378" t="str">
        <f>'Data Cleaning'!G378</f>
        <v>Mall</v>
      </c>
      <c r="H378" s="2">
        <f>'Data Cleaning'!H378</f>
        <v>215.87</v>
      </c>
      <c r="I378">
        <f>'Data Cleaning'!I378</f>
        <v>12</v>
      </c>
      <c r="J378" s="2">
        <f>'Data Cleaning'!J378</f>
        <v>2590.44</v>
      </c>
    </row>
    <row r="379" spans="1:10" x14ac:dyDescent="0.25">
      <c r="A379" t="str">
        <f>'Data Cleaning'!A379</f>
        <v>S378</v>
      </c>
      <c r="B379" s="113">
        <f>'Data Cleaning'!B379</f>
        <v>45698</v>
      </c>
      <c r="C379" t="str">
        <f>'Data Cleaning'!C379</f>
        <v>Reebok</v>
      </c>
      <c r="D379" t="str">
        <f>'Data Cleaning'!D379</f>
        <v>Boots</v>
      </c>
      <c r="E379" t="str">
        <f>'Data Cleaning'!E379</f>
        <v>Blue</v>
      </c>
      <c r="F379" t="str">
        <f>'Data Cleaning'!F379</f>
        <v>UAE</v>
      </c>
      <c r="G379" t="str">
        <f>'Data Cleaning'!G379</f>
        <v>Retail Store</v>
      </c>
      <c r="H379" s="2">
        <f>'Data Cleaning'!H379</f>
        <v>35.119999999999997</v>
      </c>
      <c r="I379">
        <f>'Data Cleaning'!I379</f>
        <v>12</v>
      </c>
      <c r="J379" s="2">
        <f>'Data Cleaning'!J379</f>
        <v>421.44</v>
      </c>
    </row>
    <row r="380" spans="1:10" x14ac:dyDescent="0.25">
      <c r="A380" t="str">
        <f>'Data Cleaning'!A380</f>
        <v>S379</v>
      </c>
      <c r="B380" s="113">
        <f>'Data Cleaning'!B380</f>
        <v>45767</v>
      </c>
      <c r="C380" t="str">
        <f>'Data Cleaning'!C380</f>
        <v>New Balance</v>
      </c>
      <c r="D380" t="str">
        <f>'Data Cleaning'!D380</f>
        <v>Sports</v>
      </c>
      <c r="E380" t="str">
        <f>'Data Cleaning'!E380</f>
        <v>Grey</v>
      </c>
      <c r="F380" t="str">
        <f>'Data Cleaning'!F380</f>
        <v>UAE</v>
      </c>
      <c r="G380" t="str">
        <f>'Data Cleaning'!G380</f>
        <v>Retail Store</v>
      </c>
      <c r="H380" s="2">
        <f>'Data Cleaning'!H380</f>
        <v>209.18</v>
      </c>
      <c r="I380">
        <f>'Data Cleaning'!I380</f>
        <v>7</v>
      </c>
      <c r="J380" s="2">
        <f>'Data Cleaning'!J380</f>
        <v>1464.26</v>
      </c>
    </row>
    <row r="381" spans="1:10" x14ac:dyDescent="0.25">
      <c r="A381" t="str">
        <f>'Data Cleaning'!A381</f>
        <v>S380</v>
      </c>
      <c r="B381" s="113">
        <f>'Data Cleaning'!B381</f>
        <v>45728</v>
      </c>
      <c r="C381" t="str">
        <f>'Data Cleaning'!C381</f>
        <v>New Balance</v>
      </c>
      <c r="D381" t="str">
        <f>'Data Cleaning'!D381</f>
        <v>Boots</v>
      </c>
      <c r="E381" t="str">
        <f>'Data Cleaning'!E381</f>
        <v>Grey</v>
      </c>
      <c r="F381" t="str">
        <f>'Data Cleaning'!F381</f>
        <v>UK</v>
      </c>
      <c r="G381" t="str">
        <f>'Data Cleaning'!G381</f>
        <v>Online</v>
      </c>
      <c r="H381" s="2">
        <f>'Data Cleaning'!H381</f>
        <v>92.01</v>
      </c>
      <c r="I381">
        <f>'Data Cleaning'!I381</f>
        <v>4</v>
      </c>
      <c r="J381" s="2">
        <f>'Data Cleaning'!J381</f>
        <v>368.04</v>
      </c>
    </row>
    <row r="382" spans="1:10" x14ac:dyDescent="0.25">
      <c r="A382" t="str">
        <f>'Data Cleaning'!A382</f>
        <v>S381</v>
      </c>
      <c r="B382" s="113">
        <f>'Data Cleaning'!B382</f>
        <v>45683</v>
      </c>
      <c r="C382" t="str">
        <f>'Data Cleaning'!C382</f>
        <v>Adidas</v>
      </c>
      <c r="D382" t="str">
        <f>'Data Cleaning'!D382</f>
        <v>Boots</v>
      </c>
      <c r="E382" t="str">
        <f>'Data Cleaning'!E382</f>
        <v>White</v>
      </c>
      <c r="F382" t="str">
        <f>'Data Cleaning'!F382</f>
        <v>USA</v>
      </c>
      <c r="G382" t="str">
        <f>'Data Cleaning'!G382</f>
        <v>Online</v>
      </c>
      <c r="H382" s="2">
        <f>'Data Cleaning'!H382</f>
        <v>56</v>
      </c>
      <c r="I382">
        <f>'Data Cleaning'!I382</f>
        <v>17</v>
      </c>
      <c r="J382" s="2">
        <f>'Data Cleaning'!J382</f>
        <v>952</v>
      </c>
    </row>
    <row r="383" spans="1:10" x14ac:dyDescent="0.25">
      <c r="A383" t="str">
        <f>'Data Cleaning'!A383</f>
        <v>S382</v>
      </c>
      <c r="B383" s="113">
        <f>'Data Cleaning'!B383</f>
        <v>45869</v>
      </c>
      <c r="C383" t="str">
        <f>'Data Cleaning'!C383</f>
        <v>Skechers</v>
      </c>
      <c r="D383" t="str">
        <f>'Data Cleaning'!D383</f>
        <v>Formal</v>
      </c>
      <c r="E383" t="str">
        <f>'Data Cleaning'!E383</f>
        <v>Black</v>
      </c>
      <c r="F383" t="str">
        <f>'Data Cleaning'!F383</f>
        <v>UAE</v>
      </c>
      <c r="G383" t="str">
        <f>'Data Cleaning'!G383</f>
        <v>Online</v>
      </c>
      <c r="H383" s="2">
        <f>'Data Cleaning'!H383</f>
        <v>183.28</v>
      </c>
      <c r="I383">
        <f>'Data Cleaning'!I383</f>
        <v>11</v>
      </c>
      <c r="J383" s="2">
        <f>'Data Cleaning'!J383</f>
        <v>2016.08</v>
      </c>
    </row>
    <row r="384" spans="1:10" x14ac:dyDescent="0.25">
      <c r="A384" t="str">
        <f>'Data Cleaning'!A384</f>
        <v>S383</v>
      </c>
      <c r="B384" s="113">
        <f>'Data Cleaning'!B384</f>
        <v>45660</v>
      </c>
      <c r="C384" t="str">
        <f>'Data Cleaning'!C384</f>
        <v>Adidas</v>
      </c>
      <c r="D384" t="str">
        <f>'Data Cleaning'!D384</f>
        <v>Formal</v>
      </c>
      <c r="E384" t="str">
        <f>'Data Cleaning'!E384</f>
        <v>Green</v>
      </c>
      <c r="F384" t="str">
        <f>'Data Cleaning'!F384</f>
        <v>Germany</v>
      </c>
      <c r="G384" t="str">
        <f>'Data Cleaning'!G384</f>
        <v>Retail Store</v>
      </c>
      <c r="H384" s="2">
        <f>'Data Cleaning'!H384</f>
        <v>168.37</v>
      </c>
      <c r="I384">
        <f>'Data Cleaning'!I384</f>
        <v>18</v>
      </c>
      <c r="J384" s="2">
        <f>'Data Cleaning'!J384</f>
        <v>3030.66</v>
      </c>
    </row>
    <row r="385" spans="1:10" x14ac:dyDescent="0.25">
      <c r="A385" t="str">
        <f>'Data Cleaning'!A385</f>
        <v>S384</v>
      </c>
      <c r="B385" s="113">
        <f>'Data Cleaning'!B385</f>
        <v>45991</v>
      </c>
      <c r="C385" t="str">
        <f>'Data Cleaning'!C385</f>
        <v>Puma</v>
      </c>
      <c r="D385" t="str">
        <f>'Data Cleaning'!D385</f>
        <v>Sports</v>
      </c>
      <c r="E385" t="str">
        <f>'Data Cleaning'!E385</f>
        <v>Blue</v>
      </c>
      <c r="F385" t="str">
        <f>'Data Cleaning'!F385</f>
        <v>UAE</v>
      </c>
      <c r="G385" t="str">
        <f>'Data Cleaning'!G385</f>
        <v>Online</v>
      </c>
      <c r="H385" s="2">
        <f>'Data Cleaning'!H385</f>
        <v>223.04</v>
      </c>
      <c r="I385">
        <f>'Data Cleaning'!I385</f>
        <v>7</v>
      </c>
      <c r="J385" s="2">
        <f>'Data Cleaning'!J385</f>
        <v>1561.28</v>
      </c>
    </row>
    <row r="386" spans="1:10" x14ac:dyDescent="0.25">
      <c r="A386" t="str">
        <f>'Data Cleaning'!A386</f>
        <v>S385</v>
      </c>
      <c r="B386" s="113">
        <f>'Data Cleaning'!B386</f>
        <v>45703</v>
      </c>
      <c r="C386" t="str">
        <f>'Data Cleaning'!C386</f>
        <v>Adidas</v>
      </c>
      <c r="D386" t="str">
        <f>'Data Cleaning'!D386</f>
        <v>Sneakers</v>
      </c>
      <c r="E386" t="str">
        <f>'Data Cleaning'!E386</f>
        <v>Green</v>
      </c>
      <c r="F386" t="str">
        <f>'Data Cleaning'!F386</f>
        <v>UAE</v>
      </c>
      <c r="G386" t="str">
        <f>'Data Cleaning'!G386</f>
        <v>Online</v>
      </c>
      <c r="H386" s="2">
        <f>'Data Cleaning'!H386</f>
        <v>191.72</v>
      </c>
      <c r="I386">
        <f>'Data Cleaning'!I386</f>
        <v>19</v>
      </c>
      <c r="J386" s="2">
        <f>'Data Cleaning'!J386</f>
        <v>3642.68</v>
      </c>
    </row>
    <row r="387" spans="1:10" x14ac:dyDescent="0.25">
      <c r="A387" t="str">
        <f>'Data Cleaning'!A387</f>
        <v>S386</v>
      </c>
      <c r="B387" s="113">
        <f>'Data Cleaning'!B387</f>
        <v>45747</v>
      </c>
      <c r="C387" t="str">
        <f>'Data Cleaning'!C387</f>
        <v>Adidas</v>
      </c>
      <c r="D387" t="str">
        <f>'Data Cleaning'!D387</f>
        <v>Running</v>
      </c>
      <c r="E387" t="str">
        <f>'Data Cleaning'!E387</f>
        <v>Red</v>
      </c>
      <c r="F387" t="str">
        <f>'Data Cleaning'!F387</f>
        <v>Saudi Arabia</v>
      </c>
      <c r="G387" t="str">
        <f>'Data Cleaning'!G387</f>
        <v>Retail Store</v>
      </c>
      <c r="H387" s="2">
        <f>'Data Cleaning'!H387</f>
        <v>206.77</v>
      </c>
      <c r="I387">
        <f>'Data Cleaning'!I387</f>
        <v>14</v>
      </c>
      <c r="J387" s="2">
        <f>'Data Cleaning'!J387</f>
        <v>2894.78</v>
      </c>
    </row>
    <row r="388" spans="1:10" x14ac:dyDescent="0.25">
      <c r="A388" t="str">
        <f>'Data Cleaning'!A388</f>
        <v>S387</v>
      </c>
      <c r="B388" s="113">
        <f>'Data Cleaning'!B388</f>
        <v>45753</v>
      </c>
      <c r="C388" t="str">
        <f>'Data Cleaning'!C388</f>
        <v>Nike</v>
      </c>
      <c r="D388" t="str">
        <f>'Data Cleaning'!D388</f>
        <v>Running</v>
      </c>
      <c r="E388" t="str">
        <f>'Data Cleaning'!E388</f>
        <v>Blue</v>
      </c>
      <c r="F388" t="str">
        <f>'Data Cleaning'!F388</f>
        <v>India</v>
      </c>
      <c r="G388" t="str">
        <f>'Data Cleaning'!G388</f>
        <v>Mall</v>
      </c>
      <c r="H388" s="2">
        <f>'Data Cleaning'!H388</f>
        <v>92.05</v>
      </c>
      <c r="I388">
        <f>'Data Cleaning'!I388</f>
        <v>10</v>
      </c>
      <c r="J388" s="2">
        <f>'Data Cleaning'!J388</f>
        <v>920.5</v>
      </c>
    </row>
    <row r="389" spans="1:10" x14ac:dyDescent="0.25">
      <c r="A389" t="str">
        <f>'Data Cleaning'!A389</f>
        <v>S388</v>
      </c>
      <c r="B389" s="113">
        <f>'Data Cleaning'!B389</f>
        <v>45712</v>
      </c>
      <c r="C389" t="str">
        <f>'Data Cleaning'!C389</f>
        <v>Puma</v>
      </c>
      <c r="D389" t="str">
        <f>'Data Cleaning'!D389</f>
        <v>Formal</v>
      </c>
      <c r="E389" t="str">
        <f>'Data Cleaning'!E389</f>
        <v>Green</v>
      </c>
      <c r="F389" t="str">
        <f>'Data Cleaning'!F389</f>
        <v>India</v>
      </c>
      <c r="G389" t="str">
        <f>'Data Cleaning'!G389</f>
        <v>Mall</v>
      </c>
      <c r="H389" s="2">
        <f>'Data Cleaning'!H389</f>
        <v>69.040000000000006</v>
      </c>
      <c r="I389">
        <f>'Data Cleaning'!I389</f>
        <v>11</v>
      </c>
      <c r="J389" s="2">
        <f>'Data Cleaning'!J389</f>
        <v>759.44</v>
      </c>
    </row>
    <row r="390" spans="1:10" x14ac:dyDescent="0.25">
      <c r="A390" t="str">
        <f>'Data Cleaning'!A390</f>
        <v>S389</v>
      </c>
      <c r="B390" s="113">
        <f>'Data Cleaning'!B390</f>
        <v>45910</v>
      </c>
      <c r="C390" t="str">
        <f>'Data Cleaning'!C390</f>
        <v>New Balance</v>
      </c>
      <c r="D390" t="str">
        <f>'Data Cleaning'!D390</f>
        <v>Formal</v>
      </c>
      <c r="E390" t="str">
        <f>'Data Cleaning'!E390</f>
        <v>Blue</v>
      </c>
      <c r="F390" t="str">
        <f>'Data Cleaning'!F390</f>
        <v>UK</v>
      </c>
      <c r="G390" t="str">
        <f>'Data Cleaning'!G390</f>
        <v>Online</v>
      </c>
      <c r="H390" s="2">
        <f>'Data Cleaning'!H390</f>
        <v>195.14</v>
      </c>
      <c r="I390">
        <f>'Data Cleaning'!I390</f>
        <v>5</v>
      </c>
      <c r="J390" s="2">
        <f>'Data Cleaning'!J390</f>
        <v>975.7</v>
      </c>
    </row>
    <row r="391" spans="1:10" x14ac:dyDescent="0.25">
      <c r="A391" t="str">
        <f>'Data Cleaning'!A391</f>
        <v>S390</v>
      </c>
      <c r="B391" s="113">
        <f>'Data Cleaning'!B391</f>
        <v>45827</v>
      </c>
      <c r="C391" t="str">
        <f>'Data Cleaning'!C391</f>
        <v>Skechers</v>
      </c>
      <c r="D391" t="str">
        <f>'Data Cleaning'!D391</f>
        <v>Formal</v>
      </c>
      <c r="E391" t="str">
        <f>'Data Cleaning'!E391</f>
        <v>Green</v>
      </c>
      <c r="F391" t="str">
        <f>'Data Cleaning'!F391</f>
        <v>France</v>
      </c>
      <c r="G391" t="str">
        <f>'Data Cleaning'!G391</f>
        <v>Mall</v>
      </c>
      <c r="H391" s="2">
        <f>'Data Cleaning'!H391</f>
        <v>207.5</v>
      </c>
      <c r="I391">
        <f>'Data Cleaning'!I391</f>
        <v>6</v>
      </c>
      <c r="J391" s="2">
        <f>'Data Cleaning'!J391</f>
        <v>1245</v>
      </c>
    </row>
    <row r="392" spans="1:10" x14ac:dyDescent="0.25">
      <c r="A392" t="str">
        <f>'Data Cleaning'!A392</f>
        <v>S391</v>
      </c>
      <c r="B392" s="113">
        <f>'Data Cleaning'!B392</f>
        <v>45753</v>
      </c>
      <c r="C392" t="str">
        <f>'Data Cleaning'!C392</f>
        <v>Skechers</v>
      </c>
      <c r="D392" t="str">
        <f>'Data Cleaning'!D392</f>
        <v>Sports</v>
      </c>
      <c r="E392" t="str">
        <f>'Data Cleaning'!E392</f>
        <v>Blue</v>
      </c>
      <c r="F392" t="str">
        <f>'Data Cleaning'!F392</f>
        <v>India</v>
      </c>
      <c r="G392" t="str">
        <f>'Data Cleaning'!G392</f>
        <v>Mall</v>
      </c>
      <c r="H392" s="2">
        <f>'Data Cleaning'!H392</f>
        <v>247.91</v>
      </c>
      <c r="I392">
        <f>'Data Cleaning'!I392</f>
        <v>1</v>
      </c>
      <c r="J392" s="2">
        <f>'Data Cleaning'!J392</f>
        <v>247.91</v>
      </c>
    </row>
    <row r="393" spans="1:10" x14ac:dyDescent="0.25">
      <c r="A393" t="str">
        <f>'Data Cleaning'!A393</f>
        <v>S392</v>
      </c>
      <c r="B393" s="113">
        <f>'Data Cleaning'!B393</f>
        <v>45756</v>
      </c>
      <c r="C393" t="str">
        <f>'Data Cleaning'!C393</f>
        <v>New Balance</v>
      </c>
      <c r="D393" t="str">
        <f>'Data Cleaning'!D393</f>
        <v>Boots</v>
      </c>
      <c r="E393" t="str">
        <f>'Data Cleaning'!E393</f>
        <v>Red</v>
      </c>
      <c r="F393" t="str">
        <f>'Data Cleaning'!F393</f>
        <v>Saudi Arabia</v>
      </c>
      <c r="G393" t="str">
        <f>'Data Cleaning'!G393</f>
        <v>Retail Store</v>
      </c>
      <c r="H393" s="2">
        <f>'Data Cleaning'!H393</f>
        <v>120.78</v>
      </c>
      <c r="I393">
        <f>'Data Cleaning'!I393</f>
        <v>6</v>
      </c>
      <c r="J393" s="2">
        <f>'Data Cleaning'!J393</f>
        <v>724.68</v>
      </c>
    </row>
    <row r="394" spans="1:10" x14ac:dyDescent="0.25">
      <c r="A394" t="str">
        <f>'Data Cleaning'!A394</f>
        <v>S393</v>
      </c>
      <c r="B394" s="113">
        <f>'Data Cleaning'!B394</f>
        <v>45921</v>
      </c>
      <c r="C394" t="str">
        <f>'Data Cleaning'!C394</f>
        <v>Nike</v>
      </c>
      <c r="D394" t="str">
        <f>'Data Cleaning'!D394</f>
        <v>Formal</v>
      </c>
      <c r="E394" t="str">
        <f>'Data Cleaning'!E394</f>
        <v>Green</v>
      </c>
      <c r="F394" t="str">
        <f>'Data Cleaning'!F394</f>
        <v>USA</v>
      </c>
      <c r="G394" t="str">
        <f>'Data Cleaning'!G394</f>
        <v>Online</v>
      </c>
      <c r="H394" s="2">
        <f>'Data Cleaning'!H394</f>
        <v>111.84</v>
      </c>
      <c r="I394">
        <f>'Data Cleaning'!I394</f>
        <v>11</v>
      </c>
      <c r="J394" s="2">
        <f>'Data Cleaning'!J394</f>
        <v>1230.24</v>
      </c>
    </row>
    <row r="395" spans="1:10" x14ac:dyDescent="0.25">
      <c r="A395" t="str">
        <f>'Data Cleaning'!A395</f>
        <v>S394</v>
      </c>
      <c r="B395" s="113">
        <f>'Data Cleaning'!B395</f>
        <v>45729</v>
      </c>
      <c r="C395" t="str">
        <f>'Data Cleaning'!C395</f>
        <v>Puma</v>
      </c>
      <c r="D395" t="str">
        <f>'Data Cleaning'!D395</f>
        <v>Casual</v>
      </c>
      <c r="E395" t="str">
        <f>'Data Cleaning'!E395</f>
        <v>Black</v>
      </c>
      <c r="F395" t="str">
        <f>'Data Cleaning'!F395</f>
        <v>France</v>
      </c>
      <c r="G395" t="str">
        <f>'Data Cleaning'!G395</f>
        <v>Retail Store</v>
      </c>
      <c r="H395" s="2">
        <f>'Data Cleaning'!H395</f>
        <v>200.81</v>
      </c>
      <c r="I395">
        <f>'Data Cleaning'!I395</f>
        <v>16</v>
      </c>
      <c r="J395" s="2">
        <f>'Data Cleaning'!J395</f>
        <v>3212.96</v>
      </c>
    </row>
    <row r="396" spans="1:10" x14ac:dyDescent="0.25">
      <c r="A396" t="str">
        <f>'Data Cleaning'!A396</f>
        <v>S395</v>
      </c>
      <c r="B396" s="113">
        <f>'Data Cleaning'!B396</f>
        <v>45778</v>
      </c>
      <c r="C396" t="str">
        <f>'Data Cleaning'!C396</f>
        <v>Puma</v>
      </c>
      <c r="D396" t="str">
        <f>'Data Cleaning'!D396</f>
        <v>Sports</v>
      </c>
      <c r="E396" t="str">
        <f>'Data Cleaning'!E396</f>
        <v>Blue</v>
      </c>
      <c r="F396" t="str">
        <f>'Data Cleaning'!F396</f>
        <v>India</v>
      </c>
      <c r="G396" t="str">
        <f>'Data Cleaning'!G396</f>
        <v>Mall</v>
      </c>
      <c r="H396" s="2">
        <f>'Data Cleaning'!H396</f>
        <v>104.98</v>
      </c>
      <c r="I396">
        <f>'Data Cleaning'!I396</f>
        <v>15</v>
      </c>
      <c r="J396" s="2">
        <f>'Data Cleaning'!J396</f>
        <v>1574.7</v>
      </c>
    </row>
    <row r="397" spans="1:10" x14ac:dyDescent="0.25">
      <c r="A397" t="str">
        <f>'Data Cleaning'!A397</f>
        <v>S396</v>
      </c>
      <c r="B397" s="113">
        <f>'Data Cleaning'!B397</f>
        <v>45951</v>
      </c>
      <c r="C397" t="str">
        <f>'Data Cleaning'!C397</f>
        <v>Puma</v>
      </c>
      <c r="D397" t="str">
        <f>'Data Cleaning'!D397</f>
        <v>Boots</v>
      </c>
      <c r="E397" t="str">
        <f>'Data Cleaning'!E397</f>
        <v>Blue</v>
      </c>
      <c r="F397" t="str">
        <f>'Data Cleaning'!F397</f>
        <v>UAE</v>
      </c>
      <c r="G397" t="str">
        <f>'Data Cleaning'!G397</f>
        <v>Online</v>
      </c>
      <c r="H397" s="2">
        <f>'Data Cleaning'!H397</f>
        <v>234.77</v>
      </c>
      <c r="I397">
        <f>'Data Cleaning'!I397</f>
        <v>1</v>
      </c>
      <c r="J397" s="2">
        <f>'Data Cleaning'!J397</f>
        <v>234.77</v>
      </c>
    </row>
    <row r="398" spans="1:10" x14ac:dyDescent="0.25">
      <c r="A398" t="str">
        <f>'Data Cleaning'!A398</f>
        <v>S397</v>
      </c>
      <c r="B398" s="113">
        <f>'Data Cleaning'!B398</f>
        <v>45689</v>
      </c>
      <c r="C398" t="str">
        <f>'Data Cleaning'!C398</f>
        <v>Reebok</v>
      </c>
      <c r="D398" t="str">
        <f>'Data Cleaning'!D398</f>
        <v>Sports</v>
      </c>
      <c r="E398" t="str">
        <f>'Data Cleaning'!E398</f>
        <v>White</v>
      </c>
      <c r="F398" t="str">
        <f>'Data Cleaning'!F398</f>
        <v>Germany</v>
      </c>
      <c r="G398" t="str">
        <f>'Data Cleaning'!G398</f>
        <v>Mall</v>
      </c>
      <c r="H398" s="2">
        <f>'Data Cleaning'!H398</f>
        <v>218.85</v>
      </c>
      <c r="I398">
        <f>'Data Cleaning'!I398</f>
        <v>4</v>
      </c>
      <c r="J398" s="2">
        <f>'Data Cleaning'!J398</f>
        <v>875.4</v>
      </c>
    </row>
    <row r="399" spans="1:10" x14ac:dyDescent="0.25">
      <c r="A399" t="str">
        <f>'Data Cleaning'!A399</f>
        <v>S398</v>
      </c>
      <c r="B399" s="113">
        <f>'Data Cleaning'!B399</f>
        <v>45915</v>
      </c>
      <c r="C399" t="str">
        <f>'Data Cleaning'!C399</f>
        <v>Skechers</v>
      </c>
      <c r="D399" t="str">
        <f>'Data Cleaning'!D399</f>
        <v>Running</v>
      </c>
      <c r="E399" t="str">
        <f>'Data Cleaning'!E399</f>
        <v>Green</v>
      </c>
      <c r="F399" t="str">
        <f>'Data Cleaning'!F399</f>
        <v>France</v>
      </c>
      <c r="G399" t="str">
        <f>'Data Cleaning'!G399</f>
        <v>Retail Store</v>
      </c>
      <c r="H399" s="2">
        <f>'Data Cleaning'!H399</f>
        <v>124.38</v>
      </c>
      <c r="I399">
        <f>'Data Cleaning'!I399</f>
        <v>10</v>
      </c>
      <c r="J399" s="2">
        <f>'Data Cleaning'!J399</f>
        <v>1243.8</v>
      </c>
    </row>
    <row r="400" spans="1:10" x14ac:dyDescent="0.25">
      <c r="A400" t="str">
        <f>'Data Cleaning'!A400</f>
        <v>S399</v>
      </c>
      <c r="B400" s="113">
        <f>'Data Cleaning'!B400</f>
        <v>45972</v>
      </c>
      <c r="C400" t="str">
        <f>'Data Cleaning'!C400</f>
        <v>Adidas</v>
      </c>
      <c r="D400" t="str">
        <f>'Data Cleaning'!D400</f>
        <v>Casual</v>
      </c>
      <c r="E400" t="str">
        <f>'Data Cleaning'!E400</f>
        <v>Red</v>
      </c>
      <c r="F400" t="str">
        <f>'Data Cleaning'!F400</f>
        <v>UK</v>
      </c>
      <c r="G400" t="str">
        <f>'Data Cleaning'!G400</f>
        <v>Retail Store</v>
      </c>
      <c r="H400" s="2">
        <f>'Data Cleaning'!H400</f>
        <v>195.19</v>
      </c>
      <c r="I400">
        <f>'Data Cleaning'!I400</f>
        <v>8</v>
      </c>
      <c r="J400" s="2">
        <f>'Data Cleaning'!J400</f>
        <v>1561.52</v>
      </c>
    </row>
    <row r="401" spans="1:10" x14ac:dyDescent="0.25">
      <c r="A401" t="str">
        <f>'Data Cleaning'!A401</f>
        <v>S400</v>
      </c>
      <c r="B401" s="113">
        <f>'Data Cleaning'!B401</f>
        <v>45968</v>
      </c>
      <c r="C401" t="str">
        <f>'Data Cleaning'!C401</f>
        <v>Reebok</v>
      </c>
      <c r="D401" t="str">
        <f>'Data Cleaning'!D401</f>
        <v>Boots</v>
      </c>
      <c r="E401" t="str">
        <f>'Data Cleaning'!E401</f>
        <v>Grey</v>
      </c>
      <c r="F401" t="str">
        <f>'Data Cleaning'!F401</f>
        <v>Germany</v>
      </c>
      <c r="G401" t="str">
        <f>'Data Cleaning'!G401</f>
        <v>Mall</v>
      </c>
      <c r="H401" s="2">
        <f>'Data Cleaning'!H401</f>
        <v>196</v>
      </c>
      <c r="I401">
        <f>'Data Cleaning'!I401</f>
        <v>12</v>
      </c>
      <c r="J401" s="2">
        <f>'Data Cleaning'!J401</f>
        <v>2352</v>
      </c>
    </row>
    <row r="402" spans="1:10" x14ac:dyDescent="0.25">
      <c r="A402" t="str">
        <f>'Data Cleaning'!A402</f>
        <v>S401</v>
      </c>
      <c r="B402" s="113">
        <f>'Data Cleaning'!B402</f>
        <v>45998</v>
      </c>
      <c r="C402" t="str">
        <f>'Data Cleaning'!C402</f>
        <v>Adidas</v>
      </c>
      <c r="D402" t="str">
        <f>'Data Cleaning'!D402</f>
        <v>Boots</v>
      </c>
      <c r="E402" t="str">
        <f>'Data Cleaning'!E402</f>
        <v>Grey</v>
      </c>
      <c r="F402" t="str">
        <f>'Data Cleaning'!F402</f>
        <v>Saudi Arabia</v>
      </c>
      <c r="G402" t="str">
        <f>'Data Cleaning'!G402</f>
        <v>Online</v>
      </c>
      <c r="H402" s="2">
        <f>'Data Cleaning'!H402</f>
        <v>52.69</v>
      </c>
      <c r="I402">
        <f>'Data Cleaning'!I402</f>
        <v>7</v>
      </c>
      <c r="J402" s="2">
        <f>'Data Cleaning'!J402</f>
        <v>368.83</v>
      </c>
    </row>
    <row r="403" spans="1:10" x14ac:dyDescent="0.25">
      <c r="A403" t="str">
        <f>'Data Cleaning'!A403</f>
        <v>S402</v>
      </c>
      <c r="B403" s="113">
        <f>'Data Cleaning'!B403</f>
        <v>45927</v>
      </c>
      <c r="C403" t="str">
        <f>'Data Cleaning'!C403</f>
        <v>New Balance</v>
      </c>
      <c r="D403" t="str">
        <f>'Data Cleaning'!D403</f>
        <v>Boots</v>
      </c>
      <c r="E403" t="str">
        <f>'Data Cleaning'!E403</f>
        <v>Blue</v>
      </c>
      <c r="F403" t="str">
        <f>'Data Cleaning'!F403</f>
        <v>USA</v>
      </c>
      <c r="G403" t="str">
        <f>'Data Cleaning'!G403</f>
        <v>Mall</v>
      </c>
      <c r="H403" s="2">
        <f>'Data Cleaning'!H403</f>
        <v>228.56</v>
      </c>
      <c r="I403">
        <f>'Data Cleaning'!I403</f>
        <v>15</v>
      </c>
      <c r="J403" s="2">
        <f>'Data Cleaning'!J403</f>
        <v>3428.4</v>
      </c>
    </row>
    <row r="404" spans="1:10" x14ac:dyDescent="0.25">
      <c r="A404" t="str">
        <f>'Data Cleaning'!A404</f>
        <v>S403</v>
      </c>
      <c r="B404" s="113">
        <f>'Data Cleaning'!B404</f>
        <v>45715</v>
      </c>
      <c r="C404" t="str">
        <f>'Data Cleaning'!C404</f>
        <v>New Balance</v>
      </c>
      <c r="D404" t="str">
        <f>'Data Cleaning'!D404</f>
        <v>Sneakers</v>
      </c>
      <c r="E404" t="str">
        <f>'Data Cleaning'!E404</f>
        <v>White</v>
      </c>
      <c r="F404" t="str">
        <f>'Data Cleaning'!F404</f>
        <v>India</v>
      </c>
      <c r="G404" t="str">
        <f>'Data Cleaning'!G404</f>
        <v>Mall</v>
      </c>
      <c r="H404" s="2">
        <f>'Data Cleaning'!H404</f>
        <v>141.16</v>
      </c>
      <c r="I404">
        <f>'Data Cleaning'!I404</f>
        <v>2</v>
      </c>
      <c r="J404" s="2">
        <f>'Data Cleaning'!J404</f>
        <v>282.32</v>
      </c>
    </row>
    <row r="405" spans="1:10" x14ac:dyDescent="0.25">
      <c r="A405" t="str">
        <f>'Data Cleaning'!A405</f>
        <v>S404</v>
      </c>
      <c r="B405" s="113">
        <f>'Data Cleaning'!B405</f>
        <v>45734</v>
      </c>
      <c r="C405" t="str">
        <f>'Data Cleaning'!C405</f>
        <v>Puma</v>
      </c>
      <c r="D405" t="str">
        <f>'Data Cleaning'!D405</f>
        <v>Sneakers</v>
      </c>
      <c r="E405" t="str">
        <f>'Data Cleaning'!E405</f>
        <v>Red</v>
      </c>
      <c r="F405" t="str">
        <f>'Data Cleaning'!F405</f>
        <v>USA</v>
      </c>
      <c r="G405" t="str">
        <f>'Data Cleaning'!G405</f>
        <v>Mall</v>
      </c>
      <c r="H405" s="2">
        <f>'Data Cleaning'!H405</f>
        <v>211.82</v>
      </c>
      <c r="I405">
        <f>'Data Cleaning'!I405</f>
        <v>6</v>
      </c>
      <c r="J405" s="2">
        <f>'Data Cleaning'!J405</f>
        <v>1270.92</v>
      </c>
    </row>
    <row r="406" spans="1:10" x14ac:dyDescent="0.25">
      <c r="A406" t="str">
        <f>'Data Cleaning'!A406</f>
        <v>S405</v>
      </c>
      <c r="B406" s="113">
        <f>'Data Cleaning'!B406</f>
        <v>45763</v>
      </c>
      <c r="C406" t="str">
        <f>'Data Cleaning'!C406</f>
        <v>Reebok</v>
      </c>
      <c r="D406" t="str">
        <f>'Data Cleaning'!D406</f>
        <v>Running</v>
      </c>
      <c r="E406" t="str">
        <f>'Data Cleaning'!E406</f>
        <v>Grey</v>
      </c>
      <c r="F406" t="str">
        <f>'Data Cleaning'!F406</f>
        <v>Germany</v>
      </c>
      <c r="G406" t="str">
        <f>'Data Cleaning'!G406</f>
        <v>Online</v>
      </c>
      <c r="H406" s="2">
        <f>'Data Cleaning'!H406</f>
        <v>100.41</v>
      </c>
      <c r="I406">
        <f>'Data Cleaning'!I406</f>
        <v>19</v>
      </c>
      <c r="J406" s="2">
        <f>'Data Cleaning'!J406</f>
        <v>1907.79</v>
      </c>
    </row>
    <row r="407" spans="1:10" x14ac:dyDescent="0.25">
      <c r="A407" t="str">
        <f>'Data Cleaning'!A407</f>
        <v>S406</v>
      </c>
      <c r="B407" s="113">
        <f>'Data Cleaning'!B407</f>
        <v>45890</v>
      </c>
      <c r="C407" t="str">
        <f>'Data Cleaning'!C407</f>
        <v>New Balance</v>
      </c>
      <c r="D407" t="str">
        <f>'Data Cleaning'!D407</f>
        <v>Formal</v>
      </c>
      <c r="E407" t="str">
        <f>'Data Cleaning'!E407</f>
        <v>Red</v>
      </c>
      <c r="F407" t="str">
        <f>'Data Cleaning'!F407</f>
        <v>India</v>
      </c>
      <c r="G407" t="str">
        <f>'Data Cleaning'!G407</f>
        <v>Online</v>
      </c>
      <c r="H407" s="2">
        <f>'Data Cleaning'!H407</f>
        <v>227.02</v>
      </c>
      <c r="I407">
        <f>'Data Cleaning'!I407</f>
        <v>5</v>
      </c>
      <c r="J407" s="2">
        <f>'Data Cleaning'!J407</f>
        <v>1135.0999999999999</v>
      </c>
    </row>
    <row r="408" spans="1:10" x14ac:dyDescent="0.25">
      <c r="A408" t="str">
        <f>'Data Cleaning'!A408</f>
        <v>S407</v>
      </c>
      <c r="B408" s="113">
        <f>'Data Cleaning'!B408</f>
        <v>45944</v>
      </c>
      <c r="C408" t="str">
        <f>'Data Cleaning'!C408</f>
        <v>Skechers</v>
      </c>
      <c r="D408" t="str">
        <f>'Data Cleaning'!D408</f>
        <v>Sports</v>
      </c>
      <c r="E408" t="str">
        <f>'Data Cleaning'!E408</f>
        <v>Green</v>
      </c>
      <c r="F408" t="str">
        <f>'Data Cleaning'!F408</f>
        <v>USA</v>
      </c>
      <c r="G408" t="str">
        <f>'Data Cleaning'!G408</f>
        <v>Retail Store</v>
      </c>
      <c r="H408" s="2">
        <f>'Data Cleaning'!H408</f>
        <v>115.62</v>
      </c>
      <c r="I408">
        <f>'Data Cleaning'!I408</f>
        <v>15</v>
      </c>
      <c r="J408" s="2">
        <f>'Data Cleaning'!J408</f>
        <v>1734.3</v>
      </c>
    </row>
    <row r="409" spans="1:10" x14ac:dyDescent="0.25">
      <c r="A409" t="str">
        <f>'Data Cleaning'!A409</f>
        <v>S408</v>
      </c>
      <c r="B409" s="113">
        <f>'Data Cleaning'!B409</f>
        <v>45788</v>
      </c>
      <c r="C409" t="str">
        <f>'Data Cleaning'!C409</f>
        <v>Skechers</v>
      </c>
      <c r="D409" t="str">
        <f>'Data Cleaning'!D409</f>
        <v>Casual</v>
      </c>
      <c r="E409" t="str">
        <f>'Data Cleaning'!E409</f>
        <v>Grey</v>
      </c>
      <c r="F409" t="str">
        <f>'Data Cleaning'!F409</f>
        <v>USA</v>
      </c>
      <c r="G409" t="str">
        <f>'Data Cleaning'!G409</f>
        <v>Online</v>
      </c>
      <c r="H409" s="2">
        <f>'Data Cleaning'!H409</f>
        <v>32.380000000000003</v>
      </c>
      <c r="I409">
        <f>'Data Cleaning'!I409</f>
        <v>1</v>
      </c>
      <c r="J409" s="2">
        <f>'Data Cleaning'!J409</f>
        <v>32.380000000000003</v>
      </c>
    </row>
    <row r="410" spans="1:10" x14ac:dyDescent="0.25">
      <c r="A410" t="str">
        <f>'Data Cleaning'!A410</f>
        <v>S409</v>
      </c>
      <c r="B410" s="113">
        <f>'Data Cleaning'!B410</f>
        <v>45874</v>
      </c>
      <c r="C410" t="str">
        <f>'Data Cleaning'!C410</f>
        <v>Skechers</v>
      </c>
      <c r="D410" t="str">
        <f>'Data Cleaning'!D410</f>
        <v>Running</v>
      </c>
      <c r="E410" t="str">
        <f>'Data Cleaning'!E410</f>
        <v>Grey</v>
      </c>
      <c r="F410" t="str">
        <f>'Data Cleaning'!F410</f>
        <v>USA</v>
      </c>
      <c r="G410" t="str">
        <f>'Data Cleaning'!G410</f>
        <v>Online</v>
      </c>
      <c r="H410" s="2">
        <f>'Data Cleaning'!H410</f>
        <v>229.18</v>
      </c>
      <c r="I410">
        <f>'Data Cleaning'!I410</f>
        <v>12</v>
      </c>
      <c r="J410" s="2">
        <f>'Data Cleaning'!J410</f>
        <v>2750.16</v>
      </c>
    </row>
    <row r="411" spans="1:10" x14ac:dyDescent="0.25">
      <c r="A411" t="str">
        <f>'Data Cleaning'!A411</f>
        <v>S410</v>
      </c>
      <c r="B411" s="113">
        <f>'Data Cleaning'!B411</f>
        <v>45899</v>
      </c>
      <c r="C411" t="str">
        <f>'Data Cleaning'!C411</f>
        <v>Puma</v>
      </c>
      <c r="D411" t="str">
        <f>'Data Cleaning'!D411</f>
        <v>Formal</v>
      </c>
      <c r="E411" t="str">
        <f>'Data Cleaning'!E411</f>
        <v>White</v>
      </c>
      <c r="F411" t="str">
        <f>'Data Cleaning'!F411</f>
        <v>Saudi Arabia</v>
      </c>
      <c r="G411" t="str">
        <f>'Data Cleaning'!G411</f>
        <v>Online</v>
      </c>
      <c r="H411" s="2">
        <f>'Data Cleaning'!H411</f>
        <v>50.08</v>
      </c>
      <c r="I411">
        <f>'Data Cleaning'!I411</f>
        <v>2</v>
      </c>
      <c r="J411" s="2">
        <f>'Data Cleaning'!J411</f>
        <v>100.16</v>
      </c>
    </row>
    <row r="412" spans="1:10" x14ac:dyDescent="0.25">
      <c r="A412" t="str">
        <f>'Data Cleaning'!A412</f>
        <v>S411</v>
      </c>
      <c r="B412" s="113">
        <f>'Data Cleaning'!B412</f>
        <v>45986</v>
      </c>
      <c r="C412" t="str">
        <f>'Data Cleaning'!C412</f>
        <v>Puma</v>
      </c>
      <c r="D412" t="str">
        <f>'Data Cleaning'!D412</f>
        <v>Formal</v>
      </c>
      <c r="E412" t="str">
        <f>'Data Cleaning'!E412</f>
        <v>Red</v>
      </c>
      <c r="F412" t="str">
        <f>'Data Cleaning'!F412</f>
        <v>Saudi Arabia</v>
      </c>
      <c r="G412" t="str">
        <f>'Data Cleaning'!G412</f>
        <v>Retail Store</v>
      </c>
      <c r="H412" s="2">
        <f>'Data Cleaning'!H412</f>
        <v>100.25</v>
      </c>
      <c r="I412">
        <f>'Data Cleaning'!I412</f>
        <v>14</v>
      </c>
      <c r="J412" s="2">
        <f>'Data Cleaning'!J412</f>
        <v>1403.5</v>
      </c>
    </row>
    <row r="413" spans="1:10" x14ac:dyDescent="0.25">
      <c r="A413" t="str">
        <f>'Data Cleaning'!A413</f>
        <v>S412</v>
      </c>
      <c r="B413" s="113">
        <f>'Data Cleaning'!B413</f>
        <v>45850</v>
      </c>
      <c r="C413" t="str">
        <f>'Data Cleaning'!C413</f>
        <v>Skechers</v>
      </c>
      <c r="D413" t="str">
        <f>'Data Cleaning'!D413</f>
        <v>Boots</v>
      </c>
      <c r="E413" t="str">
        <f>'Data Cleaning'!E413</f>
        <v>Grey</v>
      </c>
      <c r="F413" t="str">
        <f>'Data Cleaning'!F413</f>
        <v>UK</v>
      </c>
      <c r="G413" t="str">
        <f>'Data Cleaning'!G413</f>
        <v>Mall</v>
      </c>
      <c r="H413" s="2">
        <f>'Data Cleaning'!H413</f>
        <v>239.01</v>
      </c>
      <c r="I413">
        <f>'Data Cleaning'!I413</f>
        <v>3</v>
      </c>
      <c r="J413" s="2">
        <f>'Data Cleaning'!J413</f>
        <v>717.03</v>
      </c>
    </row>
    <row r="414" spans="1:10" x14ac:dyDescent="0.25">
      <c r="A414" t="str">
        <f>'Data Cleaning'!A414</f>
        <v>S413</v>
      </c>
      <c r="B414" s="113">
        <f>'Data Cleaning'!B414</f>
        <v>45836</v>
      </c>
      <c r="C414" t="str">
        <f>'Data Cleaning'!C414</f>
        <v>Adidas</v>
      </c>
      <c r="D414" t="str">
        <f>'Data Cleaning'!D414</f>
        <v>Sneakers</v>
      </c>
      <c r="E414" t="str">
        <f>'Data Cleaning'!E414</f>
        <v>Red</v>
      </c>
      <c r="F414" t="str">
        <f>'Data Cleaning'!F414</f>
        <v>India</v>
      </c>
      <c r="G414" t="str">
        <f>'Data Cleaning'!G414</f>
        <v>Online</v>
      </c>
      <c r="H414" s="2">
        <f>'Data Cleaning'!H414</f>
        <v>239.13</v>
      </c>
      <c r="I414">
        <f>'Data Cleaning'!I414</f>
        <v>4</v>
      </c>
      <c r="J414" s="2">
        <f>'Data Cleaning'!J414</f>
        <v>956.52</v>
      </c>
    </row>
    <row r="415" spans="1:10" x14ac:dyDescent="0.25">
      <c r="A415" t="str">
        <f>'Data Cleaning'!A415</f>
        <v>S414</v>
      </c>
      <c r="B415" s="113">
        <f>'Data Cleaning'!B415</f>
        <v>45772</v>
      </c>
      <c r="C415" t="str">
        <f>'Data Cleaning'!C415</f>
        <v>Nike</v>
      </c>
      <c r="D415" t="str">
        <f>'Data Cleaning'!D415</f>
        <v>Sports</v>
      </c>
      <c r="E415" t="str">
        <f>'Data Cleaning'!E415</f>
        <v>Red</v>
      </c>
      <c r="F415" t="str">
        <f>'Data Cleaning'!F415</f>
        <v>UAE</v>
      </c>
      <c r="G415" t="str">
        <f>'Data Cleaning'!G415</f>
        <v>Mall</v>
      </c>
      <c r="H415" s="2">
        <f>'Data Cleaning'!H415</f>
        <v>156.16</v>
      </c>
      <c r="I415">
        <f>'Data Cleaning'!I415</f>
        <v>1</v>
      </c>
      <c r="J415" s="2">
        <f>'Data Cleaning'!J415</f>
        <v>156.16</v>
      </c>
    </row>
    <row r="416" spans="1:10" x14ac:dyDescent="0.25">
      <c r="A416" t="str">
        <f>'Data Cleaning'!A416</f>
        <v>S415</v>
      </c>
      <c r="B416" s="113">
        <f>'Data Cleaning'!B416</f>
        <v>45936</v>
      </c>
      <c r="C416" t="str">
        <f>'Data Cleaning'!C416</f>
        <v>New Balance</v>
      </c>
      <c r="D416" t="str">
        <f>'Data Cleaning'!D416</f>
        <v>Formal</v>
      </c>
      <c r="E416" t="str">
        <f>'Data Cleaning'!E416</f>
        <v>White</v>
      </c>
      <c r="F416" t="str">
        <f>'Data Cleaning'!F416</f>
        <v>UK</v>
      </c>
      <c r="G416" t="str">
        <f>'Data Cleaning'!G416</f>
        <v>Retail Store</v>
      </c>
      <c r="H416" s="2">
        <f>'Data Cleaning'!H416</f>
        <v>169</v>
      </c>
      <c r="I416">
        <f>'Data Cleaning'!I416</f>
        <v>14</v>
      </c>
      <c r="J416" s="2">
        <f>'Data Cleaning'!J416</f>
        <v>2366</v>
      </c>
    </row>
    <row r="417" spans="1:10" x14ac:dyDescent="0.25">
      <c r="A417" t="str">
        <f>'Data Cleaning'!A417</f>
        <v>S416</v>
      </c>
      <c r="B417" s="113">
        <f>'Data Cleaning'!B417</f>
        <v>45835</v>
      </c>
      <c r="C417" t="str">
        <f>'Data Cleaning'!C417</f>
        <v>Puma</v>
      </c>
      <c r="D417" t="str">
        <f>'Data Cleaning'!D417</f>
        <v>Casual</v>
      </c>
      <c r="E417" t="str">
        <f>'Data Cleaning'!E417</f>
        <v>Green</v>
      </c>
      <c r="F417" t="str">
        <f>'Data Cleaning'!F417</f>
        <v>Saudi Arabia</v>
      </c>
      <c r="G417" t="str">
        <f>'Data Cleaning'!G417</f>
        <v>Online</v>
      </c>
      <c r="H417" s="2">
        <f>'Data Cleaning'!H417</f>
        <v>128.66</v>
      </c>
      <c r="I417">
        <f>'Data Cleaning'!I417</f>
        <v>5</v>
      </c>
      <c r="J417" s="2">
        <f>'Data Cleaning'!J417</f>
        <v>643.29999999999995</v>
      </c>
    </row>
    <row r="418" spans="1:10" x14ac:dyDescent="0.25">
      <c r="A418" t="str">
        <f>'Data Cleaning'!A418</f>
        <v>S417</v>
      </c>
      <c r="B418" s="113">
        <f>'Data Cleaning'!B418</f>
        <v>45674</v>
      </c>
      <c r="C418" t="str">
        <f>'Data Cleaning'!C418</f>
        <v>New Balance</v>
      </c>
      <c r="D418" t="str">
        <f>'Data Cleaning'!D418</f>
        <v>Running</v>
      </c>
      <c r="E418" t="str">
        <f>'Data Cleaning'!E418</f>
        <v>White</v>
      </c>
      <c r="F418" t="str">
        <f>'Data Cleaning'!F418</f>
        <v>UK</v>
      </c>
      <c r="G418" t="str">
        <f>'Data Cleaning'!G418</f>
        <v>Online</v>
      </c>
      <c r="H418" s="2">
        <f>'Data Cleaning'!H418</f>
        <v>94.51</v>
      </c>
      <c r="I418">
        <f>'Data Cleaning'!I418</f>
        <v>14</v>
      </c>
      <c r="J418" s="2">
        <f>'Data Cleaning'!J418</f>
        <v>1323.14</v>
      </c>
    </row>
    <row r="419" spans="1:10" x14ac:dyDescent="0.25">
      <c r="A419" t="str">
        <f>'Data Cleaning'!A419</f>
        <v>S418</v>
      </c>
      <c r="B419" s="113">
        <f>'Data Cleaning'!B419</f>
        <v>45709</v>
      </c>
      <c r="C419" t="str">
        <f>'Data Cleaning'!C419</f>
        <v>Nike</v>
      </c>
      <c r="D419" t="str">
        <f>'Data Cleaning'!D419</f>
        <v>Formal</v>
      </c>
      <c r="E419" t="str">
        <f>'Data Cleaning'!E419</f>
        <v>Grey</v>
      </c>
      <c r="F419" t="str">
        <f>'Data Cleaning'!F419</f>
        <v>UAE</v>
      </c>
      <c r="G419" t="str">
        <f>'Data Cleaning'!G419</f>
        <v>Mall</v>
      </c>
      <c r="H419" s="2">
        <f>'Data Cleaning'!H419</f>
        <v>102.31</v>
      </c>
      <c r="I419">
        <f>'Data Cleaning'!I419</f>
        <v>20</v>
      </c>
      <c r="J419" s="2">
        <f>'Data Cleaning'!J419</f>
        <v>2046.2</v>
      </c>
    </row>
    <row r="420" spans="1:10" x14ac:dyDescent="0.25">
      <c r="A420" t="str">
        <f>'Data Cleaning'!A420</f>
        <v>S419</v>
      </c>
      <c r="B420" s="113">
        <f>'Data Cleaning'!B420</f>
        <v>45682</v>
      </c>
      <c r="C420" t="str">
        <f>'Data Cleaning'!C420</f>
        <v>Skechers</v>
      </c>
      <c r="D420" t="str">
        <f>'Data Cleaning'!D420</f>
        <v>Running</v>
      </c>
      <c r="E420" t="str">
        <f>'Data Cleaning'!E420</f>
        <v>Red</v>
      </c>
      <c r="F420" t="str">
        <f>'Data Cleaning'!F420</f>
        <v>Germany</v>
      </c>
      <c r="G420" t="str">
        <f>'Data Cleaning'!G420</f>
        <v>Online</v>
      </c>
      <c r="H420" s="2">
        <f>'Data Cleaning'!H420</f>
        <v>177.95</v>
      </c>
      <c r="I420">
        <f>'Data Cleaning'!I420</f>
        <v>8</v>
      </c>
      <c r="J420" s="2">
        <f>'Data Cleaning'!J420</f>
        <v>1423.6</v>
      </c>
    </row>
    <row r="421" spans="1:10" x14ac:dyDescent="0.25">
      <c r="A421" t="str">
        <f>'Data Cleaning'!A421</f>
        <v>S420</v>
      </c>
      <c r="B421" s="113">
        <f>'Data Cleaning'!B421</f>
        <v>45934</v>
      </c>
      <c r="C421" t="str">
        <f>'Data Cleaning'!C421</f>
        <v>Nike</v>
      </c>
      <c r="D421" t="str">
        <f>'Data Cleaning'!D421</f>
        <v>Casual</v>
      </c>
      <c r="E421" t="str">
        <f>'Data Cleaning'!E421</f>
        <v>Grey</v>
      </c>
      <c r="F421" t="str">
        <f>'Data Cleaning'!F421</f>
        <v>France</v>
      </c>
      <c r="G421" t="str">
        <f>'Data Cleaning'!G421</f>
        <v>Online</v>
      </c>
      <c r="H421" s="2">
        <f>'Data Cleaning'!H421</f>
        <v>195.52</v>
      </c>
      <c r="I421">
        <f>'Data Cleaning'!I421</f>
        <v>7</v>
      </c>
      <c r="J421" s="2">
        <f>'Data Cleaning'!J421</f>
        <v>1368.64</v>
      </c>
    </row>
    <row r="422" spans="1:10" x14ac:dyDescent="0.25">
      <c r="A422" t="str">
        <f>'Data Cleaning'!A422</f>
        <v>S421</v>
      </c>
      <c r="B422" s="113">
        <f>'Data Cleaning'!B422</f>
        <v>45952</v>
      </c>
      <c r="C422" t="str">
        <f>'Data Cleaning'!C422</f>
        <v>New Balance</v>
      </c>
      <c r="D422" t="str">
        <f>'Data Cleaning'!D422</f>
        <v>Sneakers</v>
      </c>
      <c r="E422" t="str">
        <f>'Data Cleaning'!E422</f>
        <v>Green</v>
      </c>
      <c r="F422" t="str">
        <f>'Data Cleaning'!F422</f>
        <v>Saudi Arabia</v>
      </c>
      <c r="G422" t="str">
        <f>'Data Cleaning'!G422</f>
        <v>Retail Store</v>
      </c>
      <c r="H422" s="2">
        <f>'Data Cleaning'!H422</f>
        <v>204.15</v>
      </c>
      <c r="I422">
        <f>'Data Cleaning'!I422</f>
        <v>11</v>
      </c>
      <c r="J422" s="2">
        <f>'Data Cleaning'!J422</f>
        <v>2245.65</v>
      </c>
    </row>
    <row r="423" spans="1:10" x14ac:dyDescent="0.25">
      <c r="A423" t="str">
        <f>'Data Cleaning'!A423</f>
        <v>S422</v>
      </c>
      <c r="B423" s="113">
        <f>'Data Cleaning'!B423</f>
        <v>45779</v>
      </c>
      <c r="C423" t="str">
        <f>'Data Cleaning'!C423</f>
        <v>Adidas</v>
      </c>
      <c r="D423" t="str">
        <f>'Data Cleaning'!D423</f>
        <v>Boots</v>
      </c>
      <c r="E423" t="str">
        <f>'Data Cleaning'!E423</f>
        <v>Grey</v>
      </c>
      <c r="F423" t="str">
        <f>'Data Cleaning'!F423</f>
        <v>UK</v>
      </c>
      <c r="G423" t="str">
        <f>'Data Cleaning'!G423</f>
        <v>Retail Store</v>
      </c>
      <c r="H423" s="2">
        <f>'Data Cleaning'!H423</f>
        <v>203.72</v>
      </c>
      <c r="I423">
        <f>'Data Cleaning'!I423</f>
        <v>10</v>
      </c>
      <c r="J423" s="2">
        <f>'Data Cleaning'!J423</f>
        <v>2037.2</v>
      </c>
    </row>
    <row r="424" spans="1:10" x14ac:dyDescent="0.25">
      <c r="A424" t="str">
        <f>'Data Cleaning'!A424</f>
        <v>S423</v>
      </c>
      <c r="B424" s="113">
        <f>'Data Cleaning'!B424</f>
        <v>45811</v>
      </c>
      <c r="C424" t="str">
        <f>'Data Cleaning'!C424</f>
        <v>Nike</v>
      </c>
      <c r="D424" t="str">
        <f>'Data Cleaning'!D424</f>
        <v>Sneakers</v>
      </c>
      <c r="E424" t="str">
        <f>'Data Cleaning'!E424</f>
        <v>Grey</v>
      </c>
      <c r="F424" t="str">
        <f>'Data Cleaning'!F424</f>
        <v>UAE</v>
      </c>
      <c r="G424" t="str">
        <f>'Data Cleaning'!G424</f>
        <v>Online</v>
      </c>
      <c r="H424" s="2">
        <f>'Data Cleaning'!H424</f>
        <v>50.07</v>
      </c>
      <c r="I424">
        <f>'Data Cleaning'!I424</f>
        <v>9</v>
      </c>
      <c r="J424" s="2">
        <f>'Data Cleaning'!J424</f>
        <v>450.63</v>
      </c>
    </row>
    <row r="425" spans="1:10" x14ac:dyDescent="0.25">
      <c r="A425" t="str">
        <f>'Data Cleaning'!A425</f>
        <v>S424</v>
      </c>
      <c r="B425" s="113">
        <f>'Data Cleaning'!B425</f>
        <v>45978</v>
      </c>
      <c r="C425" t="str">
        <f>'Data Cleaning'!C425</f>
        <v>New Balance</v>
      </c>
      <c r="D425" t="str">
        <f>'Data Cleaning'!D425</f>
        <v>Formal</v>
      </c>
      <c r="E425" t="str">
        <f>'Data Cleaning'!E425</f>
        <v>Black</v>
      </c>
      <c r="F425" t="str">
        <f>'Data Cleaning'!F425</f>
        <v>France</v>
      </c>
      <c r="G425" t="str">
        <f>'Data Cleaning'!G425</f>
        <v>Mall</v>
      </c>
      <c r="H425" s="2">
        <f>'Data Cleaning'!H425</f>
        <v>138.77000000000001</v>
      </c>
      <c r="I425">
        <f>'Data Cleaning'!I425</f>
        <v>14</v>
      </c>
      <c r="J425" s="2">
        <f>'Data Cleaning'!J425</f>
        <v>1942.78</v>
      </c>
    </row>
    <row r="426" spans="1:10" x14ac:dyDescent="0.25">
      <c r="A426" t="str">
        <f>'Data Cleaning'!A426</f>
        <v>S425</v>
      </c>
      <c r="B426" s="113">
        <f>'Data Cleaning'!B426</f>
        <v>46001</v>
      </c>
      <c r="C426" t="str">
        <f>'Data Cleaning'!C426</f>
        <v>New Balance</v>
      </c>
      <c r="D426" t="str">
        <f>'Data Cleaning'!D426</f>
        <v>Sports</v>
      </c>
      <c r="E426" t="str">
        <f>'Data Cleaning'!E426</f>
        <v>Green</v>
      </c>
      <c r="F426" t="str">
        <f>'Data Cleaning'!F426</f>
        <v>Germany</v>
      </c>
      <c r="G426" t="str">
        <f>'Data Cleaning'!G426</f>
        <v>Retail Store</v>
      </c>
      <c r="H426" s="2">
        <f>'Data Cleaning'!H426</f>
        <v>42.66</v>
      </c>
      <c r="I426">
        <f>'Data Cleaning'!I426</f>
        <v>13</v>
      </c>
      <c r="J426" s="2">
        <f>'Data Cleaning'!J426</f>
        <v>554.58000000000004</v>
      </c>
    </row>
    <row r="427" spans="1:10" x14ac:dyDescent="0.25">
      <c r="A427" t="str">
        <f>'Data Cleaning'!A427</f>
        <v>S426</v>
      </c>
      <c r="B427" s="113">
        <f>'Data Cleaning'!B427</f>
        <v>45734</v>
      </c>
      <c r="C427" t="str">
        <f>'Data Cleaning'!C427</f>
        <v>Reebok</v>
      </c>
      <c r="D427" t="str">
        <f>'Data Cleaning'!D427</f>
        <v>Casual</v>
      </c>
      <c r="E427" t="str">
        <f>'Data Cleaning'!E427</f>
        <v>Grey</v>
      </c>
      <c r="F427" t="str">
        <f>'Data Cleaning'!F427</f>
        <v>Germany</v>
      </c>
      <c r="G427" t="str">
        <f>'Data Cleaning'!G427</f>
        <v>Online</v>
      </c>
      <c r="H427" s="2">
        <f>'Data Cleaning'!H427</f>
        <v>150.9</v>
      </c>
      <c r="I427">
        <f>'Data Cleaning'!I427</f>
        <v>10</v>
      </c>
      <c r="J427" s="2">
        <f>'Data Cleaning'!J427</f>
        <v>1509</v>
      </c>
    </row>
    <row r="428" spans="1:10" x14ac:dyDescent="0.25">
      <c r="A428" t="str">
        <f>'Data Cleaning'!A428</f>
        <v>S427</v>
      </c>
      <c r="B428" s="113">
        <f>'Data Cleaning'!B428</f>
        <v>45773</v>
      </c>
      <c r="C428" t="str">
        <f>'Data Cleaning'!C428</f>
        <v>Skechers</v>
      </c>
      <c r="D428" t="str">
        <f>'Data Cleaning'!D428</f>
        <v>Casual</v>
      </c>
      <c r="E428" t="str">
        <f>'Data Cleaning'!E428</f>
        <v>Red</v>
      </c>
      <c r="F428" t="str">
        <f>'Data Cleaning'!F428</f>
        <v>USA</v>
      </c>
      <c r="G428" t="str">
        <f>'Data Cleaning'!G428</f>
        <v>Mall</v>
      </c>
      <c r="H428" s="2">
        <f>'Data Cleaning'!H428</f>
        <v>127.14</v>
      </c>
      <c r="I428">
        <f>'Data Cleaning'!I428</f>
        <v>10</v>
      </c>
      <c r="J428" s="2">
        <f>'Data Cleaning'!J428</f>
        <v>1271.4000000000001</v>
      </c>
    </row>
    <row r="429" spans="1:10" x14ac:dyDescent="0.25">
      <c r="A429" t="str">
        <f>'Data Cleaning'!A429</f>
        <v>S428</v>
      </c>
      <c r="B429" s="113">
        <f>'Data Cleaning'!B429</f>
        <v>45869</v>
      </c>
      <c r="C429" t="str">
        <f>'Data Cleaning'!C429</f>
        <v>New Balance</v>
      </c>
      <c r="D429" t="str">
        <f>'Data Cleaning'!D429</f>
        <v>Sneakers</v>
      </c>
      <c r="E429" t="str">
        <f>'Data Cleaning'!E429</f>
        <v>White</v>
      </c>
      <c r="F429" t="str">
        <f>'Data Cleaning'!F429</f>
        <v>Germany</v>
      </c>
      <c r="G429" t="str">
        <f>'Data Cleaning'!G429</f>
        <v>Online</v>
      </c>
      <c r="H429" s="2">
        <f>'Data Cleaning'!H429</f>
        <v>225.29</v>
      </c>
      <c r="I429">
        <f>'Data Cleaning'!I429</f>
        <v>14</v>
      </c>
      <c r="J429" s="2">
        <f>'Data Cleaning'!J429</f>
        <v>3154.06</v>
      </c>
    </row>
    <row r="430" spans="1:10" x14ac:dyDescent="0.25">
      <c r="A430" t="str">
        <f>'Data Cleaning'!A430</f>
        <v>S429</v>
      </c>
      <c r="B430" s="113">
        <f>'Data Cleaning'!B430</f>
        <v>45788</v>
      </c>
      <c r="C430" t="str">
        <f>'Data Cleaning'!C430</f>
        <v>Puma</v>
      </c>
      <c r="D430" t="str">
        <f>'Data Cleaning'!D430</f>
        <v>Boots</v>
      </c>
      <c r="E430" t="str">
        <f>'Data Cleaning'!E430</f>
        <v>Black</v>
      </c>
      <c r="F430" t="str">
        <f>'Data Cleaning'!F430</f>
        <v>Germany</v>
      </c>
      <c r="G430" t="str">
        <f>'Data Cleaning'!G430</f>
        <v>Retail Store</v>
      </c>
      <c r="H430" s="2">
        <f>'Data Cleaning'!H430</f>
        <v>107.2</v>
      </c>
      <c r="I430">
        <f>'Data Cleaning'!I430</f>
        <v>7</v>
      </c>
      <c r="J430" s="2">
        <f>'Data Cleaning'!J430</f>
        <v>750.4</v>
      </c>
    </row>
    <row r="431" spans="1:10" x14ac:dyDescent="0.25">
      <c r="A431" t="str">
        <f>'Data Cleaning'!A431</f>
        <v>S430</v>
      </c>
      <c r="B431" s="113">
        <f>'Data Cleaning'!B431</f>
        <v>45705</v>
      </c>
      <c r="C431" t="str">
        <f>'Data Cleaning'!C431</f>
        <v>Skechers</v>
      </c>
      <c r="D431" t="str">
        <f>'Data Cleaning'!D431</f>
        <v>Casual</v>
      </c>
      <c r="E431" t="str">
        <f>'Data Cleaning'!E431</f>
        <v>Black</v>
      </c>
      <c r="F431" t="str">
        <f>'Data Cleaning'!F431</f>
        <v>France</v>
      </c>
      <c r="G431" t="str">
        <f>'Data Cleaning'!G431</f>
        <v>Retail Store</v>
      </c>
      <c r="H431" s="2">
        <f>'Data Cleaning'!H431</f>
        <v>55.75</v>
      </c>
      <c r="I431">
        <f>'Data Cleaning'!I431</f>
        <v>18</v>
      </c>
      <c r="J431" s="2">
        <f>'Data Cleaning'!J431</f>
        <v>1003.5</v>
      </c>
    </row>
    <row r="432" spans="1:10" x14ac:dyDescent="0.25">
      <c r="A432" t="str">
        <f>'Data Cleaning'!A432</f>
        <v>S431</v>
      </c>
      <c r="B432" s="113">
        <f>'Data Cleaning'!B432</f>
        <v>46002</v>
      </c>
      <c r="C432" t="str">
        <f>'Data Cleaning'!C432</f>
        <v>New Balance</v>
      </c>
      <c r="D432" t="str">
        <f>'Data Cleaning'!D432</f>
        <v>Running</v>
      </c>
      <c r="E432" t="str">
        <f>'Data Cleaning'!E432</f>
        <v>Black</v>
      </c>
      <c r="F432" t="str">
        <f>'Data Cleaning'!F432</f>
        <v>UK</v>
      </c>
      <c r="G432" t="str">
        <f>'Data Cleaning'!G432</f>
        <v>Mall</v>
      </c>
      <c r="H432" s="2">
        <f>'Data Cleaning'!H432</f>
        <v>61.46</v>
      </c>
      <c r="I432">
        <f>'Data Cleaning'!I432</f>
        <v>20</v>
      </c>
      <c r="J432" s="2">
        <f>'Data Cleaning'!J432</f>
        <v>1229.2</v>
      </c>
    </row>
    <row r="433" spans="1:10" x14ac:dyDescent="0.25">
      <c r="A433" t="str">
        <f>'Data Cleaning'!A433</f>
        <v>S432</v>
      </c>
      <c r="B433" s="113">
        <f>'Data Cleaning'!B433</f>
        <v>46001</v>
      </c>
      <c r="C433" t="str">
        <f>'Data Cleaning'!C433</f>
        <v>Adidas</v>
      </c>
      <c r="D433" t="str">
        <f>'Data Cleaning'!D433</f>
        <v>Formal</v>
      </c>
      <c r="E433" t="str">
        <f>'Data Cleaning'!E433</f>
        <v>White</v>
      </c>
      <c r="F433" t="str">
        <f>'Data Cleaning'!F433</f>
        <v>Saudi Arabia</v>
      </c>
      <c r="G433" t="str">
        <f>'Data Cleaning'!G433</f>
        <v>Retail Store</v>
      </c>
      <c r="H433" s="2">
        <f>'Data Cleaning'!H433</f>
        <v>197.53</v>
      </c>
      <c r="I433">
        <f>'Data Cleaning'!I433</f>
        <v>18</v>
      </c>
      <c r="J433" s="2">
        <f>'Data Cleaning'!J433</f>
        <v>3555.54</v>
      </c>
    </row>
    <row r="434" spans="1:10" x14ac:dyDescent="0.25">
      <c r="A434" t="str">
        <f>'Data Cleaning'!A434</f>
        <v>S433</v>
      </c>
      <c r="B434" s="113">
        <f>'Data Cleaning'!B434</f>
        <v>45813</v>
      </c>
      <c r="C434" t="str">
        <f>'Data Cleaning'!C434</f>
        <v>Adidas</v>
      </c>
      <c r="D434" t="str">
        <f>'Data Cleaning'!D434</f>
        <v>Casual</v>
      </c>
      <c r="E434" t="str">
        <f>'Data Cleaning'!E434</f>
        <v>Green</v>
      </c>
      <c r="F434" t="str">
        <f>'Data Cleaning'!F434</f>
        <v>USA</v>
      </c>
      <c r="G434" t="str">
        <f>'Data Cleaning'!G434</f>
        <v>Mall</v>
      </c>
      <c r="H434" s="2">
        <f>'Data Cleaning'!H434</f>
        <v>166.01</v>
      </c>
      <c r="I434">
        <f>'Data Cleaning'!I434</f>
        <v>1</v>
      </c>
      <c r="J434" s="2">
        <f>'Data Cleaning'!J434</f>
        <v>166.01</v>
      </c>
    </row>
    <row r="435" spans="1:10" x14ac:dyDescent="0.25">
      <c r="A435" t="str">
        <f>'Data Cleaning'!A435</f>
        <v>S434</v>
      </c>
      <c r="B435" s="113">
        <f>'Data Cleaning'!B435</f>
        <v>45903</v>
      </c>
      <c r="C435" t="str">
        <f>'Data Cleaning'!C435</f>
        <v>Skechers</v>
      </c>
      <c r="D435" t="str">
        <f>'Data Cleaning'!D435</f>
        <v>Sneakers</v>
      </c>
      <c r="E435" t="str">
        <f>'Data Cleaning'!E435</f>
        <v>Green</v>
      </c>
      <c r="F435" t="str">
        <f>'Data Cleaning'!F435</f>
        <v>UK</v>
      </c>
      <c r="G435" t="str">
        <f>'Data Cleaning'!G435</f>
        <v>Retail Store</v>
      </c>
      <c r="H435" s="2">
        <f>'Data Cleaning'!H435</f>
        <v>52.25</v>
      </c>
      <c r="I435">
        <f>'Data Cleaning'!I435</f>
        <v>8</v>
      </c>
      <c r="J435" s="2">
        <f>'Data Cleaning'!J435</f>
        <v>418</v>
      </c>
    </row>
    <row r="436" spans="1:10" x14ac:dyDescent="0.25">
      <c r="A436" t="str">
        <f>'Data Cleaning'!A436</f>
        <v>S435</v>
      </c>
      <c r="B436" s="113">
        <f>'Data Cleaning'!B436</f>
        <v>45780</v>
      </c>
      <c r="C436" t="str">
        <f>'Data Cleaning'!C436</f>
        <v>Puma</v>
      </c>
      <c r="D436" t="str">
        <f>'Data Cleaning'!D436</f>
        <v>Sports</v>
      </c>
      <c r="E436" t="str">
        <f>'Data Cleaning'!E436</f>
        <v>Red</v>
      </c>
      <c r="F436" t="str">
        <f>'Data Cleaning'!F436</f>
        <v>Germany</v>
      </c>
      <c r="G436" t="str">
        <f>'Data Cleaning'!G436</f>
        <v>Mall</v>
      </c>
      <c r="H436" s="2">
        <f>'Data Cleaning'!H436</f>
        <v>48.5</v>
      </c>
      <c r="I436">
        <f>'Data Cleaning'!I436</f>
        <v>18</v>
      </c>
      <c r="J436" s="2">
        <f>'Data Cleaning'!J436</f>
        <v>873</v>
      </c>
    </row>
    <row r="437" spans="1:10" x14ac:dyDescent="0.25">
      <c r="A437" t="str">
        <f>'Data Cleaning'!A437</f>
        <v>S436</v>
      </c>
      <c r="B437" s="113">
        <f>'Data Cleaning'!B437</f>
        <v>45990</v>
      </c>
      <c r="C437" t="str">
        <f>'Data Cleaning'!C437</f>
        <v>Puma</v>
      </c>
      <c r="D437" t="str">
        <f>'Data Cleaning'!D437</f>
        <v>Sports</v>
      </c>
      <c r="E437" t="str">
        <f>'Data Cleaning'!E437</f>
        <v>Blue</v>
      </c>
      <c r="F437" t="str">
        <f>'Data Cleaning'!F437</f>
        <v>India</v>
      </c>
      <c r="G437" t="str">
        <f>'Data Cleaning'!G437</f>
        <v>Retail Store</v>
      </c>
      <c r="H437" s="2">
        <f>'Data Cleaning'!H437</f>
        <v>184.21</v>
      </c>
      <c r="I437">
        <f>'Data Cleaning'!I437</f>
        <v>12</v>
      </c>
      <c r="J437" s="2">
        <f>'Data Cleaning'!J437</f>
        <v>2210.52</v>
      </c>
    </row>
    <row r="438" spans="1:10" x14ac:dyDescent="0.25">
      <c r="A438" t="str">
        <f>'Data Cleaning'!A438</f>
        <v>S437</v>
      </c>
      <c r="B438" s="113">
        <f>'Data Cleaning'!B438</f>
        <v>45896</v>
      </c>
      <c r="C438" t="str">
        <f>'Data Cleaning'!C438</f>
        <v>Skechers</v>
      </c>
      <c r="D438" t="str">
        <f>'Data Cleaning'!D438</f>
        <v>Formal</v>
      </c>
      <c r="E438" t="str">
        <f>'Data Cleaning'!E438</f>
        <v>Blue</v>
      </c>
      <c r="F438" t="str">
        <f>'Data Cleaning'!F438</f>
        <v>UK</v>
      </c>
      <c r="G438" t="str">
        <f>'Data Cleaning'!G438</f>
        <v>Retail Store</v>
      </c>
      <c r="H438" s="2">
        <f>'Data Cleaning'!H438</f>
        <v>46.01</v>
      </c>
      <c r="I438">
        <f>'Data Cleaning'!I438</f>
        <v>4</v>
      </c>
      <c r="J438" s="2">
        <f>'Data Cleaning'!J438</f>
        <v>184.04</v>
      </c>
    </row>
    <row r="439" spans="1:10" x14ac:dyDescent="0.25">
      <c r="A439" t="str">
        <f>'Data Cleaning'!A439</f>
        <v>S438</v>
      </c>
      <c r="B439" s="113">
        <f>'Data Cleaning'!B439</f>
        <v>45818</v>
      </c>
      <c r="C439" t="str">
        <f>'Data Cleaning'!C439</f>
        <v>Nike</v>
      </c>
      <c r="D439" t="str">
        <f>'Data Cleaning'!D439</f>
        <v>Sneakers</v>
      </c>
      <c r="E439" t="str">
        <f>'Data Cleaning'!E439</f>
        <v>White</v>
      </c>
      <c r="F439" t="str">
        <f>'Data Cleaning'!F439</f>
        <v>UAE</v>
      </c>
      <c r="G439" t="str">
        <f>'Data Cleaning'!G439</f>
        <v>Online</v>
      </c>
      <c r="H439" s="2">
        <f>'Data Cleaning'!H439</f>
        <v>210.81</v>
      </c>
      <c r="I439">
        <f>'Data Cleaning'!I439</f>
        <v>14</v>
      </c>
      <c r="J439" s="2">
        <f>'Data Cleaning'!J439</f>
        <v>2951.34</v>
      </c>
    </row>
    <row r="440" spans="1:10" x14ac:dyDescent="0.25">
      <c r="A440" t="str">
        <f>'Data Cleaning'!A440</f>
        <v>S439</v>
      </c>
      <c r="B440" s="113">
        <f>'Data Cleaning'!B440</f>
        <v>45666</v>
      </c>
      <c r="C440" t="str">
        <f>'Data Cleaning'!C440</f>
        <v>New Balance</v>
      </c>
      <c r="D440" t="str">
        <f>'Data Cleaning'!D440</f>
        <v>Sneakers</v>
      </c>
      <c r="E440" t="str">
        <f>'Data Cleaning'!E440</f>
        <v>Grey</v>
      </c>
      <c r="F440" t="str">
        <f>'Data Cleaning'!F440</f>
        <v>UAE</v>
      </c>
      <c r="G440" t="str">
        <f>'Data Cleaning'!G440</f>
        <v>Retail Store</v>
      </c>
      <c r="H440" s="2">
        <f>'Data Cleaning'!H440</f>
        <v>185.37</v>
      </c>
      <c r="I440">
        <f>'Data Cleaning'!I440</f>
        <v>9</v>
      </c>
      <c r="J440" s="2">
        <f>'Data Cleaning'!J440</f>
        <v>1668.33</v>
      </c>
    </row>
    <row r="441" spans="1:10" x14ac:dyDescent="0.25">
      <c r="A441" t="str">
        <f>'Data Cleaning'!A441</f>
        <v>S440</v>
      </c>
      <c r="B441" s="113">
        <f>'Data Cleaning'!B441</f>
        <v>45809</v>
      </c>
      <c r="C441" t="str">
        <f>'Data Cleaning'!C441</f>
        <v>Adidas</v>
      </c>
      <c r="D441" t="str">
        <f>'Data Cleaning'!D441</f>
        <v>Sports</v>
      </c>
      <c r="E441" t="str">
        <f>'Data Cleaning'!E441</f>
        <v>White</v>
      </c>
      <c r="F441" t="str">
        <f>'Data Cleaning'!F441</f>
        <v>Germany</v>
      </c>
      <c r="G441" t="str">
        <f>'Data Cleaning'!G441</f>
        <v>Mall</v>
      </c>
      <c r="H441" s="2">
        <f>'Data Cleaning'!H441</f>
        <v>47.9</v>
      </c>
      <c r="I441">
        <f>'Data Cleaning'!I441</f>
        <v>5</v>
      </c>
      <c r="J441" s="2">
        <f>'Data Cleaning'!J441</f>
        <v>239.5</v>
      </c>
    </row>
    <row r="442" spans="1:10" x14ac:dyDescent="0.25">
      <c r="A442" t="str">
        <f>'Data Cleaning'!A442</f>
        <v>S441</v>
      </c>
      <c r="B442" s="113">
        <f>'Data Cleaning'!B442</f>
        <v>45783</v>
      </c>
      <c r="C442" t="str">
        <f>'Data Cleaning'!C442</f>
        <v>New Balance</v>
      </c>
      <c r="D442" t="str">
        <f>'Data Cleaning'!D442</f>
        <v>Boots</v>
      </c>
      <c r="E442" t="str">
        <f>'Data Cleaning'!E442</f>
        <v>Green</v>
      </c>
      <c r="F442" t="str">
        <f>'Data Cleaning'!F442</f>
        <v>France</v>
      </c>
      <c r="G442" t="str">
        <f>'Data Cleaning'!G442</f>
        <v>Retail Store</v>
      </c>
      <c r="H442" s="2">
        <f>'Data Cleaning'!H442</f>
        <v>48.66</v>
      </c>
      <c r="I442">
        <f>'Data Cleaning'!I442</f>
        <v>16</v>
      </c>
      <c r="J442" s="2">
        <f>'Data Cleaning'!J442</f>
        <v>778.56</v>
      </c>
    </row>
    <row r="443" spans="1:10" x14ac:dyDescent="0.25">
      <c r="A443" t="str">
        <f>'Data Cleaning'!A443</f>
        <v>S442</v>
      </c>
      <c r="B443" s="113">
        <f>'Data Cleaning'!B443</f>
        <v>45908</v>
      </c>
      <c r="C443" t="str">
        <f>'Data Cleaning'!C443</f>
        <v>Reebok</v>
      </c>
      <c r="D443" t="str">
        <f>'Data Cleaning'!D443</f>
        <v>Casual</v>
      </c>
      <c r="E443" t="str">
        <f>'Data Cleaning'!E443</f>
        <v>Green</v>
      </c>
      <c r="F443" t="str">
        <f>'Data Cleaning'!F443</f>
        <v>Saudi Arabia</v>
      </c>
      <c r="G443" t="str">
        <f>'Data Cleaning'!G443</f>
        <v>Retail Store</v>
      </c>
      <c r="H443" s="2">
        <f>'Data Cleaning'!H443</f>
        <v>247.06</v>
      </c>
      <c r="I443">
        <f>'Data Cleaning'!I443</f>
        <v>16</v>
      </c>
      <c r="J443" s="2">
        <f>'Data Cleaning'!J443</f>
        <v>3952.96</v>
      </c>
    </row>
    <row r="444" spans="1:10" x14ac:dyDescent="0.25">
      <c r="A444" t="str">
        <f>'Data Cleaning'!A444</f>
        <v>S443</v>
      </c>
      <c r="B444" s="113">
        <f>'Data Cleaning'!B444</f>
        <v>45744</v>
      </c>
      <c r="C444" t="str">
        <f>'Data Cleaning'!C444</f>
        <v>Skechers</v>
      </c>
      <c r="D444" t="str">
        <f>'Data Cleaning'!D444</f>
        <v>Sneakers</v>
      </c>
      <c r="E444" t="str">
        <f>'Data Cleaning'!E444</f>
        <v>Red</v>
      </c>
      <c r="F444" t="str">
        <f>'Data Cleaning'!F444</f>
        <v>UK</v>
      </c>
      <c r="G444" t="str">
        <f>'Data Cleaning'!G444</f>
        <v>Mall</v>
      </c>
      <c r="H444" s="2">
        <f>'Data Cleaning'!H444</f>
        <v>112.34</v>
      </c>
      <c r="I444">
        <f>'Data Cleaning'!I444</f>
        <v>5</v>
      </c>
      <c r="J444" s="2">
        <f>'Data Cleaning'!J444</f>
        <v>561.70000000000005</v>
      </c>
    </row>
    <row r="445" spans="1:10" x14ac:dyDescent="0.25">
      <c r="A445" t="str">
        <f>'Data Cleaning'!A445</f>
        <v>S444</v>
      </c>
      <c r="B445" s="113">
        <f>'Data Cleaning'!B445</f>
        <v>45986</v>
      </c>
      <c r="C445" t="str">
        <f>'Data Cleaning'!C445</f>
        <v>New Balance</v>
      </c>
      <c r="D445" t="str">
        <f>'Data Cleaning'!D445</f>
        <v>Running</v>
      </c>
      <c r="E445" t="str">
        <f>'Data Cleaning'!E445</f>
        <v>Black</v>
      </c>
      <c r="F445" t="str">
        <f>'Data Cleaning'!F445</f>
        <v>Saudi Arabia</v>
      </c>
      <c r="G445" t="str">
        <f>'Data Cleaning'!G445</f>
        <v>Mall</v>
      </c>
      <c r="H445" s="2">
        <f>'Data Cleaning'!H445</f>
        <v>111.54</v>
      </c>
      <c r="I445">
        <f>'Data Cleaning'!I445</f>
        <v>2</v>
      </c>
      <c r="J445" s="2">
        <f>'Data Cleaning'!J445</f>
        <v>223.08</v>
      </c>
    </row>
    <row r="446" spans="1:10" x14ac:dyDescent="0.25">
      <c r="A446" t="str">
        <f>'Data Cleaning'!A446</f>
        <v>S445</v>
      </c>
      <c r="B446" s="113">
        <f>'Data Cleaning'!B446</f>
        <v>45682</v>
      </c>
      <c r="C446" t="str">
        <f>'Data Cleaning'!C446</f>
        <v>Reebok</v>
      </c>
      <c r="D446" t="str">
        <f>'Data Cleaning'!D446</f>
        <v>Casual</v>
      </c>
      <c r="E446" t="str">
        <f>'Data Cleaning'!E446</f>
        <v>Green</v>
      </c>
      <c r="F446" t="str">
        <f>'Data Cleaning'!F446</f>
        <v>UK</v>
      </c>
      <c r="G446" t="str">
        <f>'Data Cleaning'!G446</f>
        <v>Online</v>
      </c>
      <c r="H446" s="2">
        <f>'Data Cleaning'!H446</f>
        <v>208.82</v>
      </c>
      <c r="I446">
        <f>'Data Cleaning'!I446</f>
        <v>1</v>
      </c>
      <c r="J446" s="2">
        <f>'Data Cleaning'!J446</f>
        <v>208.82</v>
      </c>
    </row>
    <row r="447" spans="1:10" x14ac:dyDescent="0.25">
      <c r="A447" t="str">
        <f>'Data Cleaning'!A447</f>
        <v>S446</v>
      </c>
      <c r="B447" s="113">
        <f>'Data Cleaning'!B447</f>
        <v>46020</v>
      </c>
      <c r="C447" t="str">
        <f>'Data Cleaning'!C447</f>
        <v>Nike</v>
      </c>
      <c r="D447" t="str">
        <f>'Data Cleaning'!D447</f>
        <v>Casual</v>
      </c>
      <c r="E447" t="str">
        <f>'Data Cleaning'!E447</f>
        <v>Grey</v>
      </c>
      <c r="F447" t="str">
        <f>'Data Cleaning'!F447</f>
        <v>Germany</v>
      </c>
      <c r="G447" t="str">
        <f>'Data Cleaning'!G447</f>
        <v>Retail Store</v>
      </c>
      <c r="H447" s="2">
        <f>'Data Cleaning'!H447</f>
        <v>238.39</v>
      </c>
      <c r="I447">
        <f>'Data Cleaning'!I447</f>
        <v>5</v>
      </c>
      <c r="J447" s="2">
        <f>'Data Cleaning'!J447</f>
        <v>1191.95</v>
      </c>
    </row>
    <row r="448" spans="1:10" x14ac:dyDescent="0.25">
      <c r="A448" t="str">
        <f>'Data Cleaning'!A448</f>
        <v>S447</v>
      </c>
      <c r="B448" s="113">
        <f>'Data Cleaning'!B448</f>
        <v>45688</v>
      </c>
      <c r="C448" t="str">
        <f>'Data Cleaning'!C448</f>
        <v>Skechers</v>
      </c>
      <c r="D448" t="str">
        <f>'Data Cleaning'!D448</f>
        <v>Boots</v>
      </c>
      <c r="E448" t="str">
        <f>'Data Cleaning'!E448</f>
        <v>Grey</v>
      </c>
      <c r="F448" t="str">
        <f>'Data Cleaning'!F448</f>
        <v>Germany</v>
      </c>
      <c r="G448" t="str">
        <f>'Data Cleaning'!G448</f>
        <v>Mall</v>
      </c>
      <c r="H448" s="2">
        <f>'Data Cleaning'!H448</f>
        <v>246.92</v>
      </c>
      <c r="I448">
        <f>'Data Cleaning'!I448</f>
        <v>20</v>
      </c>
      <c r="J448" s="2">
        <f>'Data Cleaning'!J448</f>
        <v>4938.3999999999996</v>
      </c>
    </row>
    <row r="449" spans="1:10" x14ac:dyDescent="0.25">
      <c r="A449" t="str">
        <f>'Data Cleaning'!A449</f>
        <v>S448</v>
      </c>
      <c r="B449" s="113">
        <f>'Data Cleaning'!B449</f>
        <v>45907</v>
      </c>
      <c r="C449" t="str">
        <f>'Data Cleaning'!C449</f>
        <v>Nike</v>
      </c>
      <c r="D449" t="str">
        <f>'Data Cleaning'!D449</f>
        <v>Sneakers</v>
      </c>
      <c r="E449" t="str">
        <f>'Data Cleaning'!E449</f>
        <v>Grey</v>
      </c>
      <c r="F449" t="str">
        <f>'Data Cleaning'!F449</f>
        <v>Germany</v>
      </c>
      <c r="G449" t="str">
        <f>'Data Cleaning'!G449</f>
        <v>Online</v>
      </c>
      <c r="H449" s="2">
        <f>'Data Cleaning'!H449</f>
        <v>195.74</v>
      </c>
      <c r="I449">
        <f>'Data Cleaning'!I449</f>
        <v>1</v>
      </c>
      <c r="J449" s="2">
        <f>'Data Cleaning'!J449</f>
        <v>195.74</v>
      </c>
    </row>
    <row r="450" spans="1:10" x14ac:dyDescent="0.25">
      <c r="A450" t="str">
        <f>'Data Cleaning'!A450</f>
        <v>S449</v>
      </c>
      <c r="B450" s="113">
        <f>'Data Cleaning'!B450</f>
        <v>45666</v>
      </c>
      <c r="C450" t="str">
        <f>'Data Cleaning'!C450</f>
        <v>Skechers</v>
      </c>
      <c r="D450" t="str">
        <f>'Data Cleaning'!D450</f>
        <v>Sports</v>
      </c>
      <c r="E450" t="str">
        <f>'Data Cleaning'!E450</f>
        <v>Grey</v>
      </c>
      <c r="F450" t="str">
        <f>'Data Cleaning'!F450</f>
        <v>France</v>
      </c>
      <c r="G450" t="str">
        <f>'Data Cleaning'!G450</f>
        <v>Online</v>
      </c>
      <c r="H450" s="2">
        <f>'Data Cleaning'!H450</f>
        <v>112.78</v>
      </c>
      <c r="I450">
        <f>'Data Cleaning'!I450</f>
        <v>17</v>
      </c>
      <c r="J450" s="2">
        <f>'Data Cleaning'!J450</f>
        <v>1917.26</v>
      </c>
    </row>
    <row r="451" spans="1:10" x14ac:dyDescent="0.25">
      <c r="A451" t="str">
        <f>'Data Cleaning'!A451</f>
        <v>S450</v>
      </c>
      <c r="B451" s="113">
        <f>'Data Cleaning'!B451</f>
        <v>45915</v>
      </c>
      <c r="C451" t="str">
        <f>'Data Cleaning'!C451</f>
        <v>Adidas</v>
      </c>
      <c r="D451" t="str">
        <f>'Data Cleaning'!D451</f>
        <v>Running</v>
      </c>
      <c r="E451" t="str">
        <f>'Data Cleaning'!E451</f>
        <v>Black</v>
      </c>
      <c r="F451" t="str">
        <f>'Data Cleaning'!F451</f>
        <v>India</v>
      </c>
      <c r="G451" t="str">
        <f>'Data Cleaning'!G451</f>
        <v>Online</v>
      </c>
      <c r="H451" s="2">
        <f>'Data Cleaning'!H451</f>
        <v>48.37</v>
      </c>
      <c r="I451">
        <f>'Data Cleaning'!I451</f>
        <v>14</v>
      </c>
      <c r="J451" s="2">
        <f>'Data Cleaning'!J451</f>
        <v>677.18</v>
      </c>
    </row>
    <row r="452" spans="1:10" x14ac:dyDescent="0.25">
      <c r="A452" t="str">
        <f>'Data Cleaning'!A452</f>
        <v>S451</v>
      </c>
      <c r="B452" s="113">
        <f>'Data Cleaning'!B452</f>
        <v>45781</v>
      </c>
      <c r="C452" t="str">
        <f>'Data Cleaning'!C452</f>
        <v>New Balance</v>
      </c>
      <c r="D452" t="str">
        <f>'Data Cleaning'!D452</f>
        <v>Sneakers</v>
      </c>
      <c r="E452" t="str">
        <f>'Data Cleaning'!E452</f>
        <v>Blue</v>
      </c>
      <c r="F452" t="str">
        <f>'Data Cleaning'!F452</f>
        <v>Saudi Arabia</v>
      </c>
      <c r="G452" t="str">
        <f>'Data Cleaning'!G452</f>
        <v>Retail Store</v>
      </c>
      <c r="H452" s="2">
        <f>'Data Cleaning'!H452</f>
        <v>200.97</v>
      </c>
      <c r="I452">
        <f>'Data Cleaning'!I452</f>
        <v>7</v>
      </c>
      <c r="J452" s="2">
        <f>'Data Cleaning'!J452</f>
        <v>1406.79</v>
      </c>
    </row>
    <row r="453" spans="1:10" x14ac:dyDescent="0.25">
      <c r="A453" t="str">
        <f>'Data Cleaning'!A453</f>
        <v>S452</v>
      </c>
      <c r="B453" s="113">
        <f>'Data Cleaning'!B453</f>
        <v>45794</v>
      </c>
      <c r="C453" t="str">
        <f>'Data Cleaning'!C453</f>
        <v>Nike</v>
      </c>
      <c r="D453" t="str">
        <f>'Data Cleaning'!D453</f>
        <v>Sports</v>
      </c>
      <c r="E453" t="str">
        <f>'Data Cleaning'!E453</f>
        <v>Red</v>
      </c>
      <c r="F453" t="str">
        <f>'Data Cleaning'!F453</f>
        <v>Germany</v>
      </c>
      <c r="G453" t="str">
        <f>'Data Cleaning'!G453</f>
        <v>Mall</v>
      </c>
      <c r="H453" s="2">
        <f>'Data Cleaning'!H453</f>
        <v>152.85</v>
      </c>
      <c r="I453">
        <f>'Data Cleaning'!I453</f>
        <v>13</v>
      </c>
      <c r="J453" s="2">
        <f>'Data Cleaning'!J453</f>
        <v>1987.05</v>
      </c>
    </row>
    <row r="454" spans="1:10" x14ac:dyDescent="0.25">
      <c r="A454" t="str">
        <f>'Data Cleaning'!A454</f>
        <v>S453</v>
      </c>
      <c r="B454" s="113">
        <f>'Data Cleaning'!B454</f>
        <v>45782</v>
      </c>
      <c r="C454" t="str">
        <f>'Data Cleaning'!C454</f>
        <v>Puma</v>
      </c>
      <c r="D454" t="str">
        <f>'Data Cleaning'!D454</f>
        <v>Boots</v>
      </c>
      <c r="E454" t="str">
        <f>'Data Cleaning'!E454</f>
        <v>Black</v>
      </c>
      <c r="F454" t="str">
        <f>'Data Cleaning'!F454</f>
        <v>UAE</v>
      </c>
      <c r="G454" t="str">
        <f>'Data Cleaning'!G454</f>
        <v>Mall</v>
      </c>
      <c r="H454" s="2">
        <f>'Data Cleaning'!H454</f>
        <v>123.33</v>
      </c>
      <c r="I454">
        <f>'Data Cleaning'!I454</f>
        <v>8</v>
      </c>
      <c r="J454" s="2">
        <f>'Data Cleaning'!J454</f>
        <v>986.64</v>
      </c>
    </row>
    <row r="455" spans="1:10" x14ac:dyDescent="0.25">
      <c r="A455" t="str">
        <f>'Data Cleaning'!A455</f>
        <v>S454</v>
      </c>
      <c r="B455" s="113">
        <f>'Data Cleaning'!B455</f>
        <v>45674</v>
      </c>
      <c r="C455" t="str">
        <f>'Data Cleaning'!C455</f>
        <v>Reebok</v>
      </c>
      <c r="D455" t="str">
        <f>'Data Cleaning'!D455</f>
        <v>Formal</v>
      </c>
      <c r="E455" t="str">
        <f>'Data Cleaning'!E455</f>
        <v>Red</v>
      </c>
      <c r="F455" t="str">
        <f>'Data Cleaning'!F455</f>
        <v>India</v>
      </c>
      <c r="G455" t="str">
        <f>'Data Cleaning'!G455</f>
        <v>Retail Store</v>
      </c>
      <c r="H455" s="2">
        <f>'Data Cleaning'!H455</f>
        <v>229.4</v>
      </c>
      <c r="I455">
        <f>'Data Cleaning'!I455</f>
        <v>3</v>
      </c>
      <c r="J455" s="2">
        <f>'Data Cleaning'!J455</f>
        <v>688.2</v>
      </c>
    </row>
    <row r="456" spans="1:10" x14ac:dyDescent="0.25">
      <c r="A456" t="str">
        <f>'Data Cleaning'!A456</f>
        <v>S455</v>
      </c>
      <c r="B456" s="113">
        <f>'Data Cleaning'!B456</f>
        <v>45686</v>
      </c>
      <c r="C456" t="str">
        <f>'Data Cleaning'!C456</f>
        <v>Skechers</v>
      </c>
      <c r="D456" t="str">
        <f>'Data Cleaning'!D456</f>
        <v>Casual</v>
      </c>
      <c r="E456" t="str">
        <f>'Data Cleaning'!E456</f>
        <v>Black</v>
      </c>
      <c r="F456" t="str">
        <f>'Data Cleaning'!F456</f>
        <v>Germany</v>
      </c>
      <c r="G456" t="str">
        <f>'Data Cleaning'!G456</f>
        <v>Retail Store</v>
      </c>
      <c r="H456" s="2">
        <f>'Data Cleaning'!H456</f>
        <v>54.46</v>
      </c>
      <c r="I456">
        <f>'Data Cleaning'!I456</f>
        <v>1</v>
      </c>
      <c r="J456" s="2">
        <f>'Data Cleaning'!J456</f>
        <v>54.46</v>
      </c>
    </row>
    <row r="457" spans="1:10" x14ac:dyDescent="0.25">
      <c r="A457" t="str">
        <f>'Data Cleaning'!A457</f>
        <v>S456</v>
      </c>
      <c r="B457" s="113">
        <f>'Data Cleaning'!B457</f>
        <v>45988</v>
      </c>
      <c r="C457" t="str">
        <f>'Data Cleaning'!C457</f>
        <v>New Balance</v>
      </c>
      <c r="D457" t="str">
        <f>'Data Cleaning'!D457</f>
        <v>Running</v>
      </c>
      <c r="E457" t="str">
        <f>'Data Cleaning'!E457</f>
        <v>Grey</v>
      </c>
      <c r="F457" t="str">
        <f>'Data Cleaning'!F457</f>
        <v>USA</v>
      </c>
      <c r="G457" t="str">
        <f>'Data Cleaning'!G457</f>
        <v>Online</v>
      </c>
      <c r="H457" s="2">
        <f>'Data Cleaning'!H457</f>
        <v>138.38</v>
      </c>
      <c r="I457">
        <f>'Data Cleaning'!I457</f>
        <v>11</v>
      </c>
      <c r="J457" s="2">
        <f>'Data Cleaning'!J457</f>
        <v>1522.18</v>
      </c>
    </row>
    <row r="458" spans="1:10" x14ac:dyDescent="0.25">
      <c r="A458" t="str">
        <f>'Data Cleaning'!A458</f>
        <v>S457</v>
      </c>
      <c r="B458" s="113">
        <f>'Data Cleaning'!B458</f>
        <v>45766</v>
      </c>
      <c r="C458" t="str">
        <f>'Data Cleaning'!C458</f>
        <v>Reebok</v>
      </c>
      <c r="D458" t="str">
        <f>'Data Cleaning'!D458</f>
        <v>Sports</v>
      </c>
      <c r="E458" t="str">
        <f>'Data Cleaning'!E458</f>
        <v>Black</v>
      </c>
      <c r="F458" t="str">
        <f>'Data Cleaning'!F458</f>
        <v>USA</v>
      </c>
      <c r="G458" t="str">
        <f>'Data Cleaning'!G458</f>
        <v>Mall</v>
      </c>
      <c r="H458" s="2">
        <f>'Data Cleaning'!H458</f>
        <v>32.5</v>
      </c>
      <c r="I458">
        <f>'Data Cleaning'!I458</f>
        <v>19</v>
      </c>
      <c r="J458" s="2">
        <f>'Data Cleaning'!J458</f>
        <v>617.5</v>
      </c>
    </row>
    <row r="459" spans="1:10" x14ac:dyDescent="0.25">
      <c r="A459" t="str">
        <f>'Data Cleaning'!A459</f>
        <v>S458</v>
      </c>
      <c r="B459" s="113">
        <f>'Data Cleaning'!B459</f>
        <v>45801</v>
      </c>
      <c r="C459" t="str">
        <f>'Data Cleaning'!C459</f>
        <v>New Balance</v>
      </c>
      <c r="D459" t="str">
        <f>'Data Cleaning'!D459</f>
        <v>Boots</v>
      </c>
      <c r="E459" t="str">
        <f>'Data Cleaning'!E459</f>
        <v>Black</v>
      </c>
      <c r="F459" t="str">
        <f>'Data Cleaning'!F459</f>
        <v>UK</v>
      </c>
      <c r="G459" t="str">
        <f>'Data Cleaning'!G459</f>
        <v>Retail Store</v>
      </c>
      <c r="H459" s="2">
        <f>'Data Cleaning'!H459</f>
        <v>133.11000000000001</v>
      </c>
      <c r="I459">
        <f>'Data Cleaning'!I459</f>
        <v>18</v>
      </c>
      <c r="J459" s="2">
        <f>'Data Cleaning'!J459</f>
        <v>2395.98</v>
      </c>
    </row>
    <row r="460" spans="1:10" x14ac:dyDescent="0.25">
      <c r="A460" t="str">
        <f>'Data Cleaning'!A460</f>
        <v>S459</v>
      </c>
      <c r="B460" s="113">
        <f>'Data Cleaning'!B460</f>
        <v>45666</v>
      </c>
      <c r="C460" t="str">
        <f>'Data Cleaning'!C460</f>
        <v>New Balance</v>
      </c>
      <c r="D460" t="str">
        <f>'Data Cleaning'!D460</f>
        <v>Casual</v>
      </c>
      <c r="E460" t="str">
        <f>'Data Cleaning'!E460</f>
        <v>Green</v>
      </c>
      <c r="F460" t="str">
        <f>'Data Cleaning'!F460</f>
        <v>Saudi Arabia</v>
      </c>
      <c r="G460" t="str">
        <f>'Data Cleaning'!G460</f>
        <v>Retail Store</v>
      </c>
      <c r="H460" s="2">
        <f>'Data Cleaning'!H460</f>
        <v>42.39</v>
      </c>
      <c r="I460">
        <f>'Data Cleaning'!I460</f>
        <v>7</v>
      </c>
      <c r="J460" s="2">
        <f>'Data Cleaning'!J460</f>
        <v>296.73</v>
      </c>
    </row>
    <row r="461" spans="1:10" x14ac:dyDescent="0.25">
      <c r="A461" t="str">
        <f>'Data Cleaning'!A461</f>
        <v>S460</v>
      </c>
      <c r="B461" s="113">
        <f>'Data Cleaning'!B461</f>
        <v>45697</v>
      </c>
      <c r="C461" t="str">
        <f>'Data Cleaning'!C461</f>
        <v>Adidas</v>
      </c>
      <c r="D461" t="str">
        <f>'Data Cleaning'!D461</f>
        <v>Sneakers</v>
      </c>
      <c r="E461" t="str">
        <f>'Data Cleaning'!E461</f>
        <v>White</v>
      </c>
      <c r="F461" t="str">
        <f>'Data Cleaning'!F461</f>
        <v>India</v>
      </c>
      <c r="G461" t="str">
        <f>'Data Cleaning'!G461</f>
        <v>Retail Store</v>
      </c>
      <c r="H461" s="2">
        <f>'Data Cleaning'!H461</f>
        <v>56.14</v>
      </c>
      <c r="I461">
        <f>'Data Cleaning'!I461</f>
        <v>10</v>
      </c>
      <c r="J461" s="2">
        <f>'Data Cleaning'!J461</f>
        <v>561.4</v>
      </c>
    </row>
    <row r="462" spans="1:10" x14ac:dyDescent="0.25">
      <c r="A462" t="str">
        <f>'Data Cleaning'!A462</f>
        <v>S461</v>
      </c>
      <c r="B462" s="113">
        <f>'Data Cleaning'!B462</f>
        <v>46004</v>
      </c>
      <c r="C462" t="str">
        <f>'Data Cleaning'!C462</f>
        <v>Puma</v>
      </c>
      <c r="D462" t="str">
        <f>'Data Cleaning'!D462</f>
        <v>Formal</v>
      </c>
      <c r="E462" t="str">
        <f>'Data Cleaning'!E462</f>
        <v>Green</v>
      </c>
      <c r="F462" t="str">
        <f>'Data Cleaning'!F462</f>
        <v>UK</v>
      </c>
      <c r="G462" t="str">
        <f>'Data Cleaning'!G462</f>
        <v>Mall</v>
      </c>
      <c r="H462" s="2">
        <f>'Data Cleaning'!H462</f>
        <v>55.86</v>
      </c>
      <c r="I462">
        <f>'Data Cleaning'!I462</f>
        <v>18</v>
      </c>
      <c r="J462" s="2">
        <f>'Data Cleaning'!J462</f>
        <v>1005.48</v>
      </c>
    </row>
    <row r="463" spans="1:10" x14ac:dyDescent="0.25">
      <c r="A463" t="str">
        <f>'Data Cleaning'!A463</f>
        <v>S462</v>
      </c>
      <c r="B463" s="113">
        <f>'Data Cleaning'!B463</f>
        <v>45698</v>
      </c>
      <c r="C463" t="str">
        <f>'Data Cleaning'!C463</f>
        <v>Skechers</v>
      </c>
      <c r="D463" t="str">
        <f>'Data Cleaning'!D463</f>
        <v>Sports</v>
      </c>
      <c r="E463" t="str">
        <f>'Data Cleaning'!E463</f>
        <v>Black</v>
      </c>
      <c r="F463" t="str">
        <f>'Data Cleaning'!F463</f>
        <v>USA</v>
      </c>
      <c r="G463" t="str">
        <f>'Data Cleaning'!G463</f>
        <v>Retail Store</v>
      </c>
      <c r="H463" s="2">
        <f>'Data Cleaning'!H463</f>
        <v>172.83</v>
      </c>
      <c r="I463">
        <f>'Data Cleaning'!I463</f>
        <v>17</v>
      </c>
      <c r="J463" s="2">
        <f>'Data Cleaning'!J463</f>
        <v>2938.11</v>
      </c>
    </row>
    <row r="464" spans="1:10" x14ac:dyDescent="0.25">
      <c r="A464" t="str">
        <f>'Data Cleaning'!A464</f>
        <v>S463</v>
      </c>
      <c r="B464" s="113">
        <f>'Data Cleaning'!B464</f>
        <v>45776</v>
      </c>
      <c r="C464" t="str">
        <f>'Data Cleaning'!C464</f>
        <v>Puma</v>
      </c>
      <c r="D464" t="str">
        <f>'Data Cleaning'!D464</f>
        <v>Sneakers</v>
      </c>
      <c r="E464" t="str">
        <f>'Data Cleaning'!E464</f>
        <v>Grey</v>
      </c>
      <c r="F464" t="str">
        <f>'Data Cleaning'!F464</f>
        <v>India</v>
      </c>
      <c r="G464" t="str">
        <f>'Data Cleaning'!G464</f>
        <v>Retail Store</v>
      </c>
      <c r="H464" s="2">
        <f>'Data Cleaning'!H464</f>
        <v>194.13</v>
      </c>
      <c r="I464">
        <f>'Data Cleaning'!I464</f>
        <v>3</v>
      </c>
      <c r="J464" s="2">
        <f>'Data Cleaning'!J464</f>
        <v>582.39</v>
      </c>
    </row>
    <row r="465" spans="1:10" x14ac:dyDescent="0.25">
      <c r="A465" t="str">
        <f>'Data Cleaning'!A465</f>
        <v>S464</v>
      </c>
      <c r="B465" s="113">
        <f>'Data Cleaning'!B465</f>
        <v>45825</v>
      </c>
      <c r="C465" t="str">
        <f>'Data Cleaning'!C465</f>
        <v>Skechers</v>
      </c>
      <c r="D465" t="str">
        <f>'Data Cleaning'!D465</f>
        <v>Sports</v>
      </c>
      <c r="E465" t="str">
        <f>'Data Cleaning'!E465</f>
        <v>Red</v>
      </c>
      <c r="F465" t="str">
        <f>'Data Cleaning'!F465</f>
        <v>Germany</v>
      </c>
      <c r="G465" t="str">
        <f>'Data Cleaning'!G465</f>
        <v>Online</v>
      </c>
      <c r="H465" s="2">
        <f>'Data Cleaning'!H465</f>
        <v>158.34</v>
      </c>
      <c r="I465">
        <f>'Data Cleaning'!I465</f>
        <v>1</v>
      </c>
      <c r="J465" s="2">
        <f>'Data Cleaning'!J465</f>
        <v>158.34</v>
      </c>
    </row>
    <row r="466" spans="1:10" x14ac:dyDescent="0.25">
      <c r="A466" t="str">
        <f>'Data Cleaning'!A466</f>
        <v>S465</v>
      </c>
      <c r="B466" s="113">
        <f>'Data Cleaning'!B466</f>
        <v>45840</v>
      </c>
      <c r="C466" t="str">
        <f>'Data Cleaning'!C466</f>
        <v>Reebok</v>
      </c>
      <c r="D466" t="str">
        <f>'Data Cleaning'!D466</f>
        <v>Formal</v>
      </c>
      <c r="E466" t="str">
        <f>'Data Cleaning'!E466</f>
        <v>White</v>
      </c>
      <c r="F466" t="str">
        <f>'Data Cleaning'!F466</f>
        <v>UAE</v>
      </c>
      <c r="G466" t="str">
        <f>'Data Cleaning'!G466</f>
        <v>Mall</v>
      </c>
      <c r="H466" s="2">
        <f>'Data Cleaning'!H466</f>
        <v>241.68</v>
      </c>
      <c r="I466">
        <f>'Data Cleaning'!I466</f>
        <v>18</v>
      </c>
      <c r="J466" s="2">
        <f>'Data Cleaning'!J466</f>
        <v>4350.24</v>
      </c>
    </row>
    <row r="467" spans="1:10" x14ac:dyDescent="0.25">
      <c r="A467" t="str">
        <f>'Data Cleaning'!A467</f>
        <v>S466</v>
      </c>
      <c r="B467" s="113">
        <f>'Data Cleaning'!B467</f>
        <v>45996</v>
      </c>
      <c r="C467" t="str">
        <f>'Data Cleaning'!C467</f>
        <v>Nike</v>
      </c>
      <c r="D467" t="str">
        <f>'Data Cleaning'!D467</f>
        <v>Sneakers</v>
      </c>
      <c r="E467" t="str">
        <f>'Data Cleaning'!E467</f>
        <v>Blue</v>
      </c>
      <c r="F467" t="str">
        <f>'Data Cleaning'!F467</f>
        <v>Saudi Arabia</v>
      </c>
      <c r="G467" t="str">
        <f>'Data Cleaning'!G467</f>
        <v>Online</v>
      </c>
      <c r="H467" s="2">
        <f>'Data Cleaning'!H467</f>
        <v>112.47</v>
      </c>
      <c r="I467">
        <f>'Data Cleaning'!I467</f>
        <v>13</v>
      </c>
      <c r="J467" s="2">
        <f>'Data Cleaning'!J467</f>
        <v>1462.11</v>
      </c>
    </row>
    <row r="468" spans="1:10" x14ac:dyDescent="0.25">
      <c r="A468" t="str">
        <f>'Data Cleaning'!A468</f>
        <v>S467</v>
      </c>
      <c r="B468" s="113">
        <f>'Data Cleaning'!B468</f>
        <v>45695</v>
      </c>
      <c r="C468" t="str">
        <f>'Data Cleaning'!C468</f>
        <v>Puma</v>
      </c>
      <c r="D468" t="str">
        <f>'Data Cleaning'!D468</f>
        <v>Casual</v>
      </c>
      <c r="E468" t="str">
        <f>'Data Cleaning'!E468</f>
        <v>Red</v>
      </c>
      <c r="F468" t="str">
        <f>'Data Cleaning'!F468</f>
        <v>UAE</v>
      </c>
      <c r="G468" t="str">
        <f>'Data Cleaning'!G468</f>
        <v>Mall</v>
      </c>
      <c r="H468" s="2">
        <f>'Data Cleaning'!H468</f>
        <v>92.86</v>
      </c>
      <c r="I468">
        <f>'Data Cleaning'!I468</f>
        <v>3</v>
      </c>
      <c r="J468" s="2">
        <f>'Data Cleaning'!J468</f>
        <v>278.58</v>
      </c>
    </row>
    <row r="469" spans="1:10" x14ac:dyDescent="0.25">
      <c r="A469" t="str">
        <f>'Data Cleaning'!A469</f>
        <v>S468</v>
      </c>
      <c r="B469" s="113">
        <f>'Data Cleaning'!B469</f>
        <v>45736</v>
      </c>
      <c r="C469" t="str">
        <f>'Data Cleaning'!C469</f>
        <v>Puma</v>
      </c>
      <c r="D469" t="str">
        <f>'Data Cleaning'!D469</f>
        <v>Sports</v>
      </c>
      <c r="E469" t="str">
        <f>'Data Cleaning'!E469</f>
        <v>Black</v>
      </c>
      <c r="F469" t="str">
        <f>'Data Cleaning'!F469</f>
        <v>USA</v>
      </c>
      <c r="G469" t="str">
        <f>'Data Cleaning'!G469</f>
        <v>Online</v>
      </c>
      <c r="H469" s="2">
        <f>'Data Cleaning'!H469</f>
        <v>221.09</v>
      </c>
      <c r="I469">
        <f>'Data Cleaning'!I469</f>
        <v>13</v>
      </c>
      <c r="J469" s="2">
        <f>'Data Cleaning'!J469</f>
        <v>2874.17</v>
      </c>
    </row>
    <row r="470" spans="1:10" x14ac:dyDescent="0.25">
      <c r="A470" t="str">
        <f>'Data Cleaning'!A470</f>
        <v>S469</v>
      </c>
      <c r="B470" s="113">
        <f>'Data Cleaning'!B470</f>
        <v>45815</v>
      </c>
      <c r="C470" t="str">
        <f>'Data Cleaning'!C470</f>
        <v>Puma</v>
      </c>
      <c r="D470" t="str">
        <f>'Data Cleaning'!D470</f>
        <v>Sports</v>
      </c>
      <c r="E470" t="str">
        <f>'Data Cleaning'!E470</f>
        <v>Black</v>
      </c>
      <c r="F470" t="str">
        <f>'Data Cleaning'!F470</f>
        <v>UK</v>
      </c>
      <c r="G470" t="str">
        <f>'Data Cleaning'!G470</f>
        <v>Online</v>
      </c>
      <c r="H470" s="2">
        <f>'Data Cleaning'!H470</f>
        <v>79.19</v>
      </c>
      <c r="I470">
        <f>'Data Cleaning'!I470</f>
        <v>15</v>
      </c>
      <c r="J470" s="2">
        <f>'Data Cleaning'!J470</f>
        <v>1187.8499999999999</v>
      </c>
    </row>
    <row r="471" spans="1:10" x14ac:dyDescent="0.25">
      <c r="A471" t="str">
        <f>'Data Cleaning'!A471</f>
        <v>S470</v>
      </c>
      <c r="B471" s="113">
        <f>'Data Cleaning'!B471</f>
        <v>45753</v>
      </c>
      <c r="C471" t="str">
        <f>'Data Cleaning'!C471</f>
        <v>Reebok</v>
      </c>
      <c r="D471" t="str">
        <f>'Data Cleaning'!D471</f>
        <v>Sneakers</v>
      </c>
      <c r="E471" t="str">
        <f>'Data Cleaning'!E471</f>
        <v>Grey</v>
      </c>
      <c r="F471" t="str">
        <f>'Data Cleaning'!F471</f>
        <v>India</v>
      </c>
      <c r="G471" t="str">
        <f>'Data Cleaning'!G471</f>
        <v>Retail Store</v>
      </c>
      <c r="H471" s="2">
        <f>'Data Cleaning'!H471</f>
        <v>241.91</v>
      </c>
      <c r="I471">
        <f>'Data Cleaning'!I471</f>
        <v>14</v>
      </c>
      <c r="J471" s="2">
        <f>'Data Cleaning'!J471</f>
        <v>3386.74</v>
      </c>
    </row>
    <row r="472" spans="1:10" x14ac:dyDescent="0.25">
      <c r="A472" t="str">
        <f>'Data Cleaning'!A472</f>
        <v>S471</v>
      </c>
      <c r="B472" s="113">
        <f>'Data Cleaning'!B472</f>
        <v>45710</v>
      </c>
      <c r="C472" t="str">
        <f>'Data Cleaning'!C472</f>
        <v>Nike</v>
      </c>
      <c r="D472" t="str">
        <f>'Data Cleaning'!D472</f>
        <v>Sports</v>
      </c>
      <c r="E472" t="str">
        <f>'Data Cleaning'!E472</f>
        <v>Grey</v>
      </c>
      <c r="F472" t="str">
        <f>'Data Cleaning'!F472</f>
        <v>USA</v>
      </c>
      <c r="G472" t="str">
        <f>'Data Cleaning'!G472</f>
        <v>Mall</v>
      </c>
      <c r="H472" s="2">
        <f>'Data Cleaning'!H472</f>
        <v>32.67</v>
      </c>
      <c r="I472">
        <f>'Data Cleaning'!I472</f>
        <v>1</v>
      </c>
      <c r="J472" s="2">
        <f>'Data Cleaning'!J472</f>
        <v>32.67</v>
      </c>
    </row>
    <row r="473" spans="1:10" x14ac:dyDescent="0.25">
      <c r="A473" t="str">
        <f>'Data Cleaning'!A473</f>
        <v>S472</v>
      </c>
      <c r="B473" s="113">
        <f>'Data Cleaning'!B473</f>
        <v>45964</v>
      </c>
      <c r="C473" t="str">
        <f>'Data Cleaning'!C473</f>
        <v>Reebok</v>
      </c>
      <c r="D473" t="str">
        <f>'Data Cleaning'!D473</f>
        <v>Running</v>
      </c>
      <c r="E473" t="str">
        <f>'Data Cleaning'!E473</f>
        <v>Blue</v>
      </c>
      <c r="F473" t="str">
        <f>'Data Cleaning'!F473</f>
        <v>Germany</v>
      </c>
      <c r="G473" t="str">
        <f>'Data Cleaning'!G473</f>
        <v>Retail Store</v>
      </c>
      <c r="H473" s="2">
        <f>'Data Cleaning'!H473</f>
        <v>243.37</v>
      </c>
      <c r="I473">
        <f>'Data Cleaning'!I473</f>
        <v>11</v>
      </c>
      <c r="J473" s="2">
        <f>'Data Cleaning'!J473</f>
        <v>2677.07</v>
      </c>
    </row>
    <row r="474" spans="1:10" x14ac:dyDescent="0.25">
      <c r="A474" t="str">
        <f>'Data Cleaning'!A474</f>
        <v>S473</v>
      </c>
      <c r="B474" s="113">
        <f>'Data Cleaning'!B474</f>
        <v>45701</v>
      </c>
      <c r="C474" t="str">
        <f>'Data Cleaning'!C474</f>
        <v>Adidas</v>
      </c>
      <c r="D474" t="str">
        <f>'Data Cleaning'!D474</f>
        <v>Sneakers</v>
      </c>
      <c r="E474" t="str">
        <f>'Data Cleaning'!E474</f>
        <v>Grey</v>
      </c>
      <c r="F474" t="str">
        <f>'Data Cleaning'!F474</f>
        <v>UK</v>
      </c>
      <c r="G474" t="str">
        <f>'Data Cleaning'!G474</f>
        <v>Mall</v>
      </c>
      <c r="H474" s="2">
        <f>'Data Cleaning'!H474</f>
        <v>39.5</v>
      </c>
      <c r="I474">
        <f>'Data Cleaning'!I474</f>
        <v>18</v>
      </c>
      <c r="J474" s="2">
        <f>'Data Cleaning'!J474</f>
        <v>711</v>
      </c>
    </row>
    <row r="475" spans="1:10" x14ac:dyDescent="0.25">
      <c r="A475" t="str">
        <f>'Data Cleaning'!A475</f>
        <v>S474</v>
      </c>
      <c r="B475" s="113">
        <f>'Data Cleaning'!B475</f>
        <v>45852</v>
      </c>
      <c r="C475" t="str">
        <f>'Data Cleaning'!C475</f>
        <v>Adidas</v>
      </c>
      <c r="D475" t="str">
        <f>'Data Cleaning'!D475</f>
        <v>Sports</v>
      </c>
      <c r="E475" t="str">
        <f>'Data Cleaning'!E475</f>
        <v>Blue</v>
      </c>
      <c r="F475" t="str">
        <f>'Data Cleaning'!F475</f>
        <v>France</v>
      </c>
      <c r="G475" t="str">
        <f>'Data Cleaning'!G475</f>
        <v>Retail Store</v>
      </c>
      <c r="H475" s="2">
        <f>'Data Cleaning'!H475</f>
        <v>226.05</v>
      </c>
      <c r="I475">
        <f>'Data Cleaning'!I475</f>
        <v>6</v>
      </c>
      <c r="J475" s="2">
        <f>'Data Cleaning'!J475</f>
        <v>1356.3</v>
      </c>
    </row>
    <row r="476" spans="1:10" x14ac:dyDescent="0.25">
      <c r="A476" t="str">
        <f>'Data Cleaning'!A476</f>
        <v>S475</v>
      </c>
      <c r="B476" s="113">
        <f>'Data Cleaning'!B476</f>
        <v>45732</v>
      </c>
      <c r="C476" t="str">
        <f>'Data Cleaning'!C476</f>
        <v>Adidas</v>
      </c>
      <c r="D476" t="str">
        <f>'Data Cleaning'!D476</f>
        <v>Formal</v>
      </c>
      <c r="E476" t="str">
        <f>'Data Cleaning'!E476</f>
        <v>Blue</v>
      </c>
      <c r="F476" t="str">
        <f>'Data Cleaning'!F476</f>
        <v>Germany</v>
      </c>
      <c r="G476" t="str">
        <f>'Data Cleaning'!G476</f>
        <v>Retail Store</v>
      </c>
      <c r="H476" s="2">
        <f>'Data Cleaning'!H476</f>
        <v>146.09</v>
      </c>
      <c r="I476">
        <f>'Data Cleaning'!I476</f>
        <v>3</v>
      </c>
      <c r="J476" s="2">
        <f>'Data Cleaning'!J476</f>
        <v>438.27</v>
      </c>
    </row>
    <row r="477" spans="1:10" x14ac:dyDescent="0.25">
      <c r="A477" t="str">
        <f>'Data Cleaning'!A477</f>
        <v>S476</v>
      </c>
      <c r="B477" s="113">
        <f>'Data Cleaning'!B477</f>
        <v>45905</v>
      </c>
      <c r="C477" t="str">
        <f>'Data Cleaning'!C477</f>
        <v>Puma</v>
      </c>
      <c r="D477" t="str">
        <f>'Data Cleaning'!D477</f>
        <v>Sports</v>
      </c>
      <c r="E477" t="str">
        <f>'Data Cleaning'!E477</f>
        <v>White</v>
      </c>
      <c r="F477" t="str">
        <f>'Data Cleaning'!F477</f>
        <v>UAE</v>
      </c>
      <c r="G477" t="str">
        <f>'Data Cleaning'!G477</f>
        <v>Mall</v>
      </c>
      <c r="H477" s="2">
        <f>'Data Cleaning'!H477</f>
        <v>248.45</v>
      </c>
      <c r="I477">
        <f>'Data Cleaning'!I477</f>
        <v>3</v>
      </c>
      <c r="J477" s="2">
        <f>'Data Cleaning'!J477</f>
        <v>745.35</v>
      </c>
    </row>
    <row r="478" spans="1:10" x14ac:dyDescent="0.25">
      <c r="A478" t="str">
        <f>'Data Cleaning'!A478</f>
        <v>S477</v>
      </c>
      <c r="B478" s="113">
        <f>'Data Cleaning'!B478</f>
        <v>45911</v>
      </c>
      <c r="C478" t="str">
        <f>'Data Cleaning'!C478</f>
        <v>New Balance</v>
      </c>
      <c r="D478" t="str">
        <f>'Data Cleaning'!D478</f>
        <v>Casual</v>
      </c>
      <c r="E478" t="str">
        <f>'Data Cleaning'!E478</f>
        <v>Red</v>
      </c>
      <c r="F478" t="str">
        <f>'Data Cleaning'!F478</f>
        <v>USA</v>
      </c>
      <c r="G478" t="str">
        <f>'Data Cleaning'!G478</f>
        <v>Online</v>
      </c>
      <c r="H478" s="2">
        <f>'Data Cleaning'!H478</f>
        <v>46.24</v>
      </c>
      <c r="I478">
        <f>'Data Cleaning'!I478</f>
        <v>20</v>
      </c>
      <c r="J478" s="2">
        <f>'Data Cleaning'!J478</f>
        <v>924.8</v>
      </c>
    </row>
    <row r="479" spans="1:10" x14ac:dyDescent="0.25">
      <c r="A479" t="str">
        <f>'Data Cleaning'!A479</f>
        <v>S478</v>
      </c>
      <c r="B479" s="113">
        <f>'Data Cleaning'!B479</f>
        <v>45813</v>
      </c>
      <c r="C479" t="str">
        <f>'Data Cleaning'!C479</f>
        <v>Reebok</v>
      </c>
      <c r="D479" t="str">
        <f>'Data Cleaning'!D479</f>
        <v>Sports</v>
      </c>
      <c r="E479" t="str">
        <f>'Data Cleaning'!E479</f>
        <v>Grey</v>
      </c>
      <c r="F479" t="str">
        <f>'Data Cleaning'!F479</f>
        <v>Germany</v>
      </c>
      <c r="G479" t="str">
        <f>'Data Cleaning'!G479</f>
        <v>Retail Store</v>
      </c>
      <c r="H479" s="2">
        <f>'Data Cleaning'!H479</f>
        <v>151.85</v>
      </c>
      <c r="I479">
        <f>'Data Cleaning'!I479</f>
        <v>1</v>
      </c>
      <c r="J479" s="2">
        <f>'Data Cleaning'!J479</f>
        <v>151.85</v>
      </c>
    </row>
    <row r="480" spans="1:10" x14ac:dyDescent="0.25">
      <c r="A480" t="str">
        <f>'Data Cleaning'!A480</f>
        <v>S479</v>
      </c>
      <c r="B480" s="113">
        <f>'Data Cleaning'!B480</f>
        <v>45883</v>
      </c>
      <c r="C480" t="str">
        <f>'Data Cleaning'!C480</f>
        <v>Reebok</v>
      </c>
      <c r="D480" t="str">
        <f>'Data Cleaning'!D480</f>
        <v>Boots</v>
      </c>
      <c r="E480" t="str">
        <f>'Data Cleaning'!E480</f>
        <v>Grey</v>
      </c>
      <c r="F480" t="str">
        <f>'Data Cleaning'!F480</f>
        <v>UK</v>
      </c>
      <c r="G480" t="str">
        <f>'Data Cleaning'!G480</f>
        <v>Retail Store</v>
      </c>
      <c r="H480" s="2">
        <f>'Data Cleaning'!H480</f>
        <v>243.25</v>
      </c>
      <c r="I480">
        <f>'Data Cleaning'!I480</f>
        <v>11</v>
      </c>
      <c r="J480" s="2">
        <f>'Data Cleaning'!J480</f>
        <v>2675.75</v>
      </c>
    </row>
    <row r="481" spans="1:10" x14ac:dyDescent="0.25">
      <c r="A481" t="str">
        <f>'Data Cleaning'!A481</f>
        <v>S480</v>
      </c>
      <c r="B481" s="113">
        <f>'Data Cleaning'!B481</f>
        <v>45822</v>
      </c>
      <c r="C481" t="str">
        <f>'Data Cleaning'!C481</f>
        <v>Skechers</v>
      </c>
      <c r="D481" t="str">
        <f>'Data Cleaning'!D481</f>
        <v>Casual</v>
      </c>
      <c r="E481" t="str">
        <f>'Data Cleaning'!E481</f>
        <v>Red</v>
      </c>
      <c r="F481" t="str">
        <f>'Data Cleaning'!F481</f>
        <v>France</v>
      </c>
      <c r="G481" t="str">
        <f>'Data Cleaning'!G481</f>
        <v>Online</v>
      </c>
      <c r="H481" s="2">
        <f>'Data Cleaning'!H481</f>
        <v>145.08000000000001</v>
      </c>
      <c r="I481">
        <f>'Data Cleaning'!I481</f>
        <v>20</v>
      </c>
      <c r="J481" s="2">
        <f>'Data Cleaning'!J481</f>
        <v>2901.6</v>
      </c>
    </row>
    <row r="482" spans="1:10" x14ac:dyDescent="0.25">
      <c r="A482" t="str">
        <f>'Data Cleaning'!A482</f>
        <v>S481</v>
      </c>
      <c r="B482" s="113">
        <f>'Data Cleaning'!B482</f>
        <v>45861</v>
      </c>
      <c r="C482" t="str">
        <f>'Data Cleaning'!C482</f>
        <v>Puma</v>
      </c>
      <c r="D482" t="str">
        <f>'Data Cleaning'!D482</f>
        <v>Boots</v>
      </c>
      <c r="E482" t="str">
        <f>'Data Cleaning'!E482</f>
        <v>Green</v>
      </c>
      <c r="F482" t="str">
        <f>'Data Cleaning'!F482</f>
        <v>UAE</v>
      </c>
      <c r="G482" t="str">
        <f>'Data Cleaning'!G482</f>
        <v>Retail Store</v>
      </c>
      <c r="H482" s="2">
        <f>'Data Cleaning'!H482</f>
        <v>168.47</v>
      </c>
      <c r="I482">
        <f>'Data Cleaning'!I482</f>
        <v>11</v>
      </c>
      <c r="J482" s="2">
        <f>'Data Cleaning'!J482</f>
        <v>1853.17</v>
      </c>
    </row>
    <row r="483" spans="1:10" x14ac:dyDescent="0.25">
      <c r="A483" t="str">
        <f>'Data Cleaning'!A483</f>
        <v>S482</v>
      </c>
      <c r="B483" s="113">
        <f>'Data Cleaning'!B483</f>
        <v>45952</v>
      </c>
      <c r="C483" t="str">
        <f>'Data Cleaning'!C483</f>
        <v>Puma</v>
      </c>
      <c r="D483" t="str">
        <f>'Data Cleaning'!D483</f>
        <v>Formal</v>
      </c>
      <c r="E483" t="str">
        <f>'Data Cleaning'!E483</f>
        <v>Blue</v>
      </c>
      <c r="F483" t="str">
        <f>'Data Cleaning'!F483</f>
        <v>Saudi Arabia</v>
      </c>
      <c r="G483" t="str">
        <f>'Data Cleaning'!G483</f>
        <v>Retail Store</v>
      </c>
      <c r="H483" s="2">
        <f>'Data Cleaning'!H483</f>
        <v>183.06</v>
      </c>
      <c r="I483">
        <f>'Data Cleaning'!I483</f>
        <v>8</v>
      </c>
      <c r="J483" s="2">
        <f>'Data Cleaning'!J483</f>
        <v>1464.48</v>
      </c>
    </row>
    <row r="484" spans="1:10" x14ac:dyDescent="0.25">
      <c r="A484" t="str">
        <f>'Data Cleaning'!A484</f>
        <v>S483</v>
      </c>
      <c r="B484" s="113">
        <f>'Data Cleaning'!B484</f>
        <v>45844</v>
      </c>
      <c r="C484" t="str">
        <f>'Data Cleaning'!C484</f>
        <v>New Balance</v>
      </c>
      <c r="D484" t="str">
        <f>'Data Cleaning'!D484</f>
        <v>Casual</v>
      </c>
      <c r="E484" t="str">
        <f>'Data Cleaning'!E484</f>
        <v>Grey</v>
      </c>
      <c r="F484" t="str">
        <f>'Data Cleaning'!F484</f>
        <v>India</v>
      </c>
      <c r="G484" t="str">
        <f>'Data Cleaning'!G484</f>
        <v>Online</v>
      </c>
      <c r="H484" s="2">
        <f>'Data Cleaning'!H484</f>
        <v>130</v>
      </c>
      <c r="I484">
        <f>'Data Cleaning'!I484</f>
        <v>4</v>
      </c>
      <c r="J484" s="2">
        <f>'Data Cleaning'!J484</f>
        <v>520</v>
      </c>
    </row>
    <row r="485" spans="1:10" x14ac:dyDescent="0.25">
      <c r="A485" t="str">
        <f>'Data Cleaning'!A485</f>
        <v>S484</v>
      </c>
      <c r="B485" s="113">
        <f>'Data Cleaning'!B485</f>
        <v>46007</v>
      </c>
      <c r="C485" t="str">
        <f>'Data Cleaning'!C485</f>
        <v>Nike</v>
      </c>
      <c r="D485" t="str">
        <f>'Data Cleaning'!D485</f>
        <v>Boots</v>
      </c>
      <c r="E485" t="str">
        <f>'Data Cleaning'!E485</f>
        <v>Red</v>
      </c>
      <c r="F485" t="str">
        <f>'Data Cleaning'!F485</f>
        <v>UAE</v>
      </c>
      <c r="G485" t="str">
        <f>'Data Cleaning'!G485</f>
        <v>Online</v>
      </c>
      <c r="H485" s="2">
        <f>'Data Cleaning'!H485</f>
        <v>168.06</v>
      </c>
      <c r="I485">
        <f>'Data Cleaning'!I485</f>
        <v>18</v>
      </c>
      <c r="J485" s="2">
        <f>'Data Cleaning'!J485</f>
        <v>3025.08</v>
      </c>
    </row>
    <row r="486" spans="1:10" x14ac:dyDescent="0.25">
      <c r="A486" t="str">
        <f>'Data Cleaning'!A486</f>
        <v>S485</v>
      </c>
      <c r="B486" s="113">
        <f>'Data Cleaning'!B486</f>
        <v>45882</v>
      </c>
      <c r="C486" t="str">
        <f>'Data Cleaning'!C486</f>
        <v>Skechers</v>
      </c>
      <c r="D486" t="str">
        <f>'Data Cleaning'!D486</f>
        <v>Running</v>
      </c>
      <c r="E486" t="str">
        <f>'Data Cleaning'!E486</f>
        <v>Red</v>
      </c>
      <c r="F486" t="str">
        <f>'Data Cleaning'!F486</f>
        <v>UAE</v>
      </c>
      <c r="G486" t="str">
        <f>'Data Cleaning'!G486</f>
        <v>Retail Store</v>
      </c>
      <c r="H486" s="2">
        <f>'Data Cleaning'!H486</f>
        <v>158.55000000000001</v>
      </c>
      <c r="I486">
        <f>'Data Cleaning'!I486</f>
        <v>10</v>
      </c>
      <c r="J486" s="2">
        <f>'Data Cleaning'!J486</f>
        <v>1585.5</v>
      </c>
    </row>
    <row r="487" spans="1:10" x14ac:dyDescent="0.25">
      <c r="A487" t="str">
        <f>'Data Cleaning'!A487</f>
        <v>S486</v>
      </c>
      <c r="B487" s="113">
        <f>'Data Cleaning'!B487</f>
        <v>45729</v>
      </c>
      <c r="C487" t="str">
        <f>'Data Cleaning'!C487</f>
        <v>Adidas</v>
      </c>
      <c r="D487" t="str">
        <f>'Data Cleaning'!D487</f>
        <v>Sports</v>
      </c>
      <c r="E487" t="str">
        <f>'Data Cleaning'!E487</f>
        <v>Green</v>
      </c>
      <c r="F487" t="str">
        <f>'Data Cleaning'!F487</f>
        <v>UK</v>
      </c>
      <c r="G487" t="str">
        <f>'Data Cleaning'!G487</f>
        <v>Mall</v>
      </c>
      <c r="H487" s="2">
        <f>'Data Cleaning'!H487</f>
        <v>228.25</v>
      </c>
      <c r="I487">
        <f>'Data Cleaning'!I487</f>
        <v>10</v>
      </c>
      <c r="J487" s="2">
        <f>'Data Cleaning'!J487</f>
        <v>2282.5</v>
      </c>
    </row>
    <row r="488" spans="1:10" x14ac:dyDescent="0.25">
      <c r="A488" t="str">
        <f>'Data Cleaning'!A488</f>
        <v>S487</v>
      </c>
      <c r="B488" s="113">
        <f>'Data Cleaning'!B488</f>
        <v>45874</v>
      </c>
      <c r="C488" t="str">
        <f>'Data Cleaning'!C488</f>
        <v>Nike</v>
      </c>
      <c r="D488" t="str">
        <f>'Data Cleaning'!D488</f>
        <v>Formal</v>
      </c>
      <c r="E488" t="str">
        <f>'Data Cleaning'!E488</f>
        <v>Grey</v>
      </c>
      <c r="F488" t="str">
        <f>'Data Cleaning'!F488</f>
        <v>Germany</v>
      </c>
      <c r="G488" t="str">
        <f>'Data Cleaning'!G488</f>
        <v>Mall</v>
      </c>
      <c r="H488" s="2">
        <f>'Data Cleaning'!H488</f>
        <v>40</v>
      </c>
      <c r="I488">
        <f>'Data Cleaning'!I488</f>
        <v>13</v>
      </c>
      <c r="J488" s="2">
        <f>'Data Cleaning'!J488</f>
        <v>520</v>
      </c>
    </row>
    <row r="489" spans="1:10" x14ac:dyDescent="0.25">
      <c r="A489" t="str">
        <f>'Data Cleaning'!A489</f>
        <v>S488</v>
      </c>
      <c r="B489" s="113">
        <f>'Data Cleaning'!B489</f>
        <v>45863</v>
      </c>
      <c r="C489" t="str">
        <f>'Data Cleaning'!C489</f>
        <v>New Balance</v>
      </c>
      <c r="D489" t="str">
        <f>'Data Cleaning'!D489</f>
        <v>Boots</v>
      </c>
      <c r="E489" t="str">
        <f>'Data Cleaning'!E489</f>
        <v>Red</v>
      </c>
      <c r="F489" t="str">
        <f>'Data Cleaning'!F489</f>
        <v>India</v>
      </c>
      <c r="G489" t="str">
        <f>'Data Cleaning'!G489</f>
        <v>Online</v>
      </c>
      <c r="H489" s="2">
        <f>'Data Cleaning'!H489</f>
        <v>91.81</v>
      </c>
      <c r="I489">
        <f>'Data Cleaning'!I489</f>
        <v>18</v>
      </c>
      <c r="J489" s="2">
        <f>'Data Cleaning'!J489</f>
        <v>1652.58</v>
      </c>
    </row>
    <row r="490" spans="1:10" x14ac:dyDescent="0.25">
      <c r="A490" t="str">
        <f>'Data Cleaning'!A490</f>
        <v>S489</v>
      </c>
      <c r="B490" s="113">
        <f>'Data Cleaning'!B490</f>
        <v>45842</v>
      </c>
      <c r="C490" t="str">
        <f>'Data Cleaning'!C490</f>
        <v>New Balance</v>
      </c>
      <c r="D490" t="str">
        <f>'Data Cleaning'!D490</f>
        <v>Boots</v>
      </c>
      <c r="E490" t="str">
        <f>'Data Cleaning'!E490</f>
        <v>Black</v>
      </c>
      <c r="F490" t="str">
        <f>'Data Cleaning'!F490</f>
        <v>USA</v>
      </c>
      <c r="G490" t="str">
        <f>'Data Cleaning'!G490</f>
        <v>Online</v>
      </c>
      <c r="H490" s="2">
        <f>'Data Cleaning'!H490</f>
        <v>239.09</v>
      </c>
      <c r="I490">
        <f>'Data Cleaning'!I490</f>
        <v>18</v>
      </c>
      <c r="J490" s="2">
        <f>'Data Cleaning'!J490</f>
        <v>4303.62</v>
      </c>
    </row>
    <row r="491" spans="1:10" x14ac:dyDescent="0.25">
      <c r="A491" t="str">
        <f>'Data Cleaning'!A491</f>
        <v>S490</v>
      </c>
      <c r="B491" s="113">
        <f>'Data Cleaning'!B491</f>
        <v>45994</v>
      </c>
      <c r="C491" t="str">
        <f>'Data Cleaning'!C491</f>
        <v>Adidas</v>
      </c>
      <c r="D491" t="str">
        <f>'Data Cleaning'!D491</f>
        <v>Boots</v>
      </c>
      <c r="E491" t="str">
        <f>'Data Cleaning'!E491</f>
        <v>Grey</v>
      </c>
      <c r="F491" t="str">
        <f>'Data Cleaning'!F491</f>
        <v>USA</v>
      </c>
      <c r="G491" t="str">
        <f>'Data Cleaning'!G491</f>
        <v>Mall</v>
      </c>
      <c r="H491" s="2">
        <f>'Data Cleaning'!H491</f>
        <v>225.86</v>
      </c>
      <c r="I491">
        <f>'Data Cleaning'!I491</f>
        <v>12</v>
      </c>
      <c r="J491" s="2">
        <f>'Data Cleaning'!J491</f>
        <v>2710.32</v>
      </c>
    </row>
    <row r="492" spans="1:10" x14ac:dyDescent="0.25">
      <c r="A492" t="str">
        <f>'Data Cleaning'!A492</f>
        <v>S491</v>
      </c>
      <c r="B492" s="113">
        <f>'Data Cleaning'!B492</f>
        <v>45988</v>
      </c>
      <c r="C492" t="str">
        <f>'Data Cleaning'!C492</f>
        <v>Puma</v>
      </c>
      <c r="D492" t="str">
        <f>'Data Cleaning'!D492</f>
        <v>Formal</v>
      </c>
      <c r="E492" t="str">
        <f>'Data Cleaning'!E492</f>
        <v>Black</v>
      </c>
      <c r="F492" t="str">
        <f>'Data Cleaning'!F492</f>
        <v>USA</v>
      </c>
      <c r="G492" t="str">
        <f>'Data Cleaning'!G492</f>
        <v>Online</v>
      </c>
      <c r="H492" s="2">
        <f>'Data Cleaning'!H492</f>
        <v>130.24</v>
      </c>
      <c r="I492">
        <f>'Data Cleaning'!I492</f>
        <v>13</v>
      </c>
      <c r="J492" s="2">
        <f>'Data Cleaning'!J492</f>
        <v>1693.12</v>
      </c>
    </row>
    <row r="493" spans="1:10" x14ac:dyDescent="0.25">
      <c r="A493" t="str">
        <f>'Data Cleaning'!A493</f>
        <v>S492</v>
      </c>
      <c r="B493" s="113">
        <f>'Data Cleaning'!B493</f>
        <v>45790</v>
      </c>
      <c r="C493" t="str">
        <f>'Data Cleaning'!C493</f>
        <v>New Balance</v>
      </c>
      <c r="D493" t="str">
        <f>'Data Cleaning'!D493</f>
        <v>Boots</v>
      </c>
      <c r="E493" t="str">
        <f>'Data Cleaning'!E493</f>
        <v>Grey</v>
      </c>
      <c r="F493" t="str">
        <f>'Data Cleaning'!F493</f>
        <v>India</v>
      </c>
      <c r="G493" t="str">
        <f>'Data Cleaning'!G493</f>
        <v>Mall</v>
      </c>
      <c r="H493" s="2">
        <f>'Data Cleaning'!H493</f>
        <v>166.43</v>
      </c>
      <c r="I493">
        <f>'Data Cleaning'!I493</f>
        <v>8</v>
      </c>
      <c r="J493" s="2">
        <f>'Data Cleaning'!J493</f>
        <v>1331.44</v>
      </c>
    </row>
    <row r="494" spans="1:10" x14ac:dyDescent="0.25">
      <c r="A494" t="str">
        <f>'Data Cleaning'!A494</f>
        <v>S493</v>
      </c>
      <c r="B494" s="113">
        <f>'Data Cleaning'!B494</f>
        <v>46010</v>
      </c>
      <c r="C494" t="str">
        <f>'Data Cleaning'!C494</f>
        <v>Adidas</v>
      </c>
      <c r="D494" t="str">
        <f>'Data Cleaning'!D494</f>
        <v>Formal</v>
      </c>
      <c r="E494" t="str">
        <f>'Data Cleaning'!E494</f>
        <v>Blue</v>
      </c>
      <c r="F494" t="str">
        <f>'Data Cleaning'!F494</f>
        <v>Germany</v>
      </c>
      <c r="G494" t="str">
        <f>'Data Cleaning'!G494</f>
        <v>Retail Store</v>
      </c>
      <c r="H494" s="2">
        <f>'Data Cleaning'!H494</f>
        <v>91.02</v>
      </c>
      <c r="I494">
        <f>'Data Cleaning'!I494</f>
        <v>19</v>
      </c>
      <c r="J494" s="2">
        <f>'Data Cleaning'!J494</f>
        <v>1729.38</v>
      </c>
    </row>
    <row r="495" spans="1:10" x14ac:dyDescent="0.25">
      <c r="A495" t="str">
        <f>'Data Cleaning'!A495</f>
        <v>S494</v>
      </c>
      <c r="B495" s="113">
        <f>'Data Cleaning'!B495</f>
        <v>46005</v>
      </c>
      <c r="C495" t="str">
        <f>'Data Cleaning'!C495</f>
        <v>Skechers</v>
      </c>
      <c r="D495" t="str">
        <f>'Data Cleaning'!D495</f>
        <v>Sneakers</v>
      </c>
      <c r="E495" t="str">
        <f>'Data Cleaning'!E495</f>
        <v>White</v>
      </c>
      <c r="F495" t="str">
        <f>'Data Cleaning'!F495</f>
        <v>France</v>
      </c>
      <c r="G495" t="str">
        <f>'Data Cleaning'!G495</f>
        <v>Online</v>
      </c>
      <c r="H495" s="2">
        <f>'Data Cleaning'!H495</f>
        <v>71.39</v>
      </c>
      <c r="I495">
        <f>'Data Cleaning'!I495</f>
        <v>19</v>
      </c>
      <c r="J495" s="2">
        <f>'Data Cleaning'!J495</f>
        <v>1356.41</v>
      </c>
    </row>
    <row r="496" spans="1:10" x14ac:dyDescent="0.25">
      <c r="A496" t="str">
        <f>'Data Cleaning'!A496</f>
        <v>S495</v>
      </c>
      <c r="B496" s="113">
        <f>'Data Cleaning'!B496</f>
        <v>45905</v>
      </c>
      <c r="C496" t="str">
        <f>'Data Cleaning'!C496</f>
        <v>Puma</v>
      </c>
      <c r="D496" t="str">
        <f>'Data Cleaning'!D496</f>
        <v>Formal</v>
      </c>
      <c r="E496" t="str">
        <f>'Data Cleaning'!E496</f>
        <v>Black</v>
      </c>
      <c r="F496" t="str">
        <f>'Data Cleaning'!F496</f>
        <v>USA</v>
      </c>
      <c r="G496" t="str">
        <f>'Data Cleaning'!G496</f>
        <v>Mall</v>
      </c>
      <c r="H496" s="2">
        <f>'Data Cleaning'!H496</f>
        <v>132.01</v>
      </c>
      <c r="I496">
        <f>'Data Cleaning'!I496</f>
        <v>4</v>
      </c>
      <c r="J496" s="2">
        <f>'Data Cleaning'!J496</f>
        <v>528.04</v>
      </c>
    </row>
    <row r="497" spans="1:10" x14ac:dyDescent="0.25">
      <c r="A497" t="str">
        <f>'Data Cleaning'!A497</f>
        <v>S496</v>
      </c>
      <c r="B497" s="113">
        <f>'Data Cleaning'!B497</f>
        <v>45730</v>
      </c>
      <c r="C497" t="str">
        <f>'Data Cleaning'!C497</f>
        <v>Puma</v>
      </c>
      <c r="D497" t="str">
        <f>'Data Cleaning'!D497</f>
        <v>Sports</v>
      </c>
      <c r="E497" t="str">
        <f>'Data Cleaning'!E497</f>
        <v>Red</v>
      </c>
      <c r="F497" t="str">
        <f>'Data Cleaning'!F497</f>
        <v>Saudi Arabia</v>
      </c>
      <c r="G497" t="str">
        <f>'Data Cleaning'!G497</f>
        <v>Online</v>
      </c>
      <c r="H497" s="2">
        <f>'Data Cleaning'!H497</f>
        <v>107.74</v>
      </c>
      <c r="I497">
        <f>'Data Cleaning'!I497</f>
        <v>12</v>
      </c>
      <c r="J497" s="2">
        <f>'Data Cleaning'!J497</f>
        <v>1292.8800000000001</v>
      </c>
    </row>
    <row r="498" spans="1:10" x14ac:dyDescent="0.25">
      <c r="A498" t="str">
        <f>'Data Cleaning'!A498</f>
        <v>S497</v>
      </c>
      <c r="B498" s="113">
        <f>'Data Cleaning'!B498</f>
        <v>45924</v>
      </c>
      <c r="C498" t="str">
        <f>'Data Cleaning'!C498</f>
        <v>Puma</v>
      </c>
      <c r="D498" t="str">
        <f>'Data Cleaning'!D498</f>
        <v>Formal</v>
      </c>
      <c r="E498" t="str">
        <f>'Data Cleaning'!E498</f>
        <v>Black</v>
      </c>
      <c r="F498" t="str">
        <f>'Data Cleaning'!F498</f>
        <v>Germany</v>
      </c>
      <c r="G498" t="str">
        <f>'Data Cleaning'!G498</f>
        <v>Mall</v>
      </c>
      <c r="H498" s="2">
        <f>'Data Cleaning'!H498</f>
        <v>158.4</v>
      </c>
      <c r="I498">
        <f>'Data Cleaning'!I498</f>
        <v>16</v>
      </c>
      <c r="J498" s="2">
        <f>'Data Cleaning'!J498</f>
        <v>2534.4</v>
      </c>
    </row>
    <row r="499" spans="1:10" x14ac:dyDescent="0.25">
      <c r="A499" t="str">
        <f>'Data Cleaning'!A499</f>
        <v>S498</v>
      </c>
      <c r="B499" s="113">
        <f>'Data Cleaning'!B499</f>
        <v>46014</v>
      </c>
      <c r="C499" t="str">
        <f>'Data Cleaning'!C499</f>
        <v>Puma</v>
      </c>
      <c r="D499" t="str">
        <f>'Data Cleaning'!D499</f>
        <v>Running</v>
      </c>
      <c r="E499" t="str">
        <f>'Data Cleaning'!E499</f>
        <v>Blue</v>
      </c>
      <c r="F499" t="str">
        <f>'Data Cleaning'!F499</f>
        <v>USA</v>
      </c>
      <c r="G499" t="str">
        <f>'Data Cleaning'!G499</f>
        <v>Mall</v>
      </c>
      <c r="H499" s="2">
        <f>'Data Cleaning'!H499</f>
        <v>47.1</v>
      </c>
      <c r="I499">
        <f>'Data Cleaning'!I499</f>
        <v>15</v>
      </c>
      <c r="J499" s="2">
        <f>'Data Cleaning'!J499</f>
        <v>706.5</v>
      </c>
    </row>
    <row r="500" spans="1:10" x14ac:dyDescent="0.25">
      <c r="A500" t="str">
        <f>'Data Cleaning'!A500</f>
        <v>S499</v>
      </c>
      <c r="B500" s="113">
        <f>'Data Cleaning'!B500</f>
        <v>45716</v>
      </c>
      <c r="C500" t="str">
        <f>'Data Cleaning'!C500</f>
        <v>Puma</v>
      </c>
      <c r="D500" t="str">
        <f>'Data Cleaning'!D500</f>
        <v>Boots</v>
      </c>
      <c r="E500" t="str">
        <f>'Data Cleaning'!E500</f>
        <v>Black</v>
      </c>
      <c r="F500" t="str">
        <f>'Data Cleaning'!F500</f>
        <v>UAE</v>
      </c>
      <c r="G500" t="str">
        <f>'Data Cleaning'!G500</f>
        <v>Online</v>
      </c>
      <c r="H500" s="2">
        <f>'Data Cleaning'!H500</f>
        <v>244.37</v>
      </c>
      <c r="I500">
        <f>'Data Cleaning'!I500</f>
        <v>1</v>
      </c>
      <c r="J500" s="2">
        <f>'Data Cleaning'!J500</f>
        <v>244.37</v>
      </c>
    </row>
    <row r="501" spans="1:10" x14ac:dyDescent="0.25">
      <c r="A501" t="str">
        <f>'Data Cleaning'!A501</f>
        <v>S494</v>
      </c>
      <c r="B501" s="113">
        <f>'Data Cleaning'!B501</f>
        <v>46005</v>
      </c>
      <c r="C501" t="str">
        <f>'Data Cleaning'!C501</f>
        <v>Skechers</v>
      </c>
      <c r="D501" t="str">
        <f>'Data Cleaning'!D501</f>
        <v>Sneakers</v>
      </c>
      <c r="E501" t="str">
        <f>'Data Cleaning'!E501</f>
        <v>White</v>
      </c>
      <c r="F501" t="str">
        <f>'Data Cleaning'!F501</f>
        <v>France</v>
      </c>
      <c r="G501" t="str">
        <f>'Data Cleaning'!G501</f>
        <v>Online</v>
      </c>
      <c r="H501" s="2">
        <f>'Data Cleaning'!H501</f>
        <v>71.39</v>
      </c>
      <c r="I501">
        <f>'Data Cleaning'!I501</f>
        <v>19</v>
      </c>
      <c r="J501" s="2">
        <f>'Data Cleaning'!J501</f>
        <v>1356.41</v>
      </c>
    </row>
    <row r="502" spans="1:10" x14ac:dyDescent="0.25">
      <c r="A502" t="str">
        <f>'Data Cleaning'!A502</f>
        <v>S495</v>
      </c>
      <c r="B502" s="113">
        <f>'Data Cleaning'!B502</f>
        <v>45905</v>
      </c>
      <c r="C502" t="str">
        <f>'Data Cleaning'!C502</f>
        <v>Puma</v>
      </c>
      <c r="D502" t="str">
        <f>'Data Cleaning'!D502</f>
        <v>Formal</v>
      </c>
      <c r="E502" t="str">
        <f>'Data Cleaning'!E502</f>
        <v>Black</v>
      </c>
      <c r="F502" t="str">
        <f>'Data Cleaning'!F502</f>
        <v>USA</v>
      </c>
      <c r="G502" t="str">
        <f>'Data Cleaning'!G502</f>
        <v>Mall</v>
      </c>
      <c r="H502" s="2">
        <f>'Data Cleaning'!H502</f>
        <v>132.01</v>
      </c>
      <c r="I502">
        <f>'Data Cleaning'!I502</f>
        <v>4</v>
      </c>
      <c r="J502" s="2">
        <f>'Data Cleaning'!J502</f>
        <v>528.04</v>
      </c>
    </row>
    <row r="503" spans="1:10" x14ac:dyDescent="0.25">
      <c r="A503" t="str">
        <f>'Data Cleaning'!A503</f>
        <v>S496</v>
      </c>
      <c r="B503" s="113">
        <f>'Data Cleaning'!B503</f>
        <v>45730</v>
      </c>
      <c r="C503" t="str">
        <f>'Data Cleaning'!C503</f>
        <v>Puma</v>
      </c>
      <c r="D503" t="str">
        <f>'Data Cleaning'!D503</f>
        <v>Sports</v>
      </c>
      <c r="E503" t="str">
        <f>'Data Cleaning'!E503</f>
        <v>Red</v>
      </c>
      <c r="F503" t="str">
        <f>'Data Cleaning'!F503</f>
        <v>Saudi Arabia</v>
      </c>
      <c r="G503" t="str">
        <f>'Data Cleaning'!G503</f>
        <v>Online</v>
      </c>
      <c r="H503" s="2">
        <f>'Data Cleaning'!H503</f>
        <v>107.74</v>
      </c>
      <c r="I503">
        <f>'Data Cleaning'!I503</f>
        <v>12</v>
      </c>
      <c r="J503" s="2">
        <f>'Data Cleaning'!J503</f>
        <v>1292.8800000000001</v>
      </c>
    </row>
    <row r="504" spans="1:10" x14ac:dyDescent="0.25">
      <c r="A504" t="str">
        <f>'Data Cleaning'!A504</f>
        <v>S497</v>
      </c>
      <c r="B504" s="113">
        <f>'Data Cleaning'!B504</f>
        <v>45924</v>
      </c>
      <c r="C504" t="str">
        <f>'Data Cleaning'!C504</f>
        <v>Puma</v>
      </c>
      <c r="D504" t="str">
        <f>'Data Cleaning'!D504</f>
        <v>Formal</v>
      </c>
      <c r="E504" t="str">
        <f>'Data Cleaning'!E504</f>
        <v>Black</v>
      </c>
      <c r="F504" t="str">
        <f>'Data Cleaning'!F504</f>
        <v>Germany</v>
      </c>
      <c r="G504" t="str">
        <f>'Data Cleaning'!G504</f>
        <v>Mall</v>
      </c>
      <c r="H504" s="2">
        <f>'Data Cleaning'!H504</f>
        <v>158.4</v>
      </c>
      <c r="I504">
        <f>'Data Cleaning'!I504</f>
        <v>16</v>
      </c>
      <c r="J504" s="2">
        <f>'Data Cleaning'!J504</f>
        <v>2534.4</v>
      </c>
    </row>
    <row r="505" spans="1:10" x14ac:dyDescent="0.25">
      <c r="A505" t="str">
        <f>'Data Cleaning'!A505</f>
        <v>S498</v>
      </c>
      <c r="B505" s="113">
        <f>'Data Cleaning'!B505</f>
        <v>46014</v>
      </c>
      <c r="C505" t="str">
        <f>'Data Cleaning'!C505</f>
        <v>Puma</v>
      </c>
      <c r="D505" t="str">
        <f>'Data Cleaning'!D505</f>
        <v>Running</v>
      </c>
      <c r="E505" t="str">
        <f>'Data Cleaning'!E505</f>
        <v>Blue</v>
      </c>
      <c r="F505" t="str">
        <f>'Data Cleaning'!F505</f>
        <v>USA</v>
      </c>
      <c r="G505" t="str">
        <f>'Data Cleaning'!G505</f>
        <v>Mall</v>
      </c>
      <c r="H505" s="2">
        <f>'Data Cleaning'!H505</f>
        <v>47.1</v>
      </c>
      <c r="I505">
        <f>'Data Cleaning'!I505</f>
        <v>15</v>
      </c>
      <c r="J505" s="2">
        <f>'Data Cleaning'!J505</f>
        <v>706.5</v>
      </c>
    </row>
    <row r="506" spans="1:10" x14ac:dyDescent="0.25">
      <c r="A506" t="str">
        <f>'Data Cleaning'!A506</f>
        <v>S499</v>
      </c>
      <c r="B506" s="113">
        <f>'Data Cleaning'!B506</f>
        <v>45716</v>
      </c>
      <c r="C506" t="str">
        <f>'Data Cleaning'!C506</f>
        <v>Puma</v>
      </c>
      <c r="D506" t="str">
        <f>'Data Cleaning'!D506</f>
        <v>Boots</v>
      </c>
      <c r="E506" t="str">
        <f>'Data Cleaning'!E506</f>
        <v>Black</v>
      </c>
      <c r="F506" t="str">
        <f>'Data Cleaning'!F506</f>
        <v>UAE</v>
      </c>
      <c r="G506" t="str">
        <f>'Data Cleaning'!G506</f>
        <v>Online</v>
      </c>
      <c r="H506" s="2">
        <f>'Data Cleaning'!H506</f>
        <v>244.37</v>
      </c>
      <c r="I506">
        <f>'Data Cleaning'!I506</f>
        <v>1</v>
      </c>
      <c r="J506" s="2">
        <f>'Data Cleaning'!J506</f>
        <v>244.37</v>
      </c>
    </row>
    <row r="507" spans="1:10" x14ac:dyDescent="0.25">
      <c r="A507" t="str">
        <f>'Data Cleaning'!A507</f>
        <v>S500</v>
      </c>
      <c r="B507" s="113">
        <f>'Data Cleaning'!B507</f>
        <v>45782</v>
      </c>
      <c r="C507" t="str">
        <f>'Data Cleaning'!C507</f>
        <v>Adidas</v>
      </c>
      <c r="D507" t="str">
        <f>'Data Cleaning'!D507</f>
        <v>Sneakers</v>
      </c>
      <c r="E507" t="str">
        <f>'Data Cleaning'!E507</f>
        <v>White</v>
      </c>
      <c r="F507" t="str">
        <f>'Data Cleaning'!F507</f>
        <v>France</v>
      </c>
      <c r="G507" t="str">
        <f>'Data Cleaning'!G507</f>
        <v>Mall</v>
      </c>
      <c r="H507" s="2">
        <f>'Data Cleaning'!H507</f>
        <v>246.97</v>
      </c>
      <c r="I507">
        <f>'Data Cleaning'!I507</f>
        <v>17</v>
      </c>
      <c r="J507" s="2">
        <f>'Data Cleaning'!J507</f>
        <v>4198.49</v>
      </c>
    </row>
    <row r="508" spans="1:10" x14ac:dyDescent="0.25">
      <c r="A508" t="str">
        <f>'Data Cleaning'!A508</f>
        <v>S501</v>
      </c>
      <c r="B508" s="113">
        <f>'Data Cleaning'!B508</f>
        <v>45876</v>
      </c>
      <c r="C508" t="str">
        <f>'Data Cleaning'!C508</f>
        <v>Adidas</v>
      </c>
      <c r="D508" t="str">
        <f>'Data Cleaning'!D508</f>
        <v>Formal</v>
      </c>
      <c r="E508" t="str">
        <f>'Data Cleaning'!E508</f>
        <v>Green</v>
      </c>
      <c r="F508" t="str">
        <f>'Data Cleaning'!F508</f>
        <v>UK</v>
      </c>
      <c r="G508" t="str">
        <f>'Data Cleaning'!G508</f>
        <v>Online</v>
      </c>
      <c r="H508" s="2">
        <f>'Data Cleaning'!H508</f>
        <v>183.6</v>
      </c>
      <c r="I508">
        <f>'Data Cleaning'!I508</f>
        <v>15</v>
      </c>
      <c r="J508" s="2">
        <f>'Data Cleaning'!J508</f>
        <v>2754</v>
      </c>
    </row>
    <row r="509" spans="1:10" x14ac:dyDescent="0.25">
      <c r="A509" t="str">
        <f>'Data Cleaning'!A509</f>
        <v>S502</v>
      </c>
      <c r="B509" s="113">
        <f>'Data Cleaning'!B509</f>
        <v>45985</v>
      </c>
      <c r="C509" t="str">
        <f>'Data Cleaning'!C509</f>
        <v>Reebok</v>
      </c>
      <c r="D509" t="str">
        <f>'Data Cleaning'!D509</f>
        <v>Running</v>
      </c>
      <c r="E509" t="str">
        <f>'Data Cleaning'!E509</f>
        <v>Green</v>
      </c>
      <c r="F509" t="str">
        <f>'Data Cleaning'!F509</f>
        <v>India</v>
      </c>
      <c r="G509" t="str">
        <f>'Data Cleaning'!G509</f>
        <v>Online</v>
      </c>
      <c r="H509" s="2">
        <f>'Data Cleaning'!H509</f>
        <v>147.94</v>
      </c>
      <c r="I509">
        <f>'Data Cleaning'!I509</f>
        <v>14</v>
      </c>
      <c r="J509" s="2">
        <f>'Data Cleaning'!J509</f>
        <v>2071.16</v>
      </c>
    </row>
    <row r="510" spans="1:10" x14ac:dyDescent="0.25">
      <c r="A510" t="str">
        <f>'Data Cleaning'!A510</f>
        <v>S503</v>
      </c>
      <c r="B510" s="113">
        <f>'Data Cleaning'!B510</f>
        <v>45888</v>
      </c>
      <c r="C510" t="str">
        <f>'Data Cleaning'!C510</f>
        <v>Reebok</v>
      </c>
      <c r="D510" t="str">
        <f>'Data Cleaning'!D510</f>
        <v>Formal</v>
      </c>
      <c r="E510" t="str">
        <f>'Data Cleaning'!E510</f>
        <v>Black</v>
      </c>
      <c r="F510" t="str">
        <f>'Data Cleaning'!F510</f>
        <v>UAE</v>
      </c>
      <c r="G510" t="str">
        <f>'Data Cleaning'!G510</f>
        <v>Online</v>
      </c>
      <c r="H510" s="2">
        <f>'Data Cleaning'!H510</f>
        <v>98.1</v>
      </c>
      <c r="I510">
        <f>'Data Cleaning'!I510</f>
        <v>19</v>
      </c>
      <c r="J510" s="2">
        <f>'Data Cleaning'!J510</f>
        <v>1863.9</v>
      </c>
    </row>
    <row r="511" spans="1:10" x14ac:dyDescent="0.25">
      <c r="A511" t="str">
        <f>'Data Cleaning'!A511</f>
        <v>S504</v>
      </c>
      <c r="B511" s="113">
        <f>'Data Cleaning'!B511</f>
        <v>45763</v>
      </c>
      <c r="C511" t="str">
        <f>'Data Cleaning'!C511</f>
        <v>Skechers</v>
      </c>
      <c r="D511" t="str">
        <f>'Data Cleaning'!D511</f>
        <v>Running</v>
      </c>
      <c r="E511" t="str">
        <f>'Data Cleaning'!E511</f>
        <v>Grey</v>
      </c>
      <c r="F511" t="str">
        <f>'Data Cleaning'!F511</f>
        <v>USA</v>
      </c>
      <c r="G511" t="str">
        <f>'Data Cleaning'!G511</f>
        <v>Mall</v>
      </c>
      <c r="H511" s="2">
        <f>'Data Cleaning'!H511</f>
        <v>209.03</v>
      </c>
      <c r="I511">
        <f>'Data Cleaning'!I511</f>
        <v>9</v>
      </c>
      <c r="J511" s="2">
        <f>'Data Cleaning'!J511</f>
        <v>1881.27</v>
      </c>
    </row>
    <row r="512" spans="1:10" x14ac:dyDescent="0.25">
      <c r="A512" t="str">
        <f>'Data Cleaning'!A512</f>
        <v>S505</v>
      </c>
      <c r="B512" s="113">
        <f>'Data Cleaning'!B512</f>
        <v>45753</v>
      </c>
      <c r="C512" t="str">
        <f>'Data Cleaning'!C512</f>
        <v>Puma</v>
      </c>
      <c r="D512" t="str">
        <f>'Data Cleaning'!D512</f>
        <v>Casual</v>
      </c>
      <c r="E512" t="str">
        <f>'Data Cleaning'!E512</f>
        <v>Red</v>
      </c>
      <c r="F512" t="str">
        <f>'Data Cleaning'!F512</f>
        <v>USA</v>
      </c>
      <c r="G512" t="str">
        <f>'Data Cleaning'!G512</f>
        <v>Retail Store</v>
      </c>
      <c r="H512" s="2">
        <f>'Data Cleaning'!H512</f>
        <v>180.64</v>
      </c>
      <c r="I512">
        <f>'Data Cleaning'!I512</f>
        <v>12</v>
      </c>
      <c r="J512" s="2">
        <f>'Data Cleaning'!J512</f>
        <v>2167.6799999999998</v>
      </c>
    </row>
    <row r="513" spans="1:10" x14ac:dyDescent="0.25">
      <c r="A513" t="str">
        <f>'Data Cleaning'!A513</f>
        <v>S506</v>
      </c>
      <c r="B513" s="113">
        <f>'Data Cleaning'!B513</f>
        <v>46001</v>
      </c>
      <c r="C513" t="str">
        <f>'Data Cleaning'!C513</f>
        <v>New Balance</v>
      </c>
      <c r="D513" t="str">
        <f>'Data Cleaning'!D513</f>
        <v>Boots</v>
      </c>
      <c r="E513" t="str">
        <f>'Data Cleaning'!E513</f>
        <v>Blue</v>
      </c>
      <c r="F513" t="str">
        <f>'Data Cleaning'!F513</f>
        <v>India</v>
      </c>
      <c r="G513" t="str">
        <f>'Data Cleaning'!G513</f>
        <v>Retail Store</v>
      </c>
      <c r="H513" s="2">
        <f>'Data Cleaning'!H513</f>
        <v>65.78</v>
      </c>
      <c r="I513">
        <f>'Data Cleaning'!I513</f>
        <v>16</v>
      </c>
      <c r="J513" s="2">
        <f>'Data Cleaning'!J513</f>
        <v>1052.48</v>
      </c>
    </row>
    <row r="514" spans="1:10" x14ac:dyDescent="0.25">
      <c r="A514" t="str">
        <f>'Data Cleaning'!A514</f>
        <v>S507</v>
      </c>
      <c r="B514" s="113">
        <f>'Data Cleaning'!B514</f>
        <v>45970</v>
      </c>
      <c r="C514" t="str">
        <f>'Data Cleaning'!C514</f>
        <v>New Balance</v>
      </c>
      <c r="D514" t="str">
        <f>'Data Cleaning'!D514</f>
        <v>Running</v>
      </c>
      <c r="E514" t="str">
        <f>'Data Cleaning'!E514</f>
        <v>Blue</v>
      </c>
      <c r="F514" t="str">
        <f>'Data Cleaning'!F514</f>
        <v>France</v>
      </c>
      <c r="G514" t="str">
        <f>'Data Cleaning'!G514</f>
        <v>Retail Store</v>
      </c>
      <c r="H514" s="2">
        <f>'Data Cleaning'!H514</f>
        <v>230.4</v>
      </c>
      <c r="I514">
        <f>'Data Cleaning'!I514</f>
        <v>13</v>
      </c>
      <c r="J514" s="2">
        <f>'Data Cleaning'!J514</f>
        <v>2995.2</v>
      </c>
    </row>
    <row r="515" spans="1:10" x14ac:dyDescent="0.25">
      <c r="A515" t="str">
        <f>'Data Cleaning'!A515</f>
        <v>S508</v>
      </c>
      <c r="B515" s="113">
        <f>'Data Cleaning'!B515</f>
        <v>45974</v>
      </c>
      <c r="C515" t="str">
        <f>'Data Cleaning'!C515</f>
        <v>Skechers</v>
      </c>
      <c r="D515" t="str">
        <f>'Data Cleaning'!D515</f>
        <v>Boots</v>
      </c>
      <c r="E515" t="str">
        <f>'Data Cleaning'!E515</f>
        <v>Blue</v>
      </c>
      <c r="F515" t="str">
        <f>'Data Cleaning'!F515</f>
        <v>India</v>
      </c>
      <c r="G515" t="str">
        <f>'Data Cleaning'!G515</f>
        <v>Mall</v>
      </c>
      <c r="H515" s="2">
        <f>'Data Cleaning'!H515</f>
        <v>210.96</v>
      </c>
      <c r="I515">
        <f>'Data Cleaning'!I515</f>
        <v>6</v>
      </c>
      <c r="J515" s="2">
        <f>'Data Cleaning'!J515</f>
        <v>1265.76</v>
      </c>
    </row>
    <row r="516" spans="1:10" x14ac:dyDescent="0.25">
      <c r="A516" t="str">
        <f>'Data Cleaning'!A516</f>
        <v>S509</v>
      </c>
      <c r="B516" s="113">
        <f>'Data Cleaning'!B516</f>
        <v>45701</v>
      </c>
      <c r="C516" t="str">
        <f>'Data Cleaning'!C516</f>
        <v>Puma</v>
      </c>
      <c r="D516" t="str">
        <f>'Data Cleaning'!D516</f>
        <v>Running</v>
      </c>
      <c r="E516" t="str">
        <f>'Data Cleaning'!E516</f>
        <v>White</v>
      </c>
      <c r="F516" t="str">
        <f>'Data Cleaning'!F516</f>
        <v>France</v>
      </c>
      <c r="G516" t="str">
        <f>'Data Cleaning'!G516</f>
        <v>Online</v>
      </c>
      <c r="H516" s="2">
        <f>'Data Cleaning'!H516</f>
        <v>238.96</v>
      </c>
      <c r="I516">
        <f>'Data Cleaning'!I516</f>
        <v>5</v>
      </c>
      <c r="J516" s="2">
        <f>'Data Cleaning'!J516</f>
        <v>1194.8</v>
      </c>
    </row>
    <row r="517" spans="1:10" x14ac:dyDescent="0.25">
      <c r="A517" t="str">
        <f>'Data Cleaning'!A517</f>
        <v>S510</v>
      </c>
      <c r="B517" s="113">
        <f>'Data Cleaning'!B517</f>
        <v>45751</v>
      </c>
      <c r="C517" t="str">
        <f>'Data Cleaning'!C517</f>
        <v>Skechers</v>
      </c>
      <c r="D517" t="str">
        <f>'Data Cleaning'!D517</f>
        <v>Casual</v>
      </c>
      <c r="E517" t="str">
        <f>'Data Cleaning'!E517</f>
        <v>Grey</v>
      </c>
      <c r="F517" t="str">
        <f>'Data Cleaning'!F517</f>
        <v>Germany</v>
      </c>
      <c r="G517" t="str">
        <f>'Data Cleaning'!G517</f>
        <v>Retail Store</v>
      </c>
      <c r="H517" s="2">
        <f>'Data Cleaning'!H517</f>
        <v>189.66</v>
      </c>
      <c r="I517">
        <f>'Data Cleaning'!I517</f>
        <v>12</v>
      </c>
      <c r="J517" s="2">
        <f>'Data Cleaning'!J517</f>
        <v>2275.92</v>
      </c>
    </row>
    <row r="518" spans="1:10" x14ac:dyDescent="0.25">
      <c r="A518" t="str">
        <f>'Data Cleaning'!A518</f>
        <v>S511</v>
      </c>
      <c r="B518" s="113">
        <f>'Data Cleaning'!B518</f>
        <v>45963</v>
      </c>
      <c r="C518" t="str">
        <f>'Data Cleaning'!C518</f>
        <v>New Balance</v>
      </c>
      <c r="D518" t="str">
        <f>'Data Cleaning'!D518</f>
        <v>Formal</v>
      </c>
      <c r="E518" t="str">
        <f>'Data Cleaning'!E518</f>
        <v>Red</v>
      </c>
      <c r="F518" t="str">
        <f>'Data Cleaning'!F518</f>
        <v>UK</v>
      </c>
      <c r="G518" t="str">
        <f>'Data Cleaning'!G518</f>
        <v>Retail Store</v>
      </c>
      <c r="H518" s="2">
        <f>'Data Cleaning'!H518</f>
        <v>164.95</v>
      </c>
      <c r="I518">
        <f>'Data Cleaning'!I518</f>
        <v>5</v>
      </c>
      <c r="J518" s="2">
        <f>'Data Cleaning'!J518</f>
        <v>824.75</v>
      </c>
    </row>
    <row r="519" spans="1:10" x14ac:dyDescent="0.25">
      <c r="A519" t="str">
        <f>'Data Cleaning'!A519</f>
        <v>S512</v>
      </c>
      <c r="B519" s="113">
        <f>'Data Cleaning'!B519</f>
        <v>45983</v>
      </c>
      <c r="C519" t="str">
        <f>'Data Cleaning'!C519</f>
        <v>Skechers</v>
      </c>
      <c r="D519" t="str">
        <f>'Data Cleaning'!D519</f>
        <v>Boots</v>
      </c>
      <c r="E519" t="str">
        <f>'Data Cleaning'!E519</f>
        <v>White</v>
      </c>
      <c r="F519" t="str">
        <f>'Data Cleaning'!F519</f>
        <v>India</v>
      </c>
      <c r="G519" t="str">
        <f>'Data Cleaning'!G519</f>
        <v>Online</v>
      </c>
      <c r="H519" s="2">
        <f>'Data Cleaning'!H519</f>
        <v>122.01</v>
      </c>
      <c r="I519">
        <f>'Data Cleaning'!I519</f>
        <v>18</v>
      </c>
      <c r="J519" s="2">
        <f>'Data Cleaning'!J519</f>
        <v>2196.1799999999998</v>
      </c>
    </row>
    <row r="520" spans="1:10" x14ac:dyDescent="0.25">
      <c r="A520" t="str">
        <f>'Data Cleaning'!A520</f>
        <v>S513</v>
      </c>
      <c r="B520" s="113">
        <f>'Data Cleaning'!B520</f>
        <v>45908</v>
      </c>
      <c r="C520" t="str">
        <f>'Data Cleaning'!C520</f>
        <v>Adidas</v>
      </c>
      <c r="D520" t="str">
        <f>'Data Cleaning'!D520</f>
        <v>Casual</v>
      </c>
      <c r="E520" t="str">
        <f>'Data Cleaning'!E520</f>
        <v>Blue</v>
      </c>
      <c r="F520" t="str">
        <f>'Data Cleaning'!F520</f>
        <v>Saudi Arabia</v>
      </c>
      <c r="G520" t="str">
        <f>'Data Cleaning'!G520</f>
        <v>Retail Store</v>
      </c>
      <c r="H520" s="2">
        <f>'Data Cleaning'!H520</f>
        <v>235.2</v>
      </c>
      <c r="I520">
        <f>'Data Cleaning'!I520</f>
        <v>10</v>
      </c>
      <c r="J520" s="2">
        <f>'Data Cleaning'!J520</f>
        <v>2352</v>
      </c>
    </row>
    <row r="521" spans="1:10" x14ac:dyDescent="0.25">
      <c r="A521" t="str">
        <f>'Data Cleaning'!A521</f>
        <v>S514</v>
      </c>
      <c r="B521" s="113">
        <f>'Data Cleaning'!B521</f>
        <v>45975</v>
      </c>
      <c r="C521" t="str">
        <f>'Data Cleaning'!C521</f>
        <v>Puma</v>
      </c>
      <c r="D521" t="str">
        <f>'Data Cleaning'!D521</f>
        <v>Running</v>
      </c>
      <c r="E521" t="str">
        <f>'Data Cleaning'!E521</f>
        <v>Red</v>
      </c>
      <c r="F521" t="str">
        <f>'Data Cleaning'!F521</f>
        <v>UK</v>
      </c>
      <c r="G521" t="str">
        <f>'Data Cleaning'!G521</f>
        <v>Online</v>
      </c>
      <c r="H521" s="2">
        <f>'Data Cleaning'!H521</f>
        <v>220.53</v>
      </c>
      <c r="I521">
        <f>'Data Cleaning'!I521</f>
        <v>2</v>
      </c>
      <c r="J521" s="2">
        <f>'Data Cleaning'!J521</f>
        <v>441.06</v>
      </c>
    </row>
    <row r="522" spans="1:10" x14ac:dyDescent="0.25">
      <c r="A522" t="str">
        <f>'Data Cleaning'!A522</f>
        <v>S515</v>
      </c>
      <c r="B522" s="113">
        <f>'Data Cleaning'!B522</f>
        <v>45854</v>
      </c>
      <c r="C522" t="str">
        <f>'Data Cleaning'!C522</f>
        <v>New Balance</v>
      </c>
      <c r="D522" t="str">
        <f>'Data Cleaning'!D522</f>
        <v>Boots</v>
      </c>
      <c r="E522" t="str">
        <f>'Data Cleaning'!E522</f>
        <v>Red</v>
      </c>
      <c r="F522" t="str">
        <f>'Data Cleaning'!F522</f>
        <v>Germany</v>
      </c>
      <c r="G522" t="str">
        <f>'Data Cleaning'!G522</f>
        <v>Mall</v>
      </c>
      <c r="H522" s="2">
        <f>'Data Cleaning'!H522</f>
        <v>39.950000000000003</v>
      </c>
      <c r="I522">
        <f>'Data Cleaning'!I522</f>
        <v>18</v>
      </c>
      <c r="J522" s="2">
        <f>'Data Cleaning'!J522</f>
        <v>719.1</v>
      </c>
    </row>
    <row r="523" spans="1:10" x14ac:dyDescent="0.25">
      <c r="A523" t="str">
        <f>'Data Cleaning'!A523</f>
        <v>S516</v>
      </c>
      <c r="B523" s="113">
        <f>'Data Cleaning'!B523</f>
        <v>45909</v>
      </c>
      <c r="C523" t="str">
        <f>'Data Cleaning'!C523</f>
        <v>Skechers</v>
      </c>
      <c r="D523" t="str">
        <f>'Data Cleaning'!D523</f>
        <v>Formal</v>
      </c>
      <c r="E523" t="str">
        <f>'Data Cleaning'!E523</f>
        <v>Red</v>
      </c>
      <c r="F523" t="str">
        <f>'Data Cleaning'!F523</f>
        <v>UK</v>
      </c>
      <c r="G523" t="str">
        <f>'Data Cleaning'!G523</f>
        <v>Online</v>
      </c>
      <c r="H523" s="2">
        <f>'Data Cleaning'!H523</f>
        <v>35.799999999999997</v>
      </c>
      <c r="I523">
        <f>'Data Cleaning'!I523</f>
        <v>14</v>
      </c>
      <c r="J523" s="2">
        <f>'Data Cleaning'!J523</f>
        <v>501.2</v>
      </c>
    </row>
    <row r="524" spans="1:10" x14ac:dyDescent="0.25">
      <c r="A524" t="str">
        <f>'Data Cleaning'!A524</f>
        <v>S517</v>
      </c>
      <c r="B524" s="113">
        <f>'Data Cleaning'!B524</f>
        <v>45947</v>
      </c>
      <c r="C524" t="str">
        <f>'Data Cleaning'!C524</f>
        <v>Adidas</v>
      </c>
      <c r="D524" t="str">
        <f>'Data Cleaning'!D524</f>
        <v>Sports</v>
      </c>
      <c r="E524" t="str">
        <f>'Data Cleaning'!E524</f>
        <v>Black</v>
      </c>
      <c r="F524" t="str">
        <f>'Data Cleaning'!F524</f>
        <v>France</v>
      </c>
      <c r="G524" t="str">
        <f>'Data Cleaning'!G524</f>
        <v>Online</v>
      </c>
      <c r="H524" s="2">
        <f>'Data Cleaning'!H524</f>
        <v>112.82</v>
      </c>
      <c r="I524">
        <f>'Data Cleaning'!I524</f>
        <v>1</v>
      </c>
      <c r="J524" s="2">
        <f>'Data Cleaning'!J524</f>
        <v>112.82</v>
      </c>
    </row>
    <row r="525" spans="1:10" x14ac:dyDescent="0.25">
      <c r="A525" t="str">
        <f>'Data Cleaning'!A525</f>
        <v>S518</v>
      </c>
      <c r="B525" s="113">
        <f>'Data Cleaning'!B525</f>
        <v>45933</v>
      </c>
      <c r="C525" t="str">
        <f>'Data Cleaning'!C525</f>
        <v>Adidas</v>
      </c>
      <c r="D525" t="str">
        <f>'Data Cleaning'!D525</f>
        <v>Formal</v>
      </c>
      <c r="E525" t="str">
        <f>'Data Cleaning'!E525</f>
        <v>Grey</v>
      </c>
      <c r="F525" t="str">
        <f>'Data Cleaning'!F525</f>
        <v>UAE</v>
      </c>
      <c r="G525" t="str">
        <f>'Data Cleaning'!G525</f>
        <v>Retail Store</v>
      </c>
      <c r="H525" s="2">
        <f>'Data Cleaning'!H525</f>
        <v>208.32</v>
      </c>
      <c r="I525">
        <f>'Data Cleaning'!I525</f>
        <v>10</v>
      </c>
      <c r="J525" s="2">
        <f>'Data Cleaning'!J525</f>
        <v>2083.1999999999998</v>
      </c>
    </row>
    <row r="526" spans="1:10" x14ac:dyDescent="0.25">
      <c r="A526" t="str">
        <f>'Data Cleaning'!A526</f>
        <v>S519</v>
      </c>
      <c r="B526" s="113">
        <f>'Data Cleaning'!B526</f>
        <v>45939</v>
      </c>
      <c r="C526" t="str">
        <f>'Data Cleaning'!C526</f>
        <v>Nike</v>
      </c>
      <c r="D526" t="str">
        <f>'Data Cleaning'!D526</f>
        <v>Sneakers</v>
      </c>
      <c r="E526" t="str">
        <f>'Data Cleaning'!E526</f>
        <v>Black</v>
      </c>
      <c r="F526" t="str">
        <f>'Data Cleaning'!F526</f>
        <v>France</v>
      </c>
      <c r="G526" t="str">
        <f>'Data Cleaning'!G526</f>
        <v>Mall</v>
      </c>
      <c r="H526" s="2">
        <f>'Data Cleaning'!H526</f>
        <v>247.2</v>
      </c>
      <c r="I526">
        <f>'Data Cleaning'!I526</f>
        <v>17</v>
      </c>
      <c r="J526" s="2">
        <f>'Data Cleaning'!J526</f>
        <v>4202.3999999999996</v>
      </c>
    </row>
    <row r="527" spans="1:10" x14ac:dyDescent="0.25">
      <c r="A527" t="str">
        <f>'Data Cleaning'!A527</f>
        <v>S520</v>
      </c>
      <c r="B527" s="113">
        <f>'Data Cleaning'!B527</f>
        <v>45845</v>
      </c>
      <c r="C527" t="str">
        <f>'Data Cleaning'!C527</f>
        <v>Nike</v>
      </c>
      <c r="D527" t="str">
        <f>'Data Cleaning'!D527</f>
        <v>Boots</v>
      </c>
      <c r="E527" t="str">
        <f>'Data Cleaning'!E527</f>
        <v>Red</v>
      </c>
      <c r="F527" t="str">
        <f>'Data Cleaning'!F527</f>
        <v>India</v>
      </c>
      <c r="G527" t="str">
        <f>'Data Cleaning'!G527</f>
        <v>Online</v>
      </c>
      <c r="H527" s="2">
        <f>'Data Cleaning'!H527</f>
        <v>63.09</v>
      </c>
      <c r="I527">
        <f>'Data Cleaning'!I527</f>
        <v>18</v>
      </c>
      <c r="J527" s="2">
        <f>'Data Cleaning'!J527</f>
        <v>1135.6199999999999</v>
      </c>
    </row>
    <row r="528" spans="1:10" x14ac:dyDescent="0.25">
      <c r="A528" t="str">
        <f>'Data Cleaning'!A528</f>
        <v>S521</v>
      </c>
      <c r="B528" s="113">
        <f>'Data Cleaning'!B528</f>
        <v>45875</v>
      </c>
      <c r="C528" t="str">
        <f>'Data Cleaning'!C528</f>
        <v>Skechers</v>
      </c>
      <c r="D528" t="str">
        <f>'Data Cleaning'!D528</f>
        <v>Boots</v>
      </c>
      <c r="E528" t="str">
        <f>'Data Cleaning'!E528</f>
        <v>White</v>
      </c>
      <c r="F528" t="str">
        <f>'Data Cleaning'!F528</f>
        <v>France</v>
      </c>
      <c r="G528" t="str">
        <f>'Data Cleaning'!G528</f>
        <v>Online</v>
      </c>
      <c r="H528" s="2">
        <f>'Data Cleaning'!H528</f>
        <v>160.71</v>
      </c>
      <c r="I528">
        <f>'Data Cleaning'!I528</f>
        <v>4</v>
      </c>
      <c r="J528" s="2">
        <f>'Data Cleaning'!J528</f>
        <v>642.84</v>
      </c>
    </row>
    <row r="529" spans="1:10" x14ac:dyDescent="0.25">
      <c r="A529" t="str">
        <f>'Data Cleaning'!A529</f>
        <v>S522</v>
      </c>
      <c r="B529" s="113">
        <f>'Data Cleaning'!B529</f>
        <v>45888</v>
      </c>
      <c r="C529" t="str">
        <f>'Data Cleaning'!C529</f>
        <v>Puma</v>
      </c>
      <c r="D529" t="str">
        <f>'Data Cleaning'!D529</f>
        <v>Running</v>
      </c>
      <c r="E529" t="str">
        <f>'Data Cleaning'!E529</f>
        <v>Red</v>
      </c>
      <c r="F529" t="str">
        <f>'Data Cleaning'!F529</f>
        <v>Saudi Arabia</v>
      </c>
      <c r="G529" t="str">
        <f>'Data Cleaning'!G529</f>
        <v>Online</v>
      </c>
      <c r="H529" s="2">
        <f>'Data Cleaning'!H529</f>
        <v>113.8</v>
      </c>
      <c r="I529">
        <f>'Data Cleaning'!I529</f>
        <v>9</v>
      </c>
      <c r="J529" s="2">
        <f>'Data Cleaning'!J529</f>
        <v>1024.2</v>
      </c>
    </row>
    <row r="530" spans="1:10" x14ac:dyDescent="0.25">
      <c r="A530" t="str">
        <f>'Data Cleaning'!A530</f>
        <v>S523</v>
      </c>
      <c r="B530" s="113">
        <f>'Data Cleaning'!B530</f>
        <v>45779</v>
      </c>
      <c r="C530" t="str">
        <f>'Data Cleaning'!C530</f>
        <v>Skechers</v>
      </c>
      <c r="D530" t="str">
        <f>'Data Cleaning'!D530</f>
        <v>Sneakers</v>
      </c>
      <c r="E530" t="str">
        <f>'Data Cleaning'!E530</f>
        <v>Green</v>
      </c>
      <c r="F530" t="str">
        <f>'Data Cleaning'!F530</f>
        <v>France</v>
      </c>
      <c r="G530" t="str">
        <f>'Data Cleaning'!G530</f>
        <v>Mall</v>
      </c>
      <c r="H530" s="2">
        <f>'Data Cleaning'!H530</f>
        <v>243.38</v>
      </c>
      <c r="I530">
        <f>'Data Cleaning'!I530</f>
        <v>7</v>
      </c>
      <c r="J530" s="2">
        <f>'Data Cleaning'!J530</f>
        <v>1703.66</v>
      </c>
    </row>
    <row r="531" spans="1:10" x14ac:dyDescent="0.25">
      <c r="A531" t="str">
        <f>'Data Cleaning'!A531</f>
        <v>S524</v>
      </c>
      <c r="B531" s="113">
        <f>'Data Cleaning'!B531</f>
        <v>45970</v>
      </c>
      <c r="C531" t="str">
        <f>'Data Cleaning'!C531</f>
        <v>Adidas</v>
      </c>
      <c r="D531" t="str">
        <f>'Data Cleaning'!D531</f>
        <v>Sneakers</v>
      </c>
      <c r="E531" t="str">
        <f>'Data Cleaning'!E531</f>
        <v>White</v>
      </c>
      <c r="F531" t="str">
        <f>'Data Cleaning'!F531</f>
        <v>Saudi Arabia</v>
      </c>
      <c r="G531" t="str">
        <f>'Data Cleaning'!G531</f>
        <v>Online</v>
      </c>
      <c r="H531" s="2">
        <f>'Data Cleaning'!H531</f>
        <v>215.27</v>
      </c>
      <c r="I531">
        <f>'Data Cleaning'!I531</f>
        <v>14</v>
      </c>
      <c r="J531" s="2">
        <f>'Data Cleaning'!J531</f>
        <v>3013.78</v>
      </c>
    </row>
    <row r="532" spans="1:10" x14ac:dyDescent="0.25">
      <c r="A532" t="str">
        <f>'Data Cleaning'!A532</f>
        <v>S525</v>
      </c>
      <c r="B532" s="113">
        <f>'Data Cleaning'!B532</f>
        <v>45763</v>
      </c>
      <c r="C532" t="str">
        <f>'Data Cleaning'!C532</f>
        <v>New Balance</v>
      </c>
      <c r="D532" t="str">
        <f>'Data Cleaning'!D532</f>
        <v>Sports</v>
      </c>
      <c r="E532" t="str">
        <f>'Data Cleaning'!E532</f>
        <v>Grey</v>
      </c>
      <c r="F532" t="str">
        <f>'Data Cleaning'!F532</f>
        <v>France</v>
      </c>
      <c r="G532" t="str">
        <f>'Data Cleaning'!G532</f>
        <v>Mall</v>
      </c>
      <c r="H532" s="2">
        <f>'Data Cleaning'!H532</f>
        <v>214.43</v>
      </c>
      <c r="I532">
        <f>'Data Cleaning'!I532</f>
        <v>2</v>
      </c>
      <c r="J532" s="2">
        <f>'Data Cleaning'!J532</f>
        <v>428.86</v>
      </c>
    </row>
    <row r="533" spans="1:10" x14ac:dyDescent="0.25">
      <c r="A533" t="str">
        <f>'Data Cleaning'!A533</f>
        <v>S526</v>
      </c>
      <c r="B533" s="113">
        <f>'Data Cleaning'!B533</f>
        <v>45933</v>
      </c>
      <c r="C533" t="str">
        <f>'Data Cleaning'!C533</f>
        <v>Puma</v>
      </c>
      <c r="D533" t="str">
        <f>'Data Cleaning'!D533</f>
        <v>Boots</v>
      </c>
      <c r="E533" t="str">
        <f>'Data Cleaning'!E533</f>
        <v>Blue</v>
      </c>
      <c r="F533" t="str">
        <f>'Data Cleaning'!F533</f>
        <v>France</v>
      </c>
      <c r="G533" t="str">
        <f>'Data Cleaning'!G533</f>
        <v>Mall</v>
      </c>
      <c r="H533" s="2">
        <f>'Data Cleaning'!H533</f>
        <v>133.11000000000001</v>
      </c>
      <c r="I533">
        <f>'Data Cleaning'!I533</f>
        <v>6</v>
      </c>
      <c r="J533" s="2">
        <f>'Data Cleaning'!J533</f>
        <v>798.66</v>
      </c>
    </row>
    <row r="534" spans="1:10" x14ac:dyDescent="0.25">
      <c r="A534" t="str">
        <f>'Data Cleaning'!A534</f>
        <v>S527</v>
      </c>
      <c r="B534" s="113">
        <f>'Data Cleaning'!B534</f>
        <v>45794</v>
      </c>
      <c r="C534" t="str">
        <f>'Data Cleaning'!C534</f>
        <v>Skechers</v>
      </c>
      <c r="D534" t="str">
        <f>'Data Cleaning'!D534</f>
        <v>Running</v>
      </c>
      <c r="E534" t="str">
        <f>'Data Cleaning'!E534</f>
        <v>White</v>
      </c>
      <c r="F534" t="str">
        <f>'Data Cleaning'!F534</f>
        <v>Saudi Arabia</v>
      </c>
      <c r="G534" t="str">
        <f>'Data Cleaning'!G534</f>
        <v>Retail Store</v>
      </c>
      <c r="H534" s="2">
        <f>'Data Cleaning'!H534</f>
        <v>121.26</v>
      </c>
      <c r="I534">
        <f>'Data Cleaning'!I534</f>
        <v>17</v>
      </c>
      <c r="J534" s="2">
        <f>'Data Cleaning'!J534</f>
        <v>2061.42</v>
      </c>
    </row>
    <row r="535" spans="1:10" x14ac:dyDescent="0.25">
      <c r="A535" t="str">
        <f>'Data Cleaning'!A535</f>
        <v>S528</v>
      </c>
      <c r="B535" s="113">
        <f>'Data Cleaning'!B535</f>
        <v>45688</v>
      </c>
      <c r="C535" t="str">
        <f>'Data Cleaning'!C535</f>
        <v>Skechers</v>
      </c>
      <c r="D535" t="str">
        <f>'Data Cleaning'!D535</f>
        <v>Casual</v>
      </c>
      <c r="E535" t="str">
        <f>'Data Cleaning'!E535</f>
        <v>Green</v>
      </c>
      <c r="F535" t="str">
        <f>'Data Cleaning'!F535</f>
        <v>Saudi Arabia</v>
      </c>
      <c r="G535" t="str">
        <f>'Data Cleaning'!G535</f>
        <v>Online</v>
      </c>
      <c r="H535" s="2">
        <f>'Data Cleaning'!H535</f>
        <v>90.15</v>
      </c>
      <c r="I535">
        <f>'Data Cleaning'!I535</f>
        <v>9</v>
      </c>
      <c r="J535" s="2">
        <f>'Data Cleaning'!J535</f>
        <v>811.35</v>
      </c>
    </row>
    <row r="536" spans="1:10" x14ac:dyDescent="0.25">
      <c r="A536" t="str">
        <f>'Data Cleaning'!A536</f>
        <v>S529</v>
      </c>
      <c r="B536" s="113">
        <f>'Data Cleaning'!B536</f>
        <v>45785</v>
      </c>
      <c r="C536" t="str">
        <f>'Data Cleaning'!C536</f>
        <v>Skechers</v>
      </c>
      <c r="D536" t="str">
        <f>'Data Cleaning'!D536</f>
        <v>Sports</v>
      </c>
      <c r="E536" t="str">
        <f>'Data Cleaning'!E536</f>
        <v>White</v>
      </c>
      <c r="F536" t="str">
        <f>'Data Cleaning'!F536</f>
        <v>Saudi Arabia</v>
      </c>
      <c r="G536" t="str">
        <f>'Data Cleaning'!G536</f>
        <v>Mall</v>
      </c>
      <c r="H536" s="2">
        <f>'Data Cleaning'!H536</f>
        <v>42.4</v>
      </c>
      <c r="I536">
        <f>'Data Cleaning'!I536</f>
        <v>5</v>
      </c>
      <c r="J536" s="2">
        <f>'Data Cleaning'!J536</f>
        <v>212</v>
      </c>
    </row>
    <row r="537" spans="1:10" x14ac:dyDescent="0.25">
      <c r="A537" t="str">
        <f>'Data Cleaning'!A537</f>
        <v>S530</v>
      </c>
      <c r="B537" s="113">
        <f>'Data Cleaning'!B537</f>
        <v>45859</v>
      </c>
      <c r="C537" t="str">
        <f>'Data Cleaning'!C537</f>
        <v>Adidas</v>
      </c>
      <c r="D537" t="str">
        <f>'Data Cleaning'!D537</f>
        <v>Sneakers</v>
      </c>
      <c r="E537" t="str">
        <f>'Data Cleaning'!E537</f>
        <v>Green</v>
      </c>
      <c r="F537" t="str">
        <f>'Data Cleaning'!F537</f>
        <v>France</v>
      </c>
      <c r="G537" t="str">
        <f>'Data Cleaning'!G537</f>
        <v>Mall</v>
      </c>
      <c r="H537" s="2">
        <f>'Data Cleaning'!H537</f>
        <v>220.24</v>
      </c>
      <c r="I537">
        <f>'Data Cleaning'!I537</f>
        <v>16</v>
      </c>
      <c r="J537" s="2">
        <f>'Data Cleaning'!J537</f>
        <v>3523.84</v>
      </c>
    </row>
    <row r="538" spans="1:10" x14ac:dyDescent="0.25">
      <c r="A538" t="str">
        <f>'Data Cleaning'!A538</f>
        <v>S531</v>
      </c>
      <c r="B538" s="113">
        <f>'Data Cleaning'!B538</f>
        <v>45870</v>
      </c>
      <c r="C538" t="str">
        <f>'Data Cleaning'!C538</f>
        <v>Reebok</v>
      </c>
      <c r="D538" t="str">
        <f>'Data Cleaning'!D538</f>
        <v>Running</v>
      </c>
      <c r="E538" t="str">
        <f>'Data Cleaning'!E538</f>
        <v>Green</v>
      </c>
      <c r="F538" t="str">
        <f>'Data Cleaning'!F538</f>
        <v>Saudi Arabia</v>
      </c>
      <c r="G538" t="str">
        <f>'Data Cleaning'!G538</f>
        <v>Online</v>
      </c>
      <c r="H538" s="2">
        <f>'Data Cleaning'!H538</f>
        <v>208.84</v>
      </c>
      <c r="I538">
        <f>'Data Cleaning'!I538</f>
        <v>13</v>
      </c>
      <c r="J538" s="2">
        <f>'Data Cleaning'!J538</f>
        <v>2714.92</v>
      </c>
    </row>
    <row r="539" spans="1:10" x14ac:dyDescent="0.25">
      <c r="A539" t="str">
        <f>'Data Cleaning'!A539</f>
        <v>S532</v>
      </c>
      <c r="B539" s="113">
        <f>'Data Cleaning'!B539</f>
        <v>45864</v>
      </c>
      <c r="C539" t="str">
        <f>'Data Cleaning'!C539</f>
        <v>Skechers</v>
      </c>
      <c r="D539" t="str">
        <f>'Data Cleaning'!D539</f>
        <v>Sports</v>
      </c>
      <c r="E539" t="str">
        <f>'Data Cleaning'!E539</f>
        <v>Green</v>
      </c>
      <c r="F539" t="str">
        <f>'Data Cleaning'!F539</f>
        <v>France</v>
      </c>
      <c r="G539" t="str">
        <f>'Data Cleaning'!G539</f>
        <v>Retail Store</v>
      </c>
      <c r="H539" s="2">
        <f>'Data Cleaning'!H539</f>
        <v>249.94</v>
      </c>
      <c r="I539">
        <f>'Data Cleaning'!I539</f>
        <v>17</v>
      </c>
      <c r="J539" s="2">
        <f>'Data Cleaning'!J539</f>
        <v>4248.9799999999996</v>
      </c>
    </row>
    <row r="540" spans="1:10" x14ac:dyDescent="0.25">
      <c r="A540" t="str">
        <f>'Data Cleaning'!A540</f>
        <v>S533</v>
      </c>
      <c r="B540" s="113">
        <f>'Data Cleaning'!B540</f>
        <v>45907</v>
      </c>
      <c r="C540" t="str">
        <f>'Data Cleaning'!C540</f>
        <v>New Balance</v>
      </c>
      <c r="D540" t="str">
        <f>'Data Cleaning'!D540</f>
        <v>Running</v>
      </c>
      <c r="E540" t="str">
        <f>'Data Cleaning'!E540</f>
        <v>Green</v>
      </c>
      <c r="F540" t="str">
        <f>'Data Cleaning'!F540</f>
        <v>USA</v>
      </c>
      <c r="G540" t="str">
        <f>'Data Cleaning'!G540</f>
        <v>Mall</v>
      </c>
      <c r="H540" s="2">
        <f>'Data Cleaning'!H540</f>
        <v>249.26</v>
      </c>
      <c r="I540">
        <f>'Data Cleaning'!I540</f>
        <v>11</v>
      </c>
      <c r="J540" s="2">
        <f>'Data Cleaning'!J540</f>
        <v>2741.86</v>
      </c>
    </row>
    <row r="541" spans="1:10" x14ac:dyDescent="0.25">
      <c r="A541" t="str">
        <f>'Data Cleaning'!A541</f>
        <v>S534</v>
      </c>
      <c r="B541" s="113">
        <f>'Data Cleaning'!B541</f>
        <v>45892</v>
      </c>
      <c r="C541" t="str">
        <f>'Data Cleaning'!C541</f>
        <v>Nike</v>
      </c>
      <c r="D541" t="str">
        <f>'Data Cleaning'!D541</f>
        <v>Sneakers</v>
      </c>
      <c r="E541" t="str">
        <f>'Data Cleaning'!E541</f>
        <v>Red</v>
      </c>
      <c r="F541" t="str">
        <f>'Data Cleaning'!F541</f>
        <v>UK</v>
      </c>
      <c r="G541" t="str">
        <f>'Data Cleaning'!G541</f>
        <v>Retail Store</v>
      </c>
      <c r="H541" s="2">
        <f>'Data Cleaning'!H541</f>
        <v>152.19</v>
      </c>
      <c r="I541">
        <f>'Data Cleaning'!I541</f>
        <v>12</v>
      </c>
      <c r="J541" s="2">
        <f>'Data Cleaning'!J541</f>
        <v>1826.28</v>
      </c>
    </row>
    <row r="542" spans="1:10" x14ac:dyDescent="0.25">
      <c r="A542" t="str">
        <f>'Data Cleaning'!A542</f>
        <v>S535</v>
      </c>
      <c r="B542" s="113">
        <f>'Data Cleaning'!B542</f>
        <v>45766</v>
      </c>
      <c r="C542" t="str">
        <f>'Data Cleaning'!C542</f>
        <v>Puma</v>
      </c>
      <c r="D542" t="str">
        <f>'Data Cleaning'!D542</f>
        <v>Sports</v>
      </c>
      <c r="E542" t="str">
        <f>'Data Cleaning'!E542</f>
        <v>Blue</v>
      </c>
      <c r="F542" t="str">
        <f>'Data Cleaning'!F542</f>
        <v>France</v>
      </c>
      <c r="G542" t="str">
        <f>'Data Cleaning'!G542</f>
        <v>Mall</v>
      </c>
      <c r="H542" s="2">
        <f>'Data Cleaning'!H542</f>
        <v>199.18</v>
      </c>
      <c r="I542">
        <f>'Data Cleaning'!I542</f>
        <v>16</v>
      </c>
      <c r="J542" s="2">
        <f>'Data Cleaning'!J542</f>
        <v>3186.88</v>
      </c>
    </row>
    <row r="543" spans="1:10" x14ac:dyDescent="0.25">
      <c r="A543" t="str">
        <f>'Data Cleaning'!A543</f>
        <v>S536</v>
      </c>
      <c r="B543" s="113">
        <f>'Data Cleaning'!B543</f>
        <v>45953</v>
      </c>
      <c r="C543" t="str">
        <f>'Data Cleaning'!C543</f>
        <v>New Balance</v>
      </c>
      <c r="D543" t="str">
        <f>'Data Cleaning'!D543</f>
        <v>Formal</v>
      </c>
      <c r="E543" t="str">
        <f>'Data Cleaning'!E543</f>
        <v>Blue</v>
      </c>
      <c r="F543" t="str">
        <f>'Data Cleaning'!F543</f>
        <v>UAE</v>
      </c>
      <c r="G543" t="str">
        <f>'Data Cleaning'!G543</f>
        <v>Online</v>
      </c>
      <c r="H543" s="2">
        <f>'Data Cleaning'!H543</f>
        <v>237.85</v>
      </c>
      <c r="I543">
        <f>'Data Cleaning'!I543</f>
        <v>5</v>
      </c>
      <c r="J543" s="2">
        <f>'Data Cleaning'!J543</f>
        <v>1189.25</v>
      </c>
    </row>
    <row r="544" spans="1:10" x14ac:dyDescent="0.25">
      <c r="A544" t="str">
        <f>'Data Cleaning'!A544</f>
        <v>S537</v>
      </c>
      <c r="B544" s="113">
        <f>'Data Cleaning'!B544</f>
        <v>45681</v>
      </c>
      <c r="C544" t="str">
        <f>'Data Cleaning'!C544</f>
        <v>Skechers</v>
      </c>
      <c r="D544" t="str">
        <f>'Data Cleaning'!D544</f>
        <v>Formal</v>
      </c>
      <c r="E544" t="str">
        <f>'Data Cleaning'!E544</f>
        <v>Black</v>
      </c>
      <c r="F544" t="str">
        <f>'Data Cleaning'!F544</f>
        <v>USA</v>
      </c>
      <c r="G544" t="str">
        <f>'Data Cleaning'!G544</f>
        <v>Online</v>
      </c>
      <c r="H544" s="2">
        <f>'Data Cleaning'!H544</f>
        <v>216.92</v>
      </c>
      <c r="I544">
        <f>'Data Cleaning'!I544</f>
        <v>4</v>
      </c>
      <c r="J544" s="2">
        <f>'Data Cleaning'!J544</f>
        <v>867.68</v>
      </c>
    </row>
    <row r="545" spans="1:10" x14ac:dyDescent="0.25">
      <c r="A545" t="str">
        <f>'Data Cleaning'!A545</f>
        <v>S538</v>
      </c>
      <c r="B545" s="113">
        <f>'Data Cleaning'!B545</f>
        <v>45883</v>
      </c>
      <c r="C545" t="str">
        <f>'Data Cleaning'!C545</f>
        <v>Nike</v>
      </c>
      <c r="D545" t="str">
        <f>'Data Cleaning'!D545</f>
        <v>Formal</v>
      </c>
      <c r="E545" t="str">
        <f>'Data Cleaning'!E545</f>
        <v>White</v>
      </c>
      <c r="F545" t="str">
        <f>'Data Cleaning'!F545</f>
        <v>UAE</v>
      </c>
      <c r="G545" t="str">
        <f>'Data Cleaning'!G545</f>
        <v>Online</v>
      </c>
      <c r="H545" s="2">
        <f>'Data Cleaning'!H545</f>
        <v>84.42</v>
      </c>
      <c r="I545">
        <f>'Data Cleaning'!I545</f>
        <v>15</v>
      </c>
      <c r="J545" s="2">
        <f>'Data Cleaning'!J545</f>
        <v>1266.3</v>
      </c>
    </row>
    <row r="546" spans="1:10" x14ac:dyDescent="0.25">
      <c r="A546" t="str">
        <f>'Data Cleaning'!A546</f>
        <v>S539</v>
      </c>
      <c r="B546" s="113">
        <f>'Data Cleaning'!B546</f>
        <v>45990</v>
      </c>
      <c r="C546" t="str">
        <f>'Data Cleaning'!C546</f>
        <v>Adidas</v>
      </c>
      <c r="D546" t="str">
        <f>'Data Cleaning'!D546</f>
        <v>Sports</v>
      </c>
      <c r="E546" t="str">
        <f>'Data Cleaning'!E546</f>
        <v>Black</v>
      </c>
      <c r="F546" t="str">
        <f>'Data Cleaning'!F546</f>
        <v>UAE</v>
      </c>
      <c r="G546" t="str">
        <f>'Data Cleaning'!G546</f>
        <v>Retail Store</v>
      </c>
      <c r="H546" s="2">
        <f>'Data Cleaning'!H546</f>
        <v>129.12</v>
      </c>
      <c r="I546">
        <f>'Data Cleaning'!I546</f>
        <v>10</v>
      </c>
      <c r="J546" s="2">
        <f>'Data Cleaning'!J546</f>
        <v>1291.2</v>
      </c>
    </row>
    <row r="547" spans="1:10" x14ac:dyDescent="0.25">
      <c r="A547" t="str">
        <f>'Data Cleaning'!A547</f>
        <v>S540</v>
      </c>
      <c r="B547" s="113">
        <f>'Data Cleaning'!B547</f>
        <v>45786</v>
      </c>
      <c r="C547" t="str">
        <f>'Data Cleaning'!C547</f>
        <v>Puma</v>
      </c>
      <c r="D547" t="str">
        <f>'Data Cleaning'!D547</f>
        <v>Boots</v>
      </c>
      <c r="E547" t="str">
        <f>'Data Cleaning'!E547</f>
        <v>Green</v>
      </c>
      <c r="F547" t="str">
        <f>'Data Cleaning'!F547</f>
        <v>UK</v>
      </c>
      <c r="G547" t="str">
        <f>'Data Cleaning'!G547</f>
        <v>Online</v>
      </c>
      <c r="H547" s="2">
        <f>'Data Cleaning'!H547</f>
        <v>58.42</v>
      </c>
      <c r="I547">
        <f>'Data Cleaning'!I547</f>
        <v>3</v>
      </c>
      <c r="J547" s="2">
        <f>'Data Cleaning'!J547</f>
        <v>175.26</v>
      </c>
    </row>
    <row r="548" spans="1:10" x14ac:dyDescent="0.25">
      <c r="A548" t="str">
        <f>'Data Cleaning'!A548</f>
        <v>S541</v>
      </c>
      <c r="B548" s="113">
        <f>'Data Cleaning'!B548</f>
        <v>45860</v>
      </c>
      <c r="C548" t="str">
        <f>'Data Cleaning'!C548</f>
        <v>Skechers</v>
      </c>
      <c r="D548" t="str">
        <f>'Data Cleaning'!D548</f>
        <v>Boots</v>
      </c>
      <c r="E548" t="str">
        <f>'Data Cleaning'!E548</f>
        <v>White</v>
      </c>
      <c r="F548" t="str">
        <f>'Data Cleaning'!F548</f>
        <v>Germany</v>
      </c>
      <c r="G548" t="str">
        <f>'Data Cleaning'!G548</f>
        <v>Mall</v>
      </c>
      <c r="H548" s="2">
        <f>'Data Cleaning'!H548</f>
        <v>239.89</v>
      </c>
      <c r="I548">
        <f>'Data Cleaning'!I548</f>
        <v>10</v>
      </c>
      <c r="J548" s="2">
        <f>'Data Cleaning'!J548</f>
        <v>2398.9</v>
      </c>
    </row>
    <row r="549" spans="1:10" x14ac:dyDescent="0.25">
      <c r="A549" t="str">
        <f>'Data Cleaning'!A549</f>
        <v>S542</v>
      </c>
      <c r="B549" s="113">
        <f>'Data Cleaning'!B549</f>
        <v>45704</v>
      </c>
      <c r="C549" t="str">
        <f>'Data Cleaning'!C549</f>
        <v>Nike</v>
      </c>
      <c r="D549" t="str">
        <f>'Data Cleaning'!D549</f>
        <v>Casual</v>
      </c>
      <c r="E549" t="str">
        <f>'Data Cleaning'!E549</f>
        <v>Red</v>
      </c>
      <c r="F549" t="str">
        <f>'Data Cleaning'!F549</f>
        <v>USA</v>
      </c>
      <c r="G549" t="str">
        <f>'Data Cleaning'!G549</f>
        <v>Online</v>
      </c>
      <c r="H549" s="2">
        <f>'Data Cleaning'!H549</f>
        <v>163.36000000000001</v>
      </c>
      <c r="I549">
        <f>'Data Cleaning'!I549</f>
        <v>4</v>
      </c>
      <c r="J549" s="2">
        <f>'Data Cleaning'!J549</f>
        <v>653.44000000000005</v>
      </c>
    </row>
    <row r="550" spans="1:10" x14ac:dyDescent="0.25">
      <c r="A550" t="str">
        <f>'Data Cleaning'!A550</f>
        <v>S543</v>
      </c>
      <c r="B550" s="113">
        <f>'Data Cleaning'!B550</f>
        <v>45961</v>
      </c>
      <c r="C550" t="str">
        <f>'Data Cleaning'!C550</f>
        <v>New Balance</v>
      </c>
      <c r="D550" t="str">
        <f>'Data Cleaning'!D550</f>
        <v>Boots</v>
      </c>
      <c r="E550" t="str">
        <f>'Data Cleaning'!E550</f>
        <v>Red</v>
      </c>
      <c r="F550" t="str">
        <f>'Data Cleaning'!F550</f>
        <v>USA</v>
      </c>
      <c r="G550" t="str">
        <f>'Data Cleaning'!G550</f>
        <v>Online</v>
      </c>
      <c r="H550" s="2">
        <f>'Data Cleaning'!H550</f>
        <v>80.3</v>
      </c>
      <c r="I550">
        <f>'Data Cleaning'!I550</f>
        <v>8</v>
      </c>
      <c r="J550" s="2">
        <f>'Data Cleaning'!J550</f>
        <v>642.4</v>
      </c>
    </row>
    <row r="551" spans="1:10" x14ac:dyDescent="0.25">
      <c r="A551" t="str">
        <f>'Data Cleaning'!A551</f>
        <v>S544</v>
      </c>
      <c r="B551" s="113">
        <f>'Data Cleaning'!B551</f>
        <v>46014</v>
      </c>
      <c r="C551" t="str">
        <f>'Data Cleaning'!C551</f>
        <v>Nike</v>
      </c>
      <c r="D551" t="str">
        <f>'Data Cleaning'!D551</f>
        <v>Formal</v>
      </c>
      <c r="E551" t="str">
        <f>'Data Cleaning'!E551</f>
        <v>Green</v>
      </c>
      <c r="F551" t="str">
        <f>'Data Cleaning'!F551</f>
        <v>UK</v>
      </c>
      <c r="G551" t="str">
        <f>'Data Cleaning'!G551</f>
        <v>Retail Store</v>
      </c>
      <c r="H551" s="2">
        <f>'Data Cleaning'!H551</f>
        <v>177.77</v>
      </c>
      <c r="I551">
        <f>'Data Cleaning'!I551</f>
        <v>11</v>
      </c>
      <c r="J551" s="2">
        <f>'Data Cleaning'!J551</f>
        <v>1955.47</v>
      </c>
    </row>
    <row r="552" spans="1:10" x14ac:dyDescent="0.25">
      <c r="A552" t="str">
        <f>'Data Cleaning'!A552</f>
        <v>S545</v>
      </c>
      <c r="B552" s="113">
        <f>'Data Cleaning'!B552</f>
        <v>45694</v>
      </c>
      <c r="C552" t="str">
        <f>'Data Cleaning'!C552</f>
        <v>Reebok</v>
      </c>
      <c r="D552" t="str">
        <f>'Data Cleaning'!D552</f>
        <v>Running</v>
      </c>
      <c r="E552" t="str">
        <f>'Data Cleaning'!E552</f>
        <v>Green</v>
      </c>
      <c r="F552" t="str">
        <f>'Data Cleaning'!F552</f>
        <v>Saudi Arabia</v>
      </c>
      <c r="G552" t="str">
        <f>'Data Cleaning'!G552</f>
        <v>Online</v>
      </c>
      <c r="H552" s="2">
        <f>'Data Cleaning'!H552</f>
        <v>165.99</v>
      </c>
      <c r="I552">
        <f>'Data Cleaning'!I552</f>
        <v>8</v>
      </c>
      <c r="J552" s="2">
        <f>'Data Cleaning'!J552</f>
        <v>1327.92</v>
      </c>
    </row>
    <row r="553" spans="1:10" x14ac:dyDescent="0.25">
      <c r="A553" t="str">
        <f>'Data Cleaning'!A553</f>
        <v>S546</v>
      </c>
      <c r="B553" s="113">
        <f>'Data Cleaning'!B553</f>
        <v>45710</v>
      </c>
      <c r="C553" t="str">
        <f>'Data Cleaning'!C553</f>
        <v>Puma</v>
      </c>
      <c r="D553" t="str">
        <f>'Data Cleaning'!D553</f>
        <v>Sports</v>
      </c>
      <c r="E553" t="str">
        <f>'Data Cleaning'!E553</f>
        <v>White</v>
      </c>
      <c r="F553" t="str">
        <f>'Data Cleaning'!F553</f>
        <v>Germany</v>
      </c>
      <c r="G553" t="str">
        <f>'Data Cleaning'!G553</f>
        <v>Online</v>
      </c>
      <c r="H553" s="2">
        <f>'Data Cleaning'!H553</f>
        <v>108.8</v>
      </c>
      <c r="I553">
        <f>'Data Cleaning'!I553</f>
        <v>11</v>
      </c>
      <c r="J553" s="2">
        <f>'Data Cleaning'!J553</f>
        <v>1196.8</v>
      </c>
    </row>
    <row r="554" spans="1:10" x14ac:dyDescent="0.25">
      <c r="A554" t="str">
        <f>'Data Cleaning'!A554</f>
        <v>S547</v>
      </c>
      <c r="B554" s="113">
        <f>'Data Cleaning'!B554</f>
        <v>45986</v>
      </c>
      <c r="C554" t="str">
        <f>'Data Cleaning'!C554</f>
        <v>Nike</v>
      </c>
      <c r="D554" t="str">
        <f>'Data Cleaning'!D554</f>
        <v>Sneakers</v>
      </c>
      <c r="E554" t="str">
        <f>'Data Cleaning'!E554</f>
        <v>Grey</v>
      </c>
      <c r="F554" t="str">
        <f>'Data Cleaning'!F554</f>
        <v>USA</v>
      </c>
      <c r="G554" t="str">
        <f>'Data Cleaning'!G554</f>
        <v>Mall</v>
      </c>
      <c r="H554" s="2">
        <f>'Data Cleaning'!H554</f>
        <v>54.98</v>
      </c>
      <c r="I554">
        <f>'Data Cleaning'!I554</f>
        <v>5</v>
      </c>
      <c r="J554" s="2">
        <f>'Data Cleaning'!J554</f>
        <v>274.89999999999998</v>
      </c>
    </row>
    <row r="555" spans="1:10" x14ac:dyDescent="0.25">
      <c r="A555" t="str">
        <f>'Data Cleaning'!A555</f>
        <v>S548</v>
      </c>
      <c r="B555" s="113">
        <f>'Data Cleaning'!B555</f>
        <v>45990</v>
      </c>
      <c r="C555" t="str">
        <f>'Data Cleaning'!C555</f>
        <v>Reebok</v>
      </c>
      <c r="D555" t="str">
        <f>'Data Cleaning'!D555</f>
        <v>Sports</v>
      </c>
      <c r="E555" t="str">
        <f>'Data Cleaning'!E555</f>
        <v>Green</v>
      </c>
      <c r="F555" t="str">
        <f>'Data Cleaning'!F555</f>
        <v>UK</v>
      </c>
      <c r="G555" t="str">
        <f>'Data Cleaning'!G555</f>
        <v>Mall</v>
      </c>
      <c r="H555" s="2">
        <f>'Data Cleaning'!H555</f>
        <v>177.75</v>
      </c>
      <c r="I555">
        <f>'Data Cleaning'!I555</f>
        <v>6</v>
      </c>
      <c r="J555" s="2">
        <f>'Data Cleaning'!J555</f>
        <v>1066.5</v>
      </c>
    </row>
    <row r="556" spans="1:10" x14ac:dyDescent="0.25">
      <c r="A556" t="str">
        <f>'Data Cleaning'!A556</f>
        <v>S549</v>
      </c>
      <c r="B556" s="113">
        <f>'Data Cleaning'!B556</f>
        <v>45735</v>
      </c>
      <c r="C556" t="str">
        <f>'Data Cleaning'!C556</f>
        <v>New Balance</v>
      </c>
      <c r="D556" t="str">
        <f>'Data Cleaning'!D556</f>
        <v>Boots</v>
      </c>
      <c r="E556" t="str">
        <f>'Data Cleaning'!E556</f>
        <v>Red</v>
      </c>
      <c r="F556" t="str">
        <f>'Data Cleaning'!F556</f>
        <v>Saudi Arabia</v>
      </c>
      <c r="G556" t="str">
        <f>'Data Cleaning'!G556</f>
        <v>Online</v>
      </c>
      <c r="H556" s="2">
        <f>'Data Cleaning'!H556</f>
        <v>144.47</v>
      </c>
      <c r="I556">
        <f>'Data Cleaning'!I556</f>
        <v>14</v>
      </c>
      <c r="J556" s="2">
        <f>'Data Cleaning'!J556</f>
        <v>2022.58</v>
      </c>
    </row>
    <row r="557" spans="1:10" x14ac:dyDescent="0.25">
      <c r="A557" t="str">
        <f>'Data Cleaning'!A557</f>
        <v>S550</v>
      </c>
      <c r="B557" s="113">
        <f>'Data Cleaning'!B557</f>
        <v>45702</v>
      </c>
      <c r="C557" t="str">
        <f>'Data Cleaning'!C557</f>
        <v>Adidas</v>
      </c>
      <c r="D557" t="str">
        <f>'Data Cleaning'!D557</f>
        <v>Running</v>
      </c>
      <c r="E557" t="str">
        <f>'Data Cleaning'!E557</f>
        <v>Grey</v>
      </c>
      <c r="F557" t="str">
        <f>'Data Cleaning'!F557</f>
        <v>UAE</v>
      </c>
      <c r="G557" t="str">
        <f>'Data Cleaning'!G557</f>
        <v>Retail Store</v>
      </c>
      <c r="H557" s="2">
        <f>'Data Cleaning'!H557</f>
        <v>199.91</v>
      </c>
      <c r="I557">
        <f>'Data Cleaning'!I557</f>
        <v>4</v>
      </c>
      <c r="J557" s="2">
        <f>'Data Cleaning'!J557</f>
        <v>799.64</v>
      </c>
    </row>
    <row r="558" spans="1:10" x14ac:dyDescent="0.25">
      <c r="A558" t="str">
        <f>'Data Cleaning'!A558</f>
        <v>S551</v>
      </c>
      <c r="B558" s="113">
        <f>'Data Cleaning'!B558</f>
        <v>45837</v>
      </c>
      <c r="C558" t="str">
        <f>'Data Cleaning'!C558</f>
        <v>Puma</v>
      </c>
      <c r="D558" t="str">
        <f>'Data Cleaning'!D558</f>
        <v>Casual</v>
      </c>
      <c r="E558" t="str">
        <f>'Data Cleaning'!E558</f>
        <v>White</v>
      </c>
      <c r="F558" t="str">
        <f>'Data Cleaning'!F558</f>
        <v>France</v>
      </c>
      <c r="G558" t="str">
        <f>'Data Cleaning'!G558</f>
        <v>Mall</v>
      </c>
      <c r="H558" s="2">
        <f>'Data Cleaning'!H558</f>
        <v>144.44</v>
      </c>
      <c r="I558">
        <f>'Data Cleaning'!I558</f>
        <v>14</v>
      </c>
      <c r="J558" s="2">
        <f>'Data Cleaning'!J558</f>
        <v>2022.16</v>
      </c>
    </row>
    <row r="559" spans="1:10" x14ac:dyDescent="0.25">
      <c r="A559" t="str">
        <f>'Data Cleaning'!A559</f>
        <v>S552</v>
      </c>
      <c r="B559" s="113">
        <f>'Data Cleaning'!B559</f>
        <v>45701</v>
      </c>
      <c r="C559" t="str">
        <f>'Data Cleaning'!C559</f>
        <v>New Balance</v>
      </c>
      <c r="D559" t="str">
        <f>'Data Cleaning'!D559</f>
        <v>Sneakers</v>
      </c>
      <c r="E559" t="str">
        <f>'Data Cleaning'!E559</f>
        <v>Grey</v>
      </c>
      <c r="F559" t="str">
        <f>'Data Cleaning'!F559</f>
        <v>UAE</v>
      </c>
      <c r="G559" t="str">
        <f>'Data Cleaning'!G559</f>
        <v>Mall</v>
      </c>
      <c r="H559" s="2">
        <f>'Data Cleaning'!H559</f>
        <v>217.48</v>
      </c>
      <c r="I559">
        <f>'Data Cleaning'!I559</f>
        <v>8</v>
      </c>
      <c r="J559" s="2">
        <f>'Data Cleaning'!J559</f>
        <v>1739.84</v>
      </c>
    </row>
    <row r="560" spans="1:10" x14ac:dyDescent="0.25">
      <c r="A560" t="str">
        <f>'Data Cleaning'!A560</f>
        <v>S553</v>
      </c>
      <c r="B560" s="113">
        <f>'Data Cleaning'!B560</f>
        <v>45803</v>
      </c>
      <c r="C560" t="str">
        <f>'Data Cleaning'!C560</f>
        <v>Skechers</v>
      </c>
      <c r="D560" t="str">
        <f>'Data Cleaning'!D560</f>
        <v>Sports</v>
      </c>
      <c r="E560" t="str">
        <f>'Data Cleaning'!E560</f>
        <v>White</v>
      </c>
      <c r="F560" t="str">
        <f>'Data Cleaning'!F560</f>
        <v>India</v>
      </c>
      <c r="G560" t="str">
        <f>'Data Cleaning'!G560</f>
        <v>Mall</v>
      </c>
      <c r="H560" s="2">
        <f>'Data Cleaning'!H560</f>
        <v>151.41999999999999</v>
      </c>
      <c r="I560">
        <f>'Data Cleaning'!I560</f>
        <v>1</v>
      </c>
      <c r="J560" s="2">
        <f>'Data Cleaning'!J560</f>
        <v>151.41999999999999</v>
      </c>
    </row>
    <row r="561" spans="1:10" x14ac:dyDescent="0.25">
      <c r="A561" t="str">
        <f>'Data Cleaning'!A561</f>
        <v>S554</v>
      </c>
      <c r="B561" s="113">
        <f>'Data Cleaning'!B561</f>
        <v>45918</v>
      </c>
      <c r="C561" t="str">
        <f>'Data Cleaning'!C561</f>
        <v>Skechers</v>
      </c>
      <c r="D561" t="str">
        <f>'Data Cleaning'!D561</f>
        <v>Formal</v>
      </c>
      <c r="E561" t="str">
        <f>'Data Cleaning'!E561</f>
        <v>Blue</v>
      </c>
      <c r="F561" t="str">
        <f>'Data Cleaning'!F561</f>
        <v>UAE</v>
      </c>
      <c r="G561" t="str">
        <f>'Data Cleaning'!G561</f>
        <v>Online</v>
      </c>
      <c r="H561" s="2">
        <f>'Data Cleaning'!H561</f>
        <v>153.41</v>
      </c>
      <c r="I561">
        <f>'Data Cleaning'!I561</f>
        <v>7</v>
      </c>
      <c r="J561" s="2">
        <f>'Data Cleaning'!J561</f>
        <v>1073.8699999999999</v>
      </c>
    </row>
    <row r="562" spans="1:10" x14ac:dyDescent="0.25">
      <c r="A562" t="str">
        <f>'Data Cleaning'!A562</f>
        <v>S555</v>
      </c>
      <c r="B562" s="113">
        <f>'Data Cleaning'!B562</f>
        <v>45780</v>
      </c>
      <c r="C562" t="str">
        <f>'Data Cleaning'!C562</f>
        <v>Reebok</v>
      </c>
      <c r="D562" t="str">
        <f>'Data Cleaning'!D562</f>
        <v>Running</v>
      </c>
      <c r="E562" t="str">
        <f>'Data Cleaning'!E562</f>
        <v>White</v>
      </c>
      <c r="F562" t="str">
        <f>'Data Cleaning'!F562</f>
        <v>Germany</v>
      </c>
      <c r="G562" t="str">
        <f>'Data Cleaning'!G562</f>
        <v>Mall</v>
      </c>
      <c r="H562" s="2">
        <f>'Data Cleaning'!H562</f>
        <v>222.86</v>
      </c>
      <c r="I562">
        <f>'Data Cleaning'!I562</f>
        <v>16</v>
      </c>
      <c r="J562" s="2">
        <f>'Data Cleaning'!J562</f>
        <v>3565.76</v>
      </c>
    </row>
    <row r="563" spans="1:10" x14ac:dyDescent="0.25">
      <c r="A563" t="str">
        <f>'Data Cleaning'!A563</f>
        <v>S556</v>
      </c>
      <c r="B563" s="113">
        <f>'Data Cleaning'!B563</f>
        <v>45962</v>
      </c>
      <c r="C563" t="str">
        <f>'Data Cleaning'!C563</f>
        <v>New Balance</v>
      </c>
      <c r="D563" t="str">
        <f>'Data Cleaning'!D563</f>
        <v>Running</v>
      </c>
      <c r="E563" t="str">
        <f>'Data Cleaning'!E563</f>
        <v>Blue</v>
      </c>
      <c r="F563" t="str">
        <f>'Data Cleaning'!F563</f>
        <v>France</v>
      </c>
      <c r="G563" t="str">
        <f>'Data Cleaning'!G563</f>
        <v>Online</v>
      </c>
      <c r="H563" s="2">
        <f>'Data Cleaning'!H563</f>
        <v>118.77</v>
      </c>
      <c r="I563">
        <f>'Data Cleaning'!I563</f>
        <v>3</v>
      </c>
      <c r="J563" s="2">
        <f>'Data Cleaning'!J563</f>
        <v>356.31</v>
      </c>
    </row>
    <row r="564" spans="1:10" x14ac:dyDescent="0.25">
      <c r="A564" t="str">
        <f>'Data Cleaning'!A564</f>
        <v>S557</v>
      </c>
      <c r="B564" s="113">
        <f>'Data Cleaning'!B564</f>
        <v>45856</v>
      </c>
      <c r="C564" t="str">
        <f>'Data Cleaning'!C564</f>
        <v>Reebok</v>
      </c>
      <c r="D564" t="str">
        <f>'Data Cleaning'!D564</f>
        <v>Sports</v>
      </c>
      <c r="E564" t="str">
        <f>'Data Cleaning'!E564</f>
        <v>Grey</v>
      </c>
      <c r="F564" t="str">
        <f>'Data Cleaning'!F564</f>
        <v>UAE</v>
      </c>
      <c r="G564" t="str">
        <f>'Data Cleaning'!G564</f>
        <v>Online</v>
      </c>
      <c r="H564" s="2">
        <f>'Data Cleaning'!H564</f>
        <v>59.48</v>
      </c>
      <c r="I564">
        <f>'Data Cleaning'!I564</f>
        <v>19</v>
      </c>
      <c r="J564" s="2">
        <f>'Data Cleaning'!J564</f>
        <v>1130.1199999999999</v>
      </c>
    </row>
    <row r="565" spans="1:10" x14ac:dyDescent="0.25">
      <c r="A565" t="str">
        <f>'Data Cleaning'!A565</f>
        <v>S558</v>
      </c>
      <c r="B565" s="113">
        <f>'Data Cleaning'!B565</f>
        <v>45899</v>
      </c>
      <c r="C565" t="str">
        <f>'Data Cleaning'!C565</f>
        <v>Nike</v>
      </c>
      <c r="D565" t="str">
        <f>'Data Cleaning'!D565</f>
        <v>Sneakers</v>
      </c>
      <c r="E565" t="str">
        <f>'Data Cleaning'!E565</f>
        <v>Black</v>
      </c>
      <c r="F565" t="str">
        <f>'Data Cleaning'!F565</f>
        <v>USA</v>
      </c>
      <c r="G565" t="str">
        <f>'Data Cleaning'!G565</f>
        <v>Retail Store</v>
      </c>
      <c r="H565" s="2">
        <f>'Data Cleaning'!H565</f>
        <v>36.33</v>
      </c>
      <c r="I565">
        <f>'Data Cleaning'!I565</f>
        <v>3</v>
      </c>
      <c r="J565" s="2">
        <f>'Data Cleaning'!J565</f>
        <v>108.99</v>
      </c>
    </row>
    <row r="566" spans="1:10" x14ac:dyDescent="0.25">
      <c r="A566" t="str">
        <f>'Data Cleaning'!A566</f>
        <v>S559</v>
      </c>
      <c r="B566" s="113">
        <f>'Data Cleaning'!B566</f>
        <v>45768</v>
      </c>
      <c r="C566" t="str">
        <f>'Data Cleaning'!C566</f>
        <v>Nike</v>
      </c>
      <c r="D566" t="str">
        <f>'Data Cleaning'!D566</f>
        <v>Formal</v>
      </c>
      <c r="E566" t="str">
        <f>'Data Cleaning'!E566</f>
        <v>Grey</v>
      </c>
      <c r="F566" t="str">
        <f>'Data Cleaning'!F566</f>
        <v>France</v>
      </c>
      <c r="G566" t="str">
        <f>'Data Cleaning'!G566</f>
        <v>Mall</v>
      </c>
      <c r="H566" s="2">
        <f>'Data Cleaning'!H566</f>
        <v>196.13</v>
      </c>
      <c r="I566">
        <f>'Data Cleaning'!I566</f>
        <v>2</v>
      </c>
      <c r="J566" s="2">
        <f>'Data Cleaning'!J566</f>
        <v>392.26</v>
      </c>
    </row>
    <row r="567" spans="1:10" x14ac:dyDescent="0.25">
      <c r="A567" t="str">
        <f>'Data Cleaning'!A567</f>
        <v>S560</v>
      </c>
      <c r="B567" s="113">
        <f>'Data Cleaning'!B567</f>
        <v>46022</v>
      </c>
      <c r="C567" t="str">
        <f>'Data Cleaning'!C567</f>
        <v>Reebok</v>
      </c>
      <c r="D567" t="str">
        <f>'Data Cleaning'!D567</f>
        <v>Formal</v>
      </c>
      <c r="E567" t="str">
        <f>'Data Cleaning'!E567</f>
        <v>Green</v>
      </c>
      <c r="F567" t="str">
        <f>'Data Cleaning'!F567</f>
        <v>Germany</v>
      </c>
      <c r="G567" t="str">
        <f>'Data Cleaning'!G567</f>
        <v>Online</v>
      </c>
      <c r="H567" s="2">
        <f>'Data Cleaning'!H567</f>
        <v>166.47</v>
      </c>
      <c r="I567">
        <f>'Data Cleaning'!I567</f>
        <v>17</v>
      </c>
      <c r="J567" s="2">
        <f>'Data Cleaning'!J567</f>
        <v>2829.99</v>
      </c>
    </row>
    <row r="568" spans="1:10" x14ac:dyDescent="0.25">
      <c r="A568" t="str">
        <f>'Data Cleaning'!A568</f>
        <v>S561</v>
      </c>
      <c r="B568" s="113">
        <f>'Data Cleaning'!B568</f>
        <v>45985</v>
      </c>
      <c r="C568" t="str">
        <f>'Data Cleaning'!C568</f>
        <v>New Balance</v>
      </c>
      <c r="D568" t="str">
        <f>'Data Cleaning'!D568</f>
        <v>Sneakers</v>
      </c>
      <c r="E568" t="str">
        <f>'Data Cleaning'!E568</f>
        <v>White</v>
      </c>
      <c r="F568" t="str">
        <f>'Data Cleaning'!F568</f>
        <v>France</v>
      </c>
      <c r="G568" t="str">
        <f>'Data Cleaning'!G568</f>
        <v>Online</v>
      </c>
      <c r="H568" s="2">
        <f>'Data Cleaning'!H568</f>
        <v>184.9</v>
      </c>
      <c r="I568">
        <f>'Data Cleaning'!I568</f>
        <v>18</v>
      </c>
      <c r="J568" s="2">
        <f>'Data Cleaning'!J568</f>
        <v>3328.2</v>
      </c>
    </row>
    <row r="569" spans="1:10" x14ac:dyDescent="0.25">
      <c r="A569" t="str">
        <f>'Data Cleaning'!A569</f>
        <v>S562</v>
      </c>
      <c r="B569" s="113">
        <f>'Data Cleaning'!B569</f>
        <v>45816</v>
      </c>
      <c r="C569" t="str">
        <f>'Data Cleaning'!C569</f>
        <v>New Balance</v>
      </c>
      <c r="D569" t="str">
        <f>'Data Cleaning'!D569</f>
        <v>Casual</v>
      </c>
      <c r="E569" t="str">
        <f>'Data Cleaning'!E569</f>
        <v>White</v>
      </c>
      <c r="F569" t="str">
        <f>'Data Cleaning'!F569</f>
        <v>India</v>
      </c>
      <c r="G569" t="str">
        <f>'Data Cleaning'!G569</f>
        <v>Retail Store</v>
      </c>
      <c r="H569" s="2">
        <f>'Data Cleaning'!H569</f>
        <v>76.849999999999994</v>
      </c>
      <c r="I569">
        <f>'Data Cleaning'!I569</f>
        <v>3</v>
      </c>
      <c r="J569" s="2">
        <f>'Data Cleaning'!J569</f>
        <v>230.55</v>
      </c>
    </row>
    <row r="570" spans="1:10" x14ac:dyDescent="0.25">
      <c r="A570" t="str">
        <f>'Data Cleaning'!A570</f>
        <v>S563</v>
      </c>
      <c r="B570" s="113">
        <f>'Data Cleaning'!B570</f>
        <v>45858</v>
      </c>
      <c r="C570" t="str">
        <f>'Data Cleaning'!C570</f>
        <v>Skechers</v>
      </c>
      <c r="D570" t="str">
        <f>'Data Cleaning'!D570</f>
        <v>Boots</v>
      </c>
      <c r="E570" t="str">
        <f>'Data Cleaning'!E570</f>
        <v>Green</v>
      </c>
      <c r="F570" t="str">
        <f>'Data Cleaning'!F570</f>
        <v>UAE</v>
      </c>
      <c r="G570" t="str">
        <f>'Data Cleaning'!G570</f>
        <v>Online</v>
      </c>
      <c r="H570" s="2">
        <f>'Data Cleaning'!H570</f>
        <v>60</v>
      </c>
      <c r="I570">
        <f>'Data Cleaning'!I570</f>
        <v>19</v>
      </c>
      <c r="J570" s="2">
        <f>'Data Cleaning'!J570</f>
        <v>1140</v>
      </c>
    </row>
    <row r="571" spans="1:10" x14ac:dyDescent="0.25">
      <c r="A571" t="str">
        <f>'Data Cleaning'!A571</f>
        <v>S564</v>
      </c>
      <c r="B571" s="113">
        <f>'Data Cleaning'!B571</f>
        <v>45816</v>
      </c>
      <c r="C571" t="str">
        <f>'Data Cleaning'!C571</f>
        <v>Skechers</v>
      </c>
      <c r="D571" t="str">
        <f>'Data Cleaning'!D571</f>
        <v>Casual</v>
      </c>
      <c r="E571" t="str">
        <f>'Data Cleaning'!E571</f>
        <v>Black</v>
      </c>
      <c r="F571" t="str">
        <f>'Data Cleaning'!F571</f>
        <v>UK</v>
      </c>
      <c r="G571" t="str">
        <f>'Data Cleaning'!G571</f>
        <v>Online</v>
      </c>
      <c r="H571" s="2">
        <f>'Data Cleaning'!H571</f>
        <v>33.200000000000003</v>
      </c>
      <c r="I571">
        <f>'Data Cleaning'!I571</f>
        <v>14</v>
      </c>
      <c r="J571" s="2">
        <f>'Data Cleaning'!J571</f>
        <v>464.8</v>
      </c>
    </row>
    <row r="572" spans="1:10" x14ac:dyDescent="0.25">
      <c r="A572" t="str">
        <f>'Data Cleaning'!A572</f>
        <v>S565</v>
      </c>
      <c r="B572" s="113">
        <f>'Data Cleaning'!B572</f>
        <v>45880</v>
      </c>
      <c r="C572" t="str">
        <f>'Data Cleaning'!C572</f>
        <v>Reebok</v>
      </c>
      <c r="D572" t="str">
        <f>'Data Cleaning'!D572</f>
        <v>Sneakers</v>
      </c>
      <c r="E572" t="str">
        <f>'Data Cleaning'!E572</f>
        <v>Grey</v>
      </c>
      <c r="F572" t="str">
        <f>'Data Cleaning'!F572</f>
        <v>USA</v>
      </c>
      <c r="G572" t="str">
        <f>'Data Cleaning'!G572</f>
        <v>Retail Store</v>
      </c>
      <c r="H572" s="2">
        <f>'Data Cleaning'!H572</f>
        <v>107.13</v>
      </c>
      <c r="I572">
        <f>'Data Cleaning'!I572</f>
        <v>4</v>
      </c>
      <c r="J572" s="2">
        <f>'Data Cleaning'!J572</f>
        <v>428.52</v>
      </c>
    </row>
    <row r="573" spans="1:10" x14ac:dyDescent="0.25">
      <c r="A573" t="str">
        <f>'Data Cleaning'!A573</f>
        <v>S566</v>
      </c>
      <c r="B573" s="113">
        <f>'Data Cleaning'!B573</f>
        <v>45999</v>
      </c>
      <c r="C573" t="str">
        <f>'Data Cleaning'!C573</f>
        <v>Nike</v>
      </c>
      <c r="D573" t="str">
        <f>'Data Cleaning'!D573</f>
        <v>Running</v>
      </c>
      <c r="E573" t="str">
        <f>'Data Cleaning'!E573</f>
        <v>Green</v>
      </c>
      <c r="F573" t="str">
        <f>'Data Cleaning'!F573</f>
        <v>UK</v>
      </c>
      <c r="G573" t="str">
        <f>'Data Cleaning'!G573</f>
        <v>Mall</v>
      </c>
      <c r="H573" s="2">
        <f>'Data Cleaning'!H573</f>
        <v>159.78</v>
      </c>
      <c r="I573">
        <f>'Data Cleaning'!I573</f>
        <v>6</v>
      </c>
      <c r="J573" s="2">
        <f>'Data Cleaning'!J573</f>
        <v>958.68</v>
      </c>
    </row>
    <row r="574" spans="1:10" x14ac:dyDescent="0.25">
      <c r="A574" t="str">
        <f>'Data Cleaning'!A574</f>
        <v>S567</v>
      </c>
      <c r="B574" s="113">
        <f>'Data Cleaning'!B574</f>
        <v>45663</v>
      </c>
      <c r="C574" t="str">
        <f>'Data Cleaning'!C574</f>
        <v>Reebok</v>
      </c>
      <c r="D574" t="str">
        <f>'Data Cleaning'!D574</f>
        <v>Sports</v>
      </c>
      <c r="E574" t="str">
        <f>'Data Cleaning'!E574</f>
        <v>Grey</v>
      </c>
      <c r="F574" t="str">
        <f>'Data Cleaning'!F574</f>
        <v>India</v>
      </c>
      <c r="G574" t="str">
        <f>'Data Cleaning'!G574</f>
        <v>Mall</v>
      </c>
      <c r="H574" s="2">
        <f>'Data Cleaning'!H574</f>
        <v>116.29</v>
      </c>
      <c r="I574">
        <f>'Data Cleaning'!I574</f>
        <v>6</v>
      </c>
      <c r="J574" s="2">
        <f>'Data Cleaning'!J574</f>
        <v>697.74</v>
      </c>
    </row>
    <row r="575" spans="1:10" x14ac:dyDescent="0.25">
      <c r="A575" t="str">
        <f>'Data Cleaning'!A575</f>
        <v>S568</v>
      </c>
      <c r="B575" s="113">
        <f>'Data Cleaning'!B575</f>
        <v>45790</v>
      </c>
      <c r="C575" t="str">
        <f>'Data Cleaning'!C575</f>
        <v>Puma</v>
      </c>
      <c r="D575" t="str">
        <f>'Data Cleaning'!D575</f>
        <v>Casual</v>
      </c>
      <c r="E575" t="str">
        <f>'Data Cleaning'!E575</f>
        <v>Green</v>
      </c>
      <c r="F575" t="str">
        <f>'Data Cleaning'!F575</f>
        <v>Saudi Arabia</v>
      </c>
      <c r="G575" t="str">
        <f>'Data Cleaning'!G575</f>
        <v>Retail Store</v>
      </c>
      <c r="H575" s="2">
        <f>'Data Cleaning'!H575</f>
        <v>126.24</v>
      </c>
      <c r="I575">
        <f>'Data Cleaning'!I575</f>
        <v>6</v>
      </c>
      <c r="J575" s="2">
        <f>'Data Cleaning'!J575</f>
        <v>757.44</v>
      </c>
    </row>
    <row r="576" spans="1:10" x14ac:dyDescent="0.25">
      <c r="A576" t="str">
        <f>'Data Cleaning'!A576</f>
        <v>S569</v>
      </c>
      <c r="B576" s="113">
        <f>'Data Cleaning'!B576</f>
        <v>45718</v>
      </c>
      <c r="C576" t="str">
        <f>'Data Cleaning'!C576</f>
        <v>Puma</v>
      </c>
      <c r="D576" t="str">
        <f>'Data Cleaning'!D576</f>
        <v>Formal</v>
      </c>
      <c r="E576" t="str">
        <f>'Data Cleaning'!E576</f>
        <v>Blue</v>
      </c>
      <c r="F576" t="str">
        <f>'Data Cleaning'!F576</f>
        <v>India</v>
      </c>
      <c r="G576" t="str">
        <f>'Data Cleaning'!G576</f>
        <v>Online</v>
      </c>
      <c r="H576" s="2">
        <f>'Data Cleaning'!H576</f>
        <v>228.91</v>
      </c>
      <c r="I576">
        <f>'Data Cleaning'!I576</f>
        <v>1</v>
      </c>
      <c r="J576" s="2">
        <f>'Data Cleaning'!J576</f>
        <v>228.91</v>
      </c>
    </row>
    <row r="577" spans="1:10" x14ac:dyDescent="0.25">
      <c r="A577" t="str">
        <f>'Data Cleaning'!A577</f>
        <v>S570</v>
      </c>
      <c r="B577" s="113">
        <f>'Data Cleaning'!B577</f>
        <v>45792</v>
      </c>
      <c r="C577" t="str">
        <f>'Data Cleaning'!C577</f>
        <v>Skechers</v>
      </c>
      <c r="D577" t="str">
        <f>'Data Cleaning'!D577</f>
        <v>Running</v>
      </c>
      <c r="E577" t="str">
        <f>'Data Cleaning'!E577</f>
        <v>Red</v>
      </c>
      <c r="F577" t="str">
        <f>'Data Cleaning'!F577</f>
        <v>Germany</v>
      </c>
      <c r="G577" t="str">
        <f>'Data Cleaning'!G577</f>
        <v>Mall</v>
      </c>
      <c r="H577" s="2">
        <f>'Data Cleaning'!H577</f>
        <v>106.62</v>
      </c>
      <c r="I577">
        <f>'Data Cleaning'!I577</f>
        <v>19</v>
      </c>
      <c r="J577" s="2">
        <f>'Data Cleaning'!J577</f>
        <v>2025.78</v>
      </c>
    </row>
    <row r="578" spans="1:10" x14ac:dyDescent="0.25">
      <c r="A578" t="str">
        <f>'Data Cleaning'!A578</f>
        <v>S571</v>
      </c>
      <c r="B578" s="113">
        <f>'Data Cleaning'!B578</f>
        <v>45842</v>
      </c>
      <c r="C578" t="str">
        <f>'Data Cleaning'!C578</f>
        <v>Reebok</v>
      </c>
      <c r="D578" t="str">
        <f>'Data Cleaning'!D578</f>
        <v>Sneakers</v>
      </c>
      <c r="E578" t="str">
        <f>'Data Cleaning'!E578</f>
        <v>White</v>
      </c>
      <c r="F578" t="str">
        <f>'Data Cleaning'!F578</f>
        <v>France</v>
      </c>
      <c r="G578" t="str">
        <f>'Data Cleaning'!G578</f>
        <v>Online</v>
      </c>
      <c r="H578" s="2">
        <f>'Data Cleaning'!H578</f>
        <v>143.08000000000001</v>
      </c>
      <c r="I578">
        <f>'Data Cleaning'!I578</f>
        <v>2</v>
      </c>
      <c r="J578" s="2">
        <f>'Data Cleaning'!J578</f>
        <v>286.16000000000003</v>
      </c>
    </row>
    <row r="579" spans="1:10" x14ac:dyDescent="0.25">
      <c r="A579" t="str">
        <f>'Data Cleaning'!A579</f>
        <v>S572</v>
      </c>
      <c r="B579" s="113">
        <f>'Data Cleaning'!B579</f>
        <v>45788</v>
      </c>
      <c r="C579" t="str">
        <f>'Data Cleaning'!C579</f>
        <v>New Balance</v>
      </c>
      <c r="D579" t="str">
        <f>'Data Cleaning'!D579</f>
        <v>Boots</v>
      </c>
      <c r="E579" t="str">
        <f>'Data Cleaning'!E579</f>
        <v>Green</v>
      </c>
      <c r="F579" t="str">
        <f>'Data Cleaning'!F579</f>
        <v>USA</v>
      </c>
      <c r="G579" t="str">
        <f>'Data Cleaning'!G579</f>
        <v>Online</v>
      </c>
      <c r="H579" s="2">
        <f>'Data Cleaning'!H579</f>
        <v>202.4</v>
      </c>
      <c r="I579">
        <f>'Data Cleaning'!I579</f>
        <v>4</v>
      </c>
      <c r="J579" s="2">
        <f>'Data Cleaning'!J579</f>
        <v>809.6</v>
      </c>
    </row>
    <row r="580" spans="1:10" x14ac:dyDescent="0.25">
      <c r="A580" t="str">
        <f>'Data Cleaning'!A580</f>
        <v>S573</v>
      </c>
      <c r="B580" s="113">
        <f>'Data Cleaning'!B580</f>
        <v>45918</v>
      </c>
      <c r="C580" t="str">
        <f>'Data Cleaning'!C580</f>
        <v>Nike</v>
      </c>
      <c r="D580" t="str">
        <f>'Data Cleaning'!D580</f>
        <v>Running</v>
      </c>
      <c r="E580" t="str">
        <f>'Data Cleaning'!E580</f>
        <v>White</v>
      </c>
      <c r="F580" t="str">
        <f>'Data Cleaning'!F580</f>
        <v>USA</v>
      </c>
      <c r="G580" t="str">
        <f>'Data Cleaning'!G580</f>
        <v>Retail Store</v>
      </c>
      <c r="H580" s="2">
        <f>'Data Cleaning'!H580</f>
        <v>117.24</v>
      </c>
      <c r="I580">
        <f>'Data Cleaning'!I580</f>
        <v>1</v>
      </c>
      <c r="J580" s="2">
        <f>'Data Cleaning'!J580</f>
        <v>117.24</v>
      </c>
    </row>
    <row r="581" spans="1:10" x14ac:dyDescent="0.25">
      <c r="A581" t="str">
        <f>'Data Cleaning'!A581</f>
        <v>S574</v>
      </c>
      <c r="B581" s="113">
        <f>'Data Cleaning'!B581</f>
        <v>45844</v>
      </c>
      <c r="C581" t="str">
        <f>'Data Cleaning'!C581</f>
        <v>Adidas</v>
      </c>
      <c r="D581" t="str">
        <f>'Data Cleaning'!D581</f>
        <v>Casual</v>
      </c>
      <c r="E581" t="str">
        <f>'Data Cleaning'!E581</f>
        <v>Black</v>
      </c>
      <c r="F581" t="str">
        <f>'Data Cleaning'!F581</f>
        <v>India</v>
      </c>
      <c r="G581" t="str">
        <f>'Data Cleaning'!G581</f>
        <v>Mall</v>
      </c>
      <c r="H581" s="2">
        <f>'Data Cleaning'!H581</f>
        <v>166.86</v>
      </c>
      <c r="I581">
        <f>'Data Cleaning'!I581</f>
        <v>13</v>
      </c>
      <c r="J581" s="2">
        <f>'Data Cleaning'!J581</f>
        <v>2169.1799999999998</v>
      </c>
    </row>
    <row r="582" spans="1:10" x14ac:dyDescent="0.25">
      <c r="A582" t="str">
        <f>'Data Cleaning'!A582</f>
        <v>S575</v>
      </c>
      <c r="B582" s="113">
        <f>'Data Cleaning'!B582</f>
        <v>45993</v>
      </c>
      <c r="C582" t="str">
        <f>'Data Cleaning'!C582</f>
        <v>Adidas</v>
      </c>
      <c r="D582" t="str">
        <f>'Data Cleaning'!D582</f>
        <v>Sports</v>
      </c>
      <c r="E582" t="str">
        <f>'Data Cleaning'!E582</f>
        <v>White</v>
      </c>
      <c r="F582" t="str">
        <f>'Data Cleaning'!F582</f>
        <v>Germany</v>
      </c>
      <c r="G582" t="str">
        <f>'Data Cleaning'!G582</f>
        <v>Mall</v>
      </c>
      <c r="H582" s="2">
        <f>'Data Cleaning'!H582</f>
        <v>219.72</v>
      </c>
      <c r="I582">
        <f>'Data Cleaning'!I582</f>
        <v>14</v>
      </c>
      <c r="J582" s="2">
        <f>'Data Cleaning'!J582</f>
        <v>3076.08</v>
      </c>
    </row>
    <row r="583" spans="1:10" x14ac:dyDescent="0.25">
      <c r="A583" t="str">
        <f>'Data Cleaning'!A583</f>
        <v>S576</v>
      </c>
      <c r="B583" s="113">
        <f>'Data Cleaning'!B583</f>
        <v>45821</v>
      </c>
      <c r="C583" t="str">
        <f>'Data Cleaning'!C583</f>
        <v>Nike</v>
      </c>
      <c r="D583" t="str">
        <f>'Data Cleaning'!D583</f>
        <v>Sneakers</v>
      </c>
      <c r="E583" t="str">
        <f>'Data Cleaning'!E583</f>
        <v>Blue</v>
      </c>
      <c r="F583" t="str">
        <f>'Data Cleaning'!F583</f>
        <v>USA</v>
      </c>
      <c r="G583" t="str">
        <f>'Data Cleaning'!G583</f>
        <v>Mall</v>
      </c>
      <c r="H583" s="2">
        <f>'Data Cleaning'!H583</f>
        <v>238.89</v>
      </c>
      <c r="I583">
        <f>'Data Cleaning'!I583</f>
        <v>9</v>
      </c>
      <c r="J583" s="2">
        <f>'Data Cleaning'!J583</f>
        <v>2150.0100000000002</v>
      </c>
    </row>
    <row r="584" spans="1:10" x14ac:dyDescent="0.25">
      <c r="A584" t="str">
        <f>'Data Cleaning'!A584</f>
        <v>S577</v>
      </c>
      <c r="B584" s="113">
        <f>'Data Cleaning'!B584</f>
        <v>46002</v>
      </c>
      <c r="C584" t="str">
        <f>'Data Cleaning'!C584</f>
        <v>Adidas</v>
      </c>
      <c r="D584" t="str">
        <f>'Data Cleaning'!D584</f>
        <v>Casual</v>
      </c>
      <c r="E584" t="str">
        <f>'Data Cleaning'!E584</f>
        <v>Grey</v>
      </c>
      <c r="F584" t="str">
        <f>'Data Cleaning'!F584</f>
        <v>USA</v>
      </c>
      <c r="G584" t="str">
        <f>'Data Cleaning'!G584</f>
        <v>Retail Store</v>
      </c>
      <c r="H584" s="2">
        <f>'Data Cleaning'!H584</f>
        <v>62.36</v>
      </c>
      <c r="I584">
        <f>'Data Cleaning'!I584</f>
        <v>2</v>
      </c>
      <c r="J584" s="2">
        <f>'Data Cleaning'!J584</f>
        <v>124.72</v>
      </c>
    </row>
    <row r="585" spans="1:10" x14ac:dyDescent="0.25">
      <c r="A585" t="str">
        <f>'Data Cleaning'!A585</f>
        <v>S578</v>
      </c>
      <c r="B585" s="113">
        <f>'Data Cleaning'!B585</f>
        <v>45693</v>
      </c>
      <c r="C585" t="str">
        <f>'Data Cleaning'!C585</f>
        <v>Puma</v>
      </c>
      <c r="D585" t="str">
        <f>'Data Cleaning'!D585</f>
        <v>Sports</v>
      </c>
      <c r="E585" t="str">
        <f>'Data Cleaning'!E585</f>
        <v>Blue</v>
      </c>
      <c r="F585" t="str">
        <f>'Data Cleaning'!F585</f>
        <v>USA</v>
      </c>
      <c r="G585" t="str">
        <f>'Data Cleaning'!G585</f>
        <v>Mall</v>
      </c>
      <c r="H585" s="2">
        <f>'Data Cleaning'!H585</f>
        <v>233.85</v>
      </c>
      <c r="I585">
        <f>'Data Cleaning'!I585</f>
        <v>15</v>
      </c>
      <c r="J585" s="2">
        <f>'Data Cleaning'!J585</f>
        <v>3507.75</v>
      </c>
    </row>
    <row r="586" spans="1:10" x14ac:dyDescent="0.25">
      <c r="A586" t="str">
        <f>'Data Cleaning'!A586</f>
        <v>S579</v>
      </c>
      <c r="B586" s="113">
        <f>'Data Cleaning'!B586</f>
        <v>45891</v>
      </c>
      <c r="C586" t="str">
        <f>'Data Cleaning'!C586</f>
        <v>Puma</v>
      </c>
      <c r="D586" t="str">
        <f>'Data Cleaning'!D586</f>
        <v>Casual</v>
      </c>
      <c r="E586" t="str">
        <f>'Data Cleaning'!E586</f>
        <v>Blue</v>
      </c>
      <c r="F586" t="str">
        <f>'Data Cleaning'!F586</f>
        <v>India</v>
      </c>
      <c r="G586" t="str">
        <f>'Data Cleaning'!G586</f>
        <v>Retail Store</v>
      </c>
      <c r="H586" s="2">
        <f>'Data Cleaning'!H586</f>
        <v>138.27000000000001</v>
      </c>
      <c r="I586">
        <f>'Data Cleaning'!I586</f>
        <v>1</v>
      </c>
      <c r="J586" s="2">
        <f>'Data Cleaning'!J586</f>
        <v>138.27000000000001</v>
      </c>
    </row>
    <row r="587" spans="1:10" x14ac:dyDescent="0.25">
      <c r="A587" t="str">
        <f>'Data Cleaning'!A587</f>
        <v>S580</v>
      </c>
      <c r="B587" s="113">
        <f>'Data Cleaning'!B587</f>
        <v>45976</v>
      </c>
      <c r="C587" t="str">
        <f>'Data Cleaning'!C587</f>
        <v>Reebok</v>
      </c>
      <c r="D587" t="str">
        <f>'Data Cleaning'!D587</f>
        <v>Sports</v>
      </c>
      <c r="E587" t="str">
        <f>'Data Cleaning'!E587</f>
        <v>Grey</v>
      </c>
      <c r="F587" t="str">
        <f>'Data Cleaning'!F587</f>
        <v>Germany</v>
      </c>
      <c r="G587" t="str">
        <f>'Data Cleaning'!G587</f>
        <v>Online</v>
      </c>
      <c r="H587" s="2">
        <f>'Data Cleaning'!H587</f>
        <v>86.81</v>
      </c>
      <c r="I587">
        <f>'Data Cleaning'!I587</f>
        <v>8</v>
      </c>
      <c r="J587" s="2">
        <f>'Data Cleaning'!J587</f>
        <v>694.48</v>
      </c>
    </row>
    <row r="588" spans="1:10" x14ac:dyDescent="0.25">
      <c r="A588" t="str">
        <f>'Data Cleaning'!A588</f>
        <v>S581</v>
      </c>
      <c r="B588" s="113">
        <f>'Data Cleaning'!B588</f>
        <v>45937</v>
      </c>
      <c r="C588" t="str">
        <f>'Data Cleaning'!C588</f>
        <v>Adidas</v>
      </c>
      <c r="D588" t="str">
        <f>'Data Cleaning'!D588</f>
        <v>Running</v>
      </c>
      <c r="E588" t="str">
        <f>'Data Cleaning'!E588</f>
        <v>Red</v>
      </c>
      <c r="F588" t="str">
        <f>'Data Cleaning'!F588</f>
        <v>USA</v>
      </c>
      <c r="G588" t="str">
        <f>'Data Cleaning'!G588</f>
        <v>Online</v>
      </c>
      <c r="H588" s="2">
        <f>'Data Cleaning'!H588</f>
        <v>131.01</v>
      </c>
      <c r="I588">
        <f>'Data Cleaning'!I588</f>
        <v>8</v>
      </c>
      <c r="J588" s="2">
        <f>'Data Cleaning'!J588</f>
        <v>1048.08</v>
      </c>
    </row>
    <row r="589" spans="1:10" x14ac:dyDescent="0.25">
      <c r="A589" t="str">
        <f>'Data Cleaning'!A589</f>
        <v>S582</v>
      </c>
      <c r="B589" s="113">
        <f>'Data Cleaning'!B589</f>
        <v>45935</v>
      </c>
      <c r="C589" t="str">
        <f>'Data Cleaning'!C589</f>
        <v>Skechers</v>
      </c>
      <c r="D589" t="str">
        <f>'Data Cleaning'!D589</f>
        <v>Boots</v>
      </c>
      <c r="E589" t="str">
        <f>'Data Cleaning'!E589</f>
        <v>Black</v>
      </c>
      <c r="F589" t="str">
        <f>'Data Cleaning'!F589</f>
        <v>France</v>
      </c>
      <c r="G589" t="str">
        <f>'Data Cleaning'!G589</f>
        <v>Online</v>
      </c>
      <c r="H589" s="2">
        <f>'Data Cleaning'!H589</f>
        <v>245.61</v>
      </c>
      <c r="I589">
        <f>'Data Cleaning'!I589</f>
        <v>12</v>
      </c>
      <c r="J589" s="2">
        <f>'Data Cleaning'!J589</f>
        <v>2947.32</v>
      </c>
    </row>
    <row r="590" spans="1:10" x14ac:dyDescent="0.25">
      <c r="A590" t="str">
        <f>'Data Cleaning'!A590</f>
        <v>S583</v>
      </c>
      <c r="B590" s="113">
        <f>'Data Cleaning'!B590</f>
        <v>45994</v>
      </c>
      <c r="C590" t="str">
        <f>'Data Cleaning'!C590</f>
        <v>Skechers</v>
      </c>
      <c r="D590" t="str">
        <f>'Data Cleaning'!D590</f>
        <v>Boots</v>
      </c>
      <c r="E590" t="str">
        <f>'Data Cleaning'!E590</f>
        <v>Blue</v>
      </c>
      <c r="F590" t="str">
        <f>'Data Cleaning'!F590</f>
        <v>USA</v>
      </c>
      <c r="G590" t="str">
        <f>'Data Cleaning'!G590</f>
        <v>Online</v>
      </c>
      <c r="H590" s="2">
        <f>'Data Cleaning'!H590</f>
        <v>138.38</v>
      </c>
      <c r="I590">
        <f>'Data Cleaning'!I590</f>
        <v>13</v>
      </c>
      <c r="J590" s="2">
        <f>'Data Cleaning'!J590</f>
        <v>1798.94</v>
      </c>
    </row>
    <row r="591" spans="1:10" x14ac:dyDescent="0.25">
      <c r="A591" t="str">
        <f>'Data Cleaning'!A591</f>
        <v>S584</v>
      </c>
      <c r="B591" s="113">
        <f>'Data Cleaning'!B591</f>
        <v>45929</v>
      </c>
      <c r="C591" t="str">
        <f>'Data Cleaning'!C591</f>
        <v>Reebok</v>
      </c>
      <c r="D591" t="str">
        <f>'Data Cleaning'!D591</f>
        <v>Formal</v>
      </c>
      <c r="E591" t="str">
        <f>'Data Cleaning'!E591</f>
        <v>Black</v>
      </c>
      <c r="F591" t="str">
        <f>'Data Cleaning'!F591</f>
        <v>UK</v>
      </c>
      <c r="G591" t="str">
        <f>'Data Cleaning'!G591</f>
        <v>Mall</v>
      </c>
      <c r="H591" s="2">
        <f>'Data Cleaning'!H591</f>
        <v>102.33</v>
      </c>
      <c r="I591">
        <f>'Data Cleaning'!I591</f>
        <v>8</v>
      </c>
      <c r="J591" s="2">
        <f>'Data Cleaning'!J591</f>
        <v>818.64</v>
      </c>
    </row>
    <row r="592" spans="1:10" x14ac:dyDescent="0.25">
      <c r="A592" t="str">
        <f>'Data Cleaning'!A592</f>
        <v>S585</v>
      </c>
      <c r="B592" s="113">
        <f>'Data Cleaning'!B592</f>
        <v>45801</v>
      </c>
      <c r="C592" t="str">
        <f>'Data Cleaning'!C592</f>
        <v>Nike</v>
      </c>
      <c r="D592" t="str">
        <f>'Data Cleaning'!D592</f>
        <v>Casual</v>
      </c>
      <c r="E592" t="str">
        <f>'Data Cleaning'!E592</f>
        <v>Grey</v>
      </c>
      <c r="F592" t="str">
        <f>'Data Cleaning'!F592</f>
        <v>Germany</v>
      </c>
      <c r="G592" t="str">
        <f>'Data Cleaning'!G592</f>
        <v>Mall</v>
      </c>
      <c r="H592" s="2">
        <f>'Data Cleaning'!H592</f>
        <v>169.35</v>
      </c>
      <c r="I592">
        <f>'Data Cleaning'!I592</f>
        <v>3</v>
      </c>
      <c r="J592" s="2">
        <f>'Data Cleaning'!J592</f>
        <v>508.05</v>
      </c>
    </row>
    <row r="593" spans="1:10" x14ac:dyDescent="0.25">
      <c r="A593" t="str">
        <f>'Data Cleaning'!A593</f>
        <v>S586</v>
      </c>
      <c r="B593" s="113">
        <f>'Data Cleaning'!B593</f>
        <v>45848</v>
      </c>
      <c r="C593" t="str">
        <f>'Data Cleaning'!C593</f>
        <v>Skechers</v>
      </c>
      <c r="D593" t="str">
        <f>'Data Cleaning'!D593</f>
        <v>Running</v>
      </c>
      <c r="E593" t="str">
        <f>'Data Cleaning'!E593</f>
        <v>Grey</v>
      </c>
      <c r="F593" t="str">
        <f>'Data Cleaning'!F593</f>
        <v>USA</v>
      </c>
      <c r="G593" t="str">
        <f>'Data Cleaning'!G593</f>
        <v>Mall</v>
      </c>
      <c r="H593" s="2">
        <f>'Data Cleaning'!H593</f>
        <v>82.83</v>
      </c>
      <c r="I593">
        <f>'Data Cleaning'!I593</f>
        <v>15</v>
      </c>
      <c r="J593" s="2">
        <f>'Data Cleaning'!J593</f>
        <v>1242.45</v>
      </c>
    </row>
    <row r="594" spans="1:10" x14ac:dyDescent="0.25">
      <c r="A594" t="str">
        <f>'Data Cleaning'!A594</f>
        <v>S587</v>
      </c>
      <c r="B594" s="113">
        <f>'Data Cleaning'!B594</f>
        <v>45726</v>
      </c>
      <c r="C594" t="str">
        <f>'Data Cleaning'!C594</f>
        <v>Nike</v>
      </c>
      <c r="D594" t="str">
        <f>'Data Cleaning'!D594</f>
        <v>Sneakers</v>
      </c>
      <c r="E594" t="str">
        <f>'Data Cleaning'!E594</f>
        <v>Grey</v>
      </c>
      <c r="F594" t="str">
        <f>'Data Cleaning'!F594</f>
        <v>USA</v>
      </c>
      <c r="G594" t="str">
        <f>'Data Cleaning'!G594</f>
        <v>Retail Store</v>
      </c>
      <c r="H594" s="2">
        <f>'Data Cleaning'!H594</f>
        <v>46.69</v>
      </c>
      <c r="I594">
        <f>'Data Cleaning'!I594</f>
        <v>13</v>
      </c>
      <c r="J594" s="2">
        <f>'Data Cleaning'!J594</f>
        <v>606.97</v>
      </c>
    </row>
    <row r="595" spans="1:10" x14ac:dyDescent="0.25">
      <c r="A595" t="str">
        <f>'Data Cleaning'!A595</f>
        <v>S588</v>
      </c>
      <c r="B595" s="113">
        <f>'Data Cleaning'!B595</f>
        <v>45997</v>
      </c>
      <c r="C595" t="str">
        <f>'Data Cleaning'!C595</f>
        <v>Adidas</v>
      </c>
      <c r="D595" t="str">
        <f>'Data Cleaning'!D595</f>
        <v>Sports</v>
      </c>
      <c r="E595" t="str">
        <f>'Data Cleaning'!E595</f>
        <v>Blue</v>
      </c>
      <c r="F595" t="str">
        <f>'Data Cleaning'!F595</f>
        <v>Saudi Arabia</v>
      </c>
      <c r="G595" t="str">
        <f>'Data Cleaning'!G595</f>
        <v>Retail Store</v>
      </c>
      <c r="H595" s="2">
        <f>'Data Cleaning'!H595</f>
        <v>58.35</v>
      </c>
      <c r="I595">
        <f>'Data Cleaning'!I595</f>
        <v>5</v>
      </c>
      <c r="J595" s="2">
        <f>'Data Cleaning'!J595</f>
        <v>291.75</v>
      </c>
    </row>
    <row r="596" spans="1:10" x14ac:dyDescent="0.25">
      <c r="A596" t="str">
        <f>'Data Cleaning'!A596</f>
        <v>S589</v>
      </c>
      <c r="B596" s="113">
        <f>'Data Cleaning'!B596</f>
        <v>45859</v>
      </c>
      <c r="C596" t="str">
        <f>'Data Cleaning'!C596</f>
        <v>Puma</v>
      </c>
      <c r="D596" t="str">
        <f>'Data Cleaning'!D596</f>
        <v>Formal</v>
      </c>
      <c r="E596" t="str">
        <f>'Data Cleaning'!E596</f>
        <v>Blue</v>
      </c>
      <c r="F596" t="str">
        <f>'Data Cleaning'!F596</f>
        <v>UK</v>
      </c>
      <c r="G596" t="str">
        <f>'Data Cleaning'!G596</f>
        <v>Online</v>
      </c>
      <c r="H596" s="2">
        <f>'Data Cleaning'!H596</f>
        <v>58.17</v>
      </c>
      <c r="I596">
        <f>'Data Cleaning'!I596</f>
        <v>11</v>
      </c>
      <c r="J596" s="2">
        <f>'Data Cleaning'!J596</f>
        <v>639.87</v>
      </c>
    </row>
    <row r="597" spans="1:10" x14ac:dyDescent="0.25">
      <c r="A597" t="str">
        <f>'Data Cleaning'!A597</f>
        <v>S590</v>
      </c>
      <c r="B597" s="113">
        <f>'Data Cleaning'!B597</f>
        <v>45761</v>
      </c>
      <c r="C597" t="str">
        <f>'Data Cleaning'!C597</f>
        <v>New Balance</v>
      </c>
      <c r="D597" t="str">
        <f>'Data Cleaning'!D597</f>
        <v>Running</v>
      </c>
      <c r="E597" t="str">
        <f>'Data Cleaning'!E597</f>
        <v>White</v>
      </c>
      <c r="F597" t="str">
        <f>'Data Cleaning'!F597</f>
        <v>USA</v>
      </c>
      <c r="G597" t="str">
        <f>'Data Cleaning'!G597</f>
        <v>Online</v>
      </c>
      <c r="H597" s="2">
        <f>'Data Cleaning'!H597</f>
        <v>63.42</v>
      </c>
      <c r="I597">
        <f>'Data Cleaning'!I597</f>
        <v>5</v>
      </c>
      <c r="J597" s="2">
        <f>'Data Cleaning'!J597</f>
        <v>317.10000000000002</v>
      </c>
    </row>
    <row r="598" spans="1:10" x14ac:dyDescent="0.25">
      <c r="A598" t="str">
        <f>'Data Cleaning'!A598</f>
        <v>S591</v>
      </c>
      <c r="B598" s="113">
        <f>'Data Cleaning'!B598</f>
        <v>45888</v>
      </c>
      <c r="C598" t="str">
        <f>'Data Cleaning'!C598</f>
        <v>Puma</v>
      </c>
      <c r="D598" t="str">
        <f>'Data Cleaning'!D598</f>
        <v>Formal</v>
      </c>
      <c r="E598" t="str">
        <f>'Data Cleaning'!E598</f>
        <v>Black</v>
      </c>
      <c r="F598" t="str">
        <f>'Data Cleaning'!F598</f>
        <v>India</v>
      </c>
      <c r="G598" t="str">
        <f>'Data Cleaning'!G598</f>
        <v>Retail Store</v>
      </c>
      <c r="H598" s="2">
        <f>'Data Cleaning'!H598</f>
        <v>60.54</v>
      </c>
      <c r="I598">
        <f>'Data Cleaning'!I598</f>
        <v>15</v>
      </c>
      <c r="J598" s="2">
        <f>'Data Cleaning'!J598</f>
        <v>908.1</v>
      </c>
    </row>
    <row r="599" spans="1:10" x14ac:dyDescent="0.25">
      <c r="A599" t="str">
        <f>'Data Cleaning'!A599</f>
        <v>S592</v>
      </c>
      <c r="B599" s="113">
        <f>'Data Cleaning'!B599</f>
        <v>45764</v>
      </c>
      <c r="C599" t="str">
        <f>'Data Cleaning'!C599</f>
        <v>Puma</v>
      </c>
      <c r="D599" t="str">
        <f>'Data Cleaning'!D599</f>
        <v>Formal</v>
      </c>
      <c r="E599" t="str">
        <f>'Data Cleaning'!E599</f>
        <v>Blue</v>
      </c>
      <c r="F599" t="str">
        <f>'Data Cleaning'!F599</f>
        <v>Saudi Arabia</v>
      </c>
      <c r="G599" t="str">
        <f>'Data Cleaning'!G599</f>
        <v>Online</v>
      </c>
      <c r="H599" s="2">
        <f>'Data Cleaning'!H599</f>
        <v>170.99</v>
      </c>
      <c r="I599">
        <f>'Data Cleaning'!I599</f>
        <v>15</v>
      </c>
      <c r="J599" s="2">
        <f>'Data Cleaning'!J599</f>
        <v>2564.85</v>
      </c>
    </row>
    <row r="600" spans="1:10" x14ac:dyDescent="0.25">
      <c r="A600" t="str">
        <f>'Data Cleaning'!A600</f>
        <v>S593</v>
      </c>
      <c r="B600" s="113">
        <f>'Data Cleaning'!B600</f>
        <v>45704</v>
      </c>
      <c r="C600" t="str">
        <f>'Data Cleaning'!C600</f>
        <v>Skechers</v>
      </c>
      <c r="D600" t="str">
        <f>'Data Cleaning'!D600</f>
        <v>Sports</v>
      </c>
      <c r="E600" t="str">
        <f>'Data Cleaning'!E600</f>
        <v>Green</v>
      </c>
      <c r="F600" t="str">
        <f>'Data Cleaning'!F600</f>
        <v>UAE</v>
      </c>
      <c r="G600" t="str">
        <f>'Data Cleaning'!G600</f>
        <v>Mall</v>
      </c>
      <c r="H600" s="2">
        <f>'Data Cleaning'!H600</f>
        <v>70.010000000000005</v>
      </c>
      <c r="I600">
        <f>'Data Cleaning'!I600</f>
        <v>6</v>
      </c>
      <c r="J600" s="2">
        <f>'Data Cleaning'!J600</f>
        <v>420.06</v>
      </c>
    </row>
    <row r="601" spans="1:10" x14ac:dyDescent="0.25">
      <c r="A601" t="str">
        <f>'Data Cleaning'!A601</f>
        <v>S594</v>
      </c>
      <c r="B601" s="113">
        <f>'Data Cleaning'!B601</f>
        <v>45678</v>
      </c>
      <c r="C601" t="str">
        <f>'Data Cleaning'!C601</f>
        <v>Puma</v>
      </c>
      <c r="D601" t="str">
        <f>'Data Cleaning'!D601</f>
        <v>Casual</v>
      </c>
      <c r="E601" t="str">
        <f>'Data Cleaning'!E601</f>
        <v>Black</v>
      </c>
      <c r="F601" t="str">
        <f>'Data Cleaning'!F601</f>
        <v>UAE</v>
      </c>
      <c r="G601" t="str">
        <f>'Data Cleaning'!G601</f>
        <v>Online</v>
      </c>
      <c r="H601" s="2">
        <f>'Data Cleaning'!H601</f>
        <v>106.05</v>
      </c>
      <c r="I601">
        <f>'Data Cleaning'!I601</f>
        <v>7</v>
      </c>
      <c r="J601" s="2">
        <f>'Data Cleaning'!J601</f>
        <v>742.35</v>
      </c>
    </row>
    <row r="602" spans="1:10" x14ac:dyDescent="0.25">
      <c r="A602" t="str">
        <f>'Data Cleaning'!A602</f>
        <v>S595</v>
      </c>
      <c r="B602" s="113">
        <f>'Data Cleaning'!B602</f>
        <v>45840</v>
      </c>
      <c r="C602" t="str">
        <f>'Data Cleaning'!C602</f>
        <v>New Balance</v>
      </c>
      <c r="D602" t="str">
        <f>'Data Cleaning'!D602</f>
        <v>Running</v>
      </c>
      <c r="E602" t="str">
        <f>'Data Cleaning'!E602</f>
        <v>Green</v>
      </c>
      <c r="F602" t="str">
        <f>'Data Cleaning'!F602</f>
        <v>France</v>
      </c>
      <c r="G602" t="str">
        <f>'Data Cleaning'!G602</f>
        <v>Retail Store</v>
      </c>
      <c r="H602" s="2">
        <f>'Data Cleaning'!H602</f>
        <v>227.29</v>
      </c>
      <c r="I602">
        <f>'Data Cleaning'!I602</f>
        <v>13</v>
      </c>
      <c r="J602" s="2">
        <f>'Data Cleaning'!J602</f>
        <v>2954.77</v>
      </c>
    </row>
    <row r="603" spans="1:10" x14ac:dyDescent="0.25">
      <c r="A603" t="str">
        <f>'Data Cleaning'!A603</f>
        <v>S596</v>
      </c>
      <c r="B603" s="113">
        <f>'Data Cleaning'!B603</f>
        <v>45747</v>
      </c>
      <c r="C603" t="str">
        <f>'Data Cleaning'!C603</f>
        <v>Reebok</v>
      </c>
      <c r="D603" t="str">
        <f>'Data Cleaning'!D603</f>
        <v>Formal</v>
      </c>
      <c r="E603" t="str">
        <f>'Data Cleaning'!E603</f>
        <v>Grey</v>
      </c>
      <c r="F603" t="str">
        <f>'Data Cleaning'!F603</f>
        <v>UAE</v>
      </c>
      <c r="G603" t="str">
        <f>'Data Cleaning'!G603</f>
        <v>Mall</v>
      </c>
      <c r="H603" s="2">
        <f>'Data Cleaning'!H603</f>
        <v>134.27000000000001</v>
      </c>
      <c r="I603">
        <f>'Data Cleaning'!I603</f>
        <v>1</v>
      </c>
      <c r="J603" s="2">
        <f>'Data Cleaning'!J603</f>
        <v>134.27000000000001</v>
      </c>
    </row>
    <row r="604" spans="1:10" x14ac:dyDescent="0.25">
      <c r="A604" t="str">
        <f>'Data Cleaning'!A604</f>
        <v>S597</v>
      </c>
      <c r="B604" s="113">
        <f>'Data Cleaning'!B604</f>
        <v>45785</v>
      </c>
      <c r="C604" t="str">
        <f>'Data Cleaning'!C604</f>
        <v>Reebok</v>
      </c>
      <c r="D604" t="str">
        <f>'Data Cleaning'!D604</f>
        <v>Running</v>
      </c>
      <c r="E604" t="str">
        <f>'Data Cleaning'!E604</f>
        <v>White</v>
      </c>
      <c r="F604" t="str">
        <f>'Data Cleaning'!F604</f>
        <v>USA</v>
      </c>
      <c r="G604" t="str">
        <f>'Data Cleaning'!G604</f>
        <v>Online</v>
      </c>
      <c r="H604" s="2">
        <f>'Data Cleaning'!H604</f>
        <v>176.86</v>
      </c>
      <c r="I604">
        <f>'Data Cleaning'!I604</f>
        <v>4</v>
      </c>
      <c r="J604" s="2">
        <f>'Data Cleaning'!J604</f>
        <v>707.44</v>
      </c>
    </row>
    <row r="605" spans="1:10" x14ac:dyDescent="0.25">
      <c r="A605" t="str">
        <f>'Data Cleaning'!A605</f>
        <v>S598</v>
      </c>
      <c r="B605" s="113">
        <f>'Data Cleaning'!B605</f>
        <v>45689</v>
      </c>
      <c r="C605" t="str">
        <f>'Data Cleaning'!C605</f>
        <v>Adidas</v>
      </c>
      <c r="D605" t="str">
        <f>'Data Cleaning'!D605</f>
        <v>Casual</v>
      </c>
      <c r="E605" t="str">
        <f>'Data Cleaning'!E605</f>
        <v>Red</v>
      </c>
      <c r="F605" t="str">
        <f>'Data Cleaning'!F605</f>
        <v>France</v>
      </c>
      <c r="G605" t="str">
        <f>'Data Cleaning'!G605</f>
        <v>Mall</v>
      </c>
      <c r="H605" s="2">
        <f>'Data Cleaning'!H605</f>
        <v>67.91</v>
      </c>
      <c r="I605">
        <f>'Data Cleaning'!I605</f>
        <v>8</v>
      </c>
      <c r="J605" s="2">
        <f>'Data Cleaning'!J605</f>
        <v>543.28</v>
      </c>
    </row>
    <row r="606" spans="1:10" x14ac:dyDescent="0.25">
      <c r="A606" t="str">
        <f>'Data Cleaning'!A606</f>
        <v>S599</v>
      </c>
      <c r="B606" s="113">
        <f>'Data Cleaning'!B606</f>
        <v>45980</v>
      </c>
      <c r="C606" t="str">
        <f>'Data Cleaning'!C606</f>
        <v>New Balance</v>
      </c>
      <c r="D606" t="str">
        <f>'Data Cleaning'!D606</f>
        <v>Sneakers</v>
      </c>
      <c r="E606" t="str">
        <f>'Data Cleaning'!E606</f>
        <v>Blue</v>
      </c>
      <c r="F606" t="str">
        <f>'Data Cleaning'!F606</f>
        <v>Saudi Arabia</v>
      </c>
      <c r="G606" t="str">
        <f>'Data Cleaning'!G606</f>
        <v>Online</v>
      </c>
      <c r="H606" s="2">
        <f>'Data Cleaning'!H606</f>
        <v>72.3</v>
      </c>
      <c r="I606">
        <f>'Data Cleaning'!I606</f>
        <v>3</v>
      </c>
      <c r="J606" s="2">
        <f>'Data Cleaning'!J606</f>
        <v>216.9</v>
      </c>
    </row>
    <row r="607" spans="1:10" x14ac:dyDescent="0.25">
      <c r="A607" t="str">
        <f>'Data Cleaning'!A607</f>
        <v>S600</v>
      </c>
      <c r="B607" s="113">
        <f>'Data Cleaning'!B607</f>
        <v>45669</v>
      </c>
      <c r="C607" t="str">
        <f>'Data Cleaning'!C607</f>
        <v>Adidas</v>
      </c>
      <c r="D607" t="str">
        <f>'Data Cleaning'!D607</f>
        <v>Boots</v>
      </c>
      <c r="E607" t="str">
        <f>'Data Cleaning'!E607</f>
        <v>Red</v>
      </c>
      <c r="F607" t="str">
        <f>'Data Cleaning'!F607</f>
        <v>Saudi Arabia</v>
      </c>
      <c r="G607" t="str">
        <f>'Data Cleaning'!G607</f>
        <v>Online</v>
      </c>
      <c r="H607" s="2">
        <f>'Data Cleaning'!H607</f>
        <v>38.99</v>
      </c>
      <c r="I607">
        <f>'Data Cleaning'!I607</f>
        <v>3</v>
      </c>
      <c r="J607" s="2">
        <f>'Data Cleaning'!J607</f>
        <v>116.97</v>
      </c>
    </row>
    <row r="608" spans="1:10" x14ac:dyDescent="0.25">
      <c r="A608" t="str">
        <f>'Data Cleaning'!A608</f>
        <v>S601</v>
      </c>
      <c r="B608" s="113">
        <f>'Data Cleaning'!B608</f>
        <v>45705</v>
      </c>
      <c r="C608" t="str">
        <f>'Data Cleaning'!C608</f>
        <v>Nike</v>
      </c>
      <c r="D608" t="str">
        <f>'Data Cleaning'!D608</f>
        <v>Running</v>
      </c>
      <c r="E608" t="str">
        <f>'Data Cleaning'!E608</f>
        <v>Red</v>
      </c>
      <c r="F608" t="str">
        <f>'Data Cleaning'!F608</f>
        <v>USA</v>
      </c>
      <c r="G608" t="str">
        <f>'Data Cleaning'!G608</f>
        <v>Online</v>
      </c>
      <c r="H608" s="2">
        <f>'Data Cleaning'!H608</f>
        <v>67.17</v>
      </c>
      <c r="I608">
        <f>'Data Cleaning'!I608</f>
        <v>11</v>
      </c>
      <c r="J608" s="2">
        <f>'Data Cleaning'!J608</f>
        <v>738.87</v>
      </c>
    </row>
    <row r="609" spans="1:10" x14ac:dyDescent="0.25">
      <c r="A609" t="str">
        <f>'Data Cleaning'!A609</f>
        <v>S602</v>
      </c>
      <c r="B609" s="113">
        <f>'Data Cleaning'!B609</f>
        <v>45951</v>
      </c>
      <c r="C609" t="str">
        <f>'Data Cleaning'!C609</f>
        <v>Skechers</v>
      </c>
      <c r="D609" t="str">
        <f>'Data Cleaning'!D609</f>
        <v>Formal</v>
      </c>
      <c r="E609" t="str">
        <f>'Data Cleaning'!E609</f>
        <v>Red</v>
      </c>
      <c r="F609" t="str">
        <f>'Data Cleaning'!F609</f>
        <v>USA</v>
      </c>
      <c r="G609" t="str">
        <f>'Data Cleaning'!G609</f>
        <v>Retail Store</v>
      </c>
      <c r="H609" s="2">
        <f>'Data Cleaning'!H609</f>
        <v>91.29</v>
      </c>
      <c r="I609">
        <f>'Data Cleaning'!I609</f>
        <v>14</v>
      </c>
      <c r="J609" s="2">
        <f>'Data Cleaning'!J609</f>
        <v>1278.06</v>
      </c>
    </row>
    <row r="610" spans="1:10" x14ac:dyDescent="0.25">
      <c r="A610" t="str">
        <f>'Data Cleaning'!A610</f>
        <v>S603</v>
      </c>
      <c r="B610" s="113">
        <f>'Data Cleaning'!B610</f>
        <v>46007</v>
      </c>
      <c r="C610" t="str">
        <f>'Data Cleaning'!C610</f>
        <v>Adidas</v>
      </c>
      <c r="D610" t="str">
        <f>'Data Cleaning'!D610</f>
        <v>Sports</v>
      </c>
      <c r="E610" t="str">
        <f>'Data Cleaning'!E610</f>
        <v>White</v>
      </c>
      <c r="F610" t="str">
        <f>'Data Cleaning'!F610</f>
        <v>UK</v>
      </c>
      <c r="G610" t="str">
        <f>'Data Cleaning'!G610</f>
        <v>Retail Store</v>
      </c>
      <c r="H610" s="2">
        <f>'Data Cleaning'!H610</f>
        <v>68.94</v>
      </c>
      <c r="I610">
        <f>'Data Cleaning'!I610</f>
        <v>14</v>
      </c>
      <c r="J610" s="2">
        <f>'Data Cleaning'!J610</f>
        <v>965.16</v>
      </c>
    </row>
    <row r="611" spans="1:10" x14ac:dyDescent="0.25">
      <c r="A611" t="str">
        <f>'Data Cleaning'!A611</f>
        <v>S604</v>
      </c>
      <c r="B611" s="113">
        <f>'Data Cleaning'!B611</f>
        <v>45801</v>
      </c>
      <c r="C611" t="str">
        <f>'Data Cleaning'!C611</f>
        <v>Adidas</v>
      </c>
      <c r="D611" t="str">
        <f>'Data Cleaning'!D611</f>
        <v>Running</v>
      </c>
      <c r="E611" t="str">
        <f>'Data Cleaning'!E611</f>
        <v>Grey</v>
      </c>
      <c r="F611" t="str">
        <f>'Data Cleaning'!F611</f>
        <v>India</v>
      </c>
      <c r="G611" t="str">
        <f>'Data Cleaning'!G611</f>
        <v>Mall</v>
      </c>
      <c r="H611" s="2">
        <f>'Data Cleaning'!H611</f>
        <v>49.51</v>
      </c>
      <c r="I611">
        <f>'Data Cleaning'!I611</f>
        <v>15</v>
      </c>
      <c r="J611" s="2">
        <f>'Data Cleaning'!J611</f>
        <v>742.65</v>
      </c>
    </row>
    <row r="612" spans="1:10" x14ac:dyDescent="0.25">
      <c r="A612" t="str">
        <f>'Data Cleaning'!A612</f>
        <v>S605</v>
      </c>
      <c r="B612" s="113">
        <f>'Data Cleaning'!B612</f>
        <v>45783</v>
      </c>
      <c r="C612" t="str">
        <f>'Data Cleaning'!C612</f>
        <v>Reebok</v>
      </c>
      <c r="D612" t="str">
        <f>'Data Cleaning'!D612</f>
        <v>Formal</v>
      </c>
      <c r="E612" t="str">
        <f>'Data Cleaning'!E612</f>
        <v>Grey</v>
      </c>
      <c r="F612" t="str">
        <f>'Data Cleaning'!F612</f>
        <v>Germany</v>
      </c>
      <c r="G612" t="str">
        <f>'Data Cleaning'!G612</f>
        <v>Online</v>
      </c>
      <c r="H612" s="2">
        <f>'Data Cleaning'!H612</f>
        <v>56.54</v>
      </c>
      <c r="I612">
        <f>'Data Cleaning'!I612</f>
        <v>10</v>
      </c>
      <c r="J612" s="2">
        <f>'Data Cleaning'!J612</f>
        <v>565.4</v>
      </c>
    </row>
    <row r="613" spans="1:10" x14ac:dyDescent="0.25">
      <c r="A613" t="str">
        <f>'Data Cleaning'!A613</f>
        <v>S606</v>
      </c>
      <c r="B613" s="113">
        <f>'Data Cleaning'!B613</f>
        <v>45702</v>
      </c>
      <c r="C613" t="str">
        <f>'Data Cleaning'!C613</f>
        <v>Reebok</v>
      </c>
      <c r="D613" t="str">
        <f>'Data Cleaning'!D613</f>
        <v>Casual</v>
      </c>
      <c r="E613" t="str">
        <f>'Data Cleaning'!E613</f>
        <v>Red</v>
      </c>
      <c r="F613" t="str">
        <f>'Data Cleaning'!F613</f>
        <v>UK</v>
      </c>
      <c r="G613" t="str">
        <f>'Data Cleaning'!G613</f>
        <v>Mall</v>
      </c>
      <c r="H613" s="2">
        <f>'Data Cleaning'!H613</f>
        <v>131.37</v>
      </c>
      <c r="I613">
        <f>'Data Cleaning'!I613</f>
        <v>9</v>
      </c>
      <c r="J613" s="2">
        <f>'Data Cleaning'!J613</f>
        <v>1182.33</v>
      </c>
    </row>
    <row r="614" spans="1:10" x14ac:dyDescent="0.25">
      <c r="A614" t="str">
        <f>'Data Cleaning'!A614</f>
        <v>S607</v>
      </c>
      <c r="B614" s="113">
        <f>'Data Cleaning'!B614</f>
        <v>45927</v>
      </c>
      <c r="C614" t="str">
        <f>'Data Cleaning'!C614</f>
        <v>Skechers</v>
      </c>
      <c r="D614" t="str">
        <f>'Data Cleaning'!D614</f>
        <v>Sneakers</v>
      </c>
      <c r="E614" t="str">
        <f>'Data Cleaning'!E614</f>
        <v>Black</v>
      </c>
      <c r="F614" t="str">
        <f>'Data Cleaning'!F614</f>
        <v>Germany</v>
      </c>
      <c r="G614" t="str">
        <f>'Data Cleaning'!G614</f>
        <v>Mall</v>
      </c>
      <c r="H614" s="2">
        <f>'Data Cleaning'!H614</f>
        <v>75.39</v>
      </c>
      <c r="I614">
        <f>'Data Cleaning'!I614</f>
        <v>8</v>
      </c>
      <c r="J614" s="2">
        <f>'Data Cleaning'!J614</f>
        <v>603.12</v>
      </c>
    </row>
    <row r="615" spans="1:10" x14ac:dyDescent="0.25">
      <c r="A615" t="str">
        <f>'Data Cleaning'!A615</f>
        <v>S608</v>
      </c>
      <c r="B615" s="113">
        <f>'Data Cleaning'!B615</f>
        <v>45841</v>
      </c>
      <c r="C615" t="str">
        <f>'Data Cleaning'!C615</f>
        <v>New Balance</v>
      </c>
      <c r="D615" t="str">
        <f>'Data Cleaning'!D615</f>
        <v>Formal</v>
      </c>
      <c r="E615" t="str">
        <f>'Data Cleaning'!E615</f>
        <v>Blue</v>
      </c>
      <c r="F615" t="str">
        <f>'Data Cleaning'!F615</f>
        <v>India</v>
      </c>
      <c r="G615" t="str">
        <f>'Data Cleaning'!G615</f>
        <v>Mall</v>
      </c>
      <c r="H615" s="2">
        <f>'Data Cleaning'!H615</f>
        <v>110.14</v>
      </c>
      <c r="I615">
        <f>'Data Cleaning'!I615</f>
        <v>16</v>
      </c>
      <c r="J615" s="2">
        <f>'Data Cleaning'!J615</f>
        <v>1762.24</v>
      </c>
    </row>
    <row r="616" spans="1:10" x14ac:dyDescent="0.25">
      <c r="A616" t="str">
        <f>'Data Cleaning'!A616</f>
        <v>S609</v>
      </c>
      <c r="B616" s="113">
        <f>'Data Cleaning'!B616</f>
        <v>45822</v>
      </c>
      <c r="C616" t="str">
        <f>'Data Cleaning'!C616</f>
        <v>Puma</v>
      </c>
      <c r="D616" t="str">
        <f>'Data Cleaning'!D616</f>
        <v>Casual</v>
      </c>
      <c r="E616" t="str">
        <f>'Data Cleaning'!E616</f>
        <v>Black</v>
      </c>
      <c r="F616" t="str">
        <f>'Data Cleaning'!F616</f>
        <v>France</v>
      </c>
      <c r="G616" t="str">
        <f>'Data Cleaning'!G616</f>
        <v>Mall</v>
      </c>
      <c r="H616" s="2">
        <f>'Data Cleaning'!H616</f>
        <v>140.75</v>
      </c>
      <c r="I616">
        <f>'Data Cleaning'!I616</f>
        <v>13</v>
      </c>
      <c r="J616" s="2">
        <f>'Data Cleaning'!J616</f>
        <v>1829.75</v>
      </c>
    </row>
    <row r="617" spans="1:10" x14ac:dyDescent="0.25">
      <c r="A617" t="str">
        <f>'Data Cleaning'!A617</f>
        <v>S610</v>
      </c>
      <c r="B617" s="113">
        <f>'Data Cleaning'!B617</f>
        <v>45770</v>
      </c>
      <c r="C617" t="str">
        <f>'Data Cleaning'!C617</f>
        <v>Puma</v>
      </c>
      <c r="D617" t="str">
        <f>'Data Cleaning'!D617</f>
        <v>Running</v>
      </c>
      <c r="E617" t="str">
        <f>'Data Cleaning'!E617</f>
        <v>Red</v>
      </c>
      <c r="F617" t="str">
        <f>'Data Cleaning'!F617</f>
        <v>India</v>
      </c>
      <c r="G617" t="str">
        <f>'Data Cleaning'!G617</f>
        <v>Retail Store</v>
      </c>
      <c r="H617" s="2">
        <f>'Data Cleaning'!H617</f>
        <v>181.89</v>
      </c>
      <c r="I617">
        <f>'Data Cleaning'!I617</f>
        <v>1</v>
      </c>
      <c r="J617" s="2">
        <f>'Data Cleaning'!J617</f>
        <v>181.89</v>
      </c>
    </row>
    <row r="618" spans="1:10" x14ac:dyDescent="0.25">
      <c r="A618" t="str">
        <f>'Data Cleaning'!A618</f>
        <v>S611</v>
      </c>
      <c r="B618" s="113">
        <f>'Data Cleaning'!B618</f>
        <v>45957</v>
      </c>
      <c r="C618" t="str">
        <f>'Data Cleaning'!C618</f>
        <v>Adidas</v>
      </c>
      <c r="D618" t="str">
        <f>'Data Cleaning'!D618</f>
        <v>Running</v>
      </c>
      <c r="E618" t="str">
        <f>'Data Cleaning'!E618</f>
        <v>White</v>
      </c>
      <c r="F618" t="str">
        <f>'Data Cleaning'!F618</f>
        <v>UAE</v>
      </c>
      <c r="G618" t="str">
        <f>'Data Cleaning'!G618</f>
        <v>Online</v>
      </c>
      <c r="H618" s="2">
        <f>'Data Cleaning'!H618</f>
        <v>38.65</v>
      </c>
      <c r="I618">
        <f>'Data Cleaning'!I618</f>
        <v>8</v>
      </c>
      <c r="J618" s="2">
        <f>'Data Cleaning'!J618</f>
        <v>309.2</v>
      </c>
    </row>
    <row r="619" spans="1:10" x14ac:dyDescent="0.25">
      <c r="A619" t="str">
        <f>'Data Cleaning'!A619</f>
        <v>S612</v>
      </c>
      <c r="B619" s="113">
        <f>'Data Cleaning'!B619</f>
        <v>45794</v>
      </c>
      <c r="C619" t="str">
        <f>'Data Cleaning'!C619</f>
        <v>Skechers</v>
      </c>
      <c r="D619" t="str">
        <f>'Data Cleaning'!D619</f>
        <v>Running</v>
      </c>
      <c r="E619" t="str">
        <f>'Data Cleaning'!E619</f>
        <v>White</v>
      </c>
      <c r="F619" t="str">
        <f>'Data Cleaning'!F619</f>
        <v>India</v>
      </c>
      <c r="G619" t="str">
        <f>'Data Cleaning'!G619</f>
        <v>Retail Store</v>
      </c>
      <c r="H619" s="2">
        <f>'Data Cleaning'!H619</f>
        <v>205.87</v>
      </c>
      <c r="I619">
        <f>'Data Cleaning'!I619</f>
        <v>18</v>
      </c>
      <c r="J619" s="2">
        <f>'Data Cleaning'!J619</f>
        <v>3705.66</v>
      </c>
    </row>
    <row r="620" spans="1:10" x14ac:dyDescent="0.25">
      <c r="A620" t="str">
        <f>'Data Cleaning'!A620</f>
        <v>S613</v>
      </c>
      <c r="B620" s="113">
        <f>'Data Cleaning'!B620</f>
        <v>45839</v>
      </c>
      <c r="C620" t="str">
        <f>'Data Cleaning'!C620</f>
        <v>Adidas</v>
      </c>
      <c r="D620" t="str">
        <f>'Data Cleaning'!D620</f>
        <v>Casual</v>
      </c>
      <c r="E620" t="str">
        <f>'Data Cleaning'!E620</f>
        <v>Grey</v>
      </c>
      <c r="F620" t="str">
        <f>'Data Cleaning'!F620</f>
        <v>France</v>
      </c>
      <c r="G620" t="str">
        <f>'Data Cleaning'!G620</f>
        <v>Mall</v>
      </c>
      <c r="H620" s="2">
        <f>'Data Cleaning'!H620</f>
        <v>168.14</v>
      </c>
      <c r="I620">
        <f>'Data Cleaning'!I620</f>
        <v>6</v>
      </c>
      <c r="J620" s="2">
        <f>'Data Cleaning'!J620</f>
        <v>1008.84</v>
      </c>
    </row>
    <row r="621" spans="1:10" x14ac:dyDescent="0.25">
      <c r="A621" t="str">
        <f>'Data Cleaning'!A621</f>
        <v>S614</v>
      </c>
      <c r="B621" s="113">
        <f>'Data Cleaning'!B621</f>
        <v>46015</v>
      </c>
      <c r="C621" t="str">
        <f>'Data Cleaning'!C621</f>
        <v>New Balance</v>
      </c>
      <c r="D621" t="str">
        <f>'Data Cleaning'!D621</f>
        <v>Running</v>
      </c>
      <c r="E621" t="str">
        <f>'Data Cleaning'!E621</f>
        <v>Green</v>
      </c>
      <c r="F621" t="str">
        <f>'Data Cleaning'!F621</f>
        <v>UAE</v>
      </c>
      <c r="G621" t="str">
        <f>'Data Cleaning'!G621</f>
        <v>Retail Store</v>
      </c>
      <c r="H621" s="2">
        <f>'Data Cleaning'!H621</f>
        <v>47.99</v>
      </c>
      <c r="I621">
        <f>'Data Cleaning'!I621</f>
        <v>12</v>
      </c>
      <c r="J621" s="2">
        <f>'Data Cleaning'!J621</f>
        <v>575.88</v>
      </c>
    </row>
    <row r="622" spans="1:10" x14ac:dyDescent="0.25">
      <c r="A622" t="str">
        <f>'Data Cleaning'!A622</f>
        <v>S615</v>
      </c>
      <c r="B622" s="113">
        <f>'Data Cleaning'!B622</f>
        <v>45948</v>
      </c>
      <c r="C622" t="str">
        <f>'Data Cleaning'!C622</f>
        <v>Adidas</v>
      </c>
      <c r="D622" t="str">
        <f>'Data Cleaning'!D622</f>
        <v>Sneakers</v>
      </c>
      <c r="E622" t="str">
        <f>'Data Cleaning'!E622</f>
        <v>White</v>
      </c>
      <c r="F622" t="str">
        <f>'Data Cleaning'!F622</f>
        <v>Saudi Arabia</v>
      </c>
      <c r="G622" t="str">
        <f>'Data Cleaning'!G622</f>
        <v>Retail Store</v>
      </c>
      <c r="H622" s="2">
        <f>'Data Cleaning'!H622</f>
        <v>222.19</v>
      </c>
      <c r="I622">
        <f>'Data Cleaning'!I622</f>
        <v>19</v>
      </c>
      <c r="J622" s="2">
        <f>'Data Cleaning'!J622</f>
        <v>4221.6099999999997</v>
      </c>
    </row>
    <row r="623" spans="1:10" x14ac:dyDescent="0.25">
      <c r="A623" t="str">
        <f>'Data Cleaning'!A623</f>
        <v>S616</v>
      </c>
      <c r="B623" s="113">
        <f>'Data Cleaning'!B623</f>
        <v>45935</v>
      </c>
      <c r="C623" t="str">
        <f>'Data Cleaning'!C623</f>
        <v>Adidas</v>
      </c>
      <c r="D623" t="str">
        <f>'Data Cleaning'!D623</f>
        <v>Formal</v>
      </c>
      <c r="E623" t="str">
        <f>'Data Cleaning'!E623</f>
        <v>Black</v>
      </c>
      <c r="F623" t="str">
        <f>'Data Cleaning'!F623</f>
        <v>USA</v>
      </c>
      <c r="G623" t="str">
        <f>'Data Cleaning'!G623</f>
        <v>Online</v>
      </c>
      <c r="H623" s="2">
        <f>'Data Cleaning'!H623</f>
        <v>232.59</v>
      </c>
      <c r="I623">
        <f>'Data Cleaning'!I623</f>
        <v>10</v>
      </c>
      <c r="J623" s="2">
        <f>'Data Cleaning'!J623</f>
        <v>2325.9</v>
      </c>
    </row>
    <row r="624" spans="1:10" x14ac:dyDescent="0.25">
      <c r="A624" t="str">
        <f>'Data Cleaning'!A624</f>
        <v>S617</v>
      </c>
      <c r="B624" s="113">
        <f>'Data Cleaning'!B624</f>
        <v>45777</v>
      </c>
      <c r="C624" t="str">
        <f>'Data Cleaning'!C624</f>
        <v>Adidas</v>
      </c>
      <c r="D624" t="str">
        <f>'Data Cleaning'!D624</f>
        <v>Running</v>
      </c>
      <c r="E624" t="str">
        <f>'Data Cleaning'!E624</f>
        <v>Grey</v>
      </c>
      <c r="F624" t="str">
        <f>'Data Cleaning'!F624</f>
        <v>Germany</v>
      </c>
      <c r="G624" t="str">
        <f>'Data Cleaning'!G624</f>
        <v>Online</v>
      </c>
      <c r="H624" s="2">
        <f>'Data Cleaning'!H624</f>
        <v>43.44</v>
      </c>
      <c r="I624">
        <f>'Data Cleaning'!I624</f>
        <v>20</v>
      </c>
      <c r="J624" s="2">
        <f>'Data Cleaning'!J624</f>
        <v>868.8</v>
      </c>
    </row>
    <row r="625" spans="1:10" x14ac:dyDescent="0.25">
      <c r="A625" t="str">
        <f>'Data Cleaning'!A625</f>
        <v>S618</v>
      </c>
      <c r="B625" s="113">
        <f>'Data Cleaning'!B625</f>
        <v>45827</v>
      </c>
      <c r="C625" t="str">
        <f>'Data Cleaning'!C625</f>
        <v>Adidas</v>
      </c>
      <c r="D625" t="str">
        <f>'Data Cleaning'!D625</f>
        <v>Casual</v>
      </c>
      <c r="E625" t="str">
        <f>'Data Cleaning'!E625</f>
        <v>Blue</v>
      </c>
      <c r="F625" t="str">
        <f>'Data Cleaning'!F625</f>
        <v>UAE</v>
      </c>
      <c r="G625" t="str">
        <f>'Data Cleaning'!G625</f>
        <v>Online</v>
      </c>
      <c r="H625" s="2">
        <f>'Data Cleaning'!H625</f>
        <v>90.91</v>
      </c>
      <c r="I625">
        <f>'Data Cleaning'!I625</f>
        <v>20</v>
      </c>
      <c r="J625" s="2">
        <f>'Data Cleaning'!J625</f>
        <v>1818.2</v>
      </c>
    </row>
    <row r="626" spans="1:10" x14ac:dyDescent="0.25">
      <c r="A626" t="str">
        <f>'Data Cleaning'!A626</f>
        <v>S619</v>
      </c>
      <c r="B626" s="113">
        <f>'Data Cleaning'!B626</f>
        <v>45823</v>
      </c>
      <c r="C626" t="str">
        <f>'Data Cleaning'!C626</f>
        <v>Nike</v>
      </c>
      <c r="D626" t="str">
        <f>'Data Cleaning'!D626</f>
        <v>Casual</v>
      </c>
      <c r="E626" t="str">
        <f>'Data Cleaning'!E626</f>
        <v>Grey</v>
      </c>
      <c r="F626" t="str">
        <f>'Data Cleaning'!F626</f>
        <v>UAE</v>
      </c>
      <c r="G626" t="str">
        <f>'Data Cleaning'!G626</f>
        <v>Online</v>
      </c>
      <c r="H626" s="2">
        <f>'Data Cleaning'!H626</f>
        <v>207.36</v>
      </c>
      <c r="I626">
        <f>'Data Cleaning'!I626</f>
        <v>2</v>
      </c>
      <c r="J626" s="2">
        <f>'Data Cleaning'!J626</f>
        <v>414.72</v>
      </c>
    </row>
    <row r="627" spans="1:10" x14ac:dyDescent="0.25">
      <c r="A627" t="str">
        <f>'Data Cleaning'!A627</f>
        <v>S620</v>
      </c>
      <c r="B627" s="113">
        <f>'Data Cleaning'!B627</f>
        <v>45714</v>
      </c>
      <c r="C627" t="str">
        <f>'Data Cleaning'!C627</f>
        <v>Puma</v>
      </c>
      <c r="D627" t="str">
        <f>'Data Cleaning'!D627</f>
        <v>Running</v>
      </c>
      <c r="E627" t="str">
        <f>'Data Cleaning'!E627</f>
        <v>Blue</v>
      </c>
      <c r="F627" t="str">
        <f>'Data Cleaning'!F627</f>
        <v>UAE</v>
      </c>
      <c r="G627" t="str">
        <f>'Data Cleaning'!G627</f>
        <v>Mall</v>
      </c>
      <c r="H627" s="2">
        <f>'Data Cleaning'!H627</f>
        <v>194.62</v>
      </c>
      <c r="I627">
        <f>'Data Cleaning'!I627</f>
        <v>17</v>
      </c>
      <c r="J627" s="2">
        <f>'Data Cleaning'!J627</f>
        <v>3308.54</v>
      </c>
    </row>
    <row r="628" spans="1:10" x14ac:dyDescent="0.25">
      <c r="A628" t="str">
        <f>'Data Cleaning'!A628</f>
        <v>S621</v>
      </c>
      <c r="B628" s="113">
        <f>'Data Cleaning'!B628</f>
        <v>45860</v>
      </c>
      <c r="C628" t="str">
        <f>'Data Cleaning'!C628</f>
        <v>Nike</v>
      </c>
      <c r="D628" t="str">
        <f>'Data Cleaning'!D628</f>
        <v>Sports</v>
      </c>
      <c r="E628" t="str">
        <f>'Data Cleaning'!E628</f>
        <v>Blue</v>
      </c>
      <c r="F628" t="str">
        <f>'Data Cleaning'!F628</f>
        <v>France</v>
      </c>
      <c r="G628" t="str">
        <f>'Data Cleaning'!G628</f>
        <v>Online</v>
      </c>
      <c r="H628" s="2">
        <f>'Data Cleaning'!H628</f>
        <v>70.59</v>
      </c>
      <c r="I628">
        <f>'Data Cleaning'!I628</f>
        <v>19</v>
      </c>
      <c r="J628" s="2">
        <f>'Data Cleaning'!J628</f>
        <v>1341.21</v>
      </c>
    </row>
    <row r="629" spans="1:10" x14ac:dyDescent="0.25">
      <c r="A629" t="str">
        <f>'Data Cleaning'!A629</f>
        <v>S622</v>
      </c>
      <c r="B629" s="113">
        <f>'Data Cleaning'!B629</f>
        <v>45738</v>
      </c>
      <c r="C629" t="str">
        <f>'Data Cleaning'!C629</f>
        <v>Skechers</v>
      </c>
      <c r="D629" t="str">
        <f>'Data Cleaning'!D629</f>
        <v>Formal</v>
      </c>
      <c r="E629" t="str">
        <f>'Data Cleaning'!E629</f>
        <v>Green</v>
      </c>
      <c r="F629" t="str">
        <f>'Data Cleaning'!F629</f>
        <v>France</v>
      </c>
      <c r="G629" t="str">
        <f>'Data Cleaning'!G629</f>
        <v>Online</v>
      </c>
      <c r="H629" s="2">
        <f>'Data Cleaning'!H629</f>
        <v>76.06</v>
      </c>
      <c r="I629">
        <f>'Data Cleaning'!I629</f>
        <v>14</v>
      </c>
      <c r="J629" s="2">
        <f>'Data Cleaning'!J629</f>
        <v>1064.8399999999999</v>
      </c>
    </row>
    <row r="630" spans="1:10" x14ac:dyDescent="0.25">
      <c r="A630" t="str">
        <f>'Data Cleaning'!A630</f>
        <v>S623</v>
      </c>
      <c r="B630" s="113">
        <f>'Data Cleaning'!B630</f>
        <v>46020</v>
      </c>
      <c r="C630" t="str">
        <f>'Data Cleaning'!C630</f>
        <v>Skechers</v>
      </c>
      <c r="D630" t="str">
        <f>'Data Cleaning'!D630</f>
        <v>Sneakers</v>
      </c>
      <c r="E630" t="str">
        <f>'Data Cleaning'!E630</f>
        <v>Blue</v>
      </c>
      <c r="F630" t="str">
        <f>'Data Cleaning'!F630</f>
        <v>UK</v>
      </c>
      <c r="G630" t="str">
        <f>'Data Cleaning'!G630</f>
        <v>Mall</v>
      </c>
      <c r="H630" s="2">
        <f>'Data Cleaning'!H630</f>
        <v>111.5</v>
      </c>
      <c r="I630">
        <f>'Data Cleaning'!I630</f>
        <v>18</v>
      </c>
      <c r="J630" s="2">
        <f>'Data Cleaning'!J630</f>
        <v>2007</v>
      </c>
    </row>
    <row r="631" spans="1:10" x14ac:dyDescent="0.25">
      <c r="A631" t="str">
        <f>'Data Cleaning'!A631</f>
        <v>S624</v>
      </c>
      <c r="B631" s="113">
        <f>'Data Cleaning'!B631</f>
        <v>45959</v>
      </c>
      <c r="C631" t="str">
        <f>'Data Cleaning'!C631</f>
        <v>Reebok</v>
      </c>
      <c r="D631" t="str">
        <f>'Data Cleaning'!D631</f>
        <v>Sports</v>
      </c>
      <c r="E631" t="str">
        <f>'Data Cleaning'!E631</f>
        <v>Green</v>
      </c>
      <c r="F631" t="str">
        <f>'Data Cleaning'!F631</f>
        <v>UAE</v>
      </c>
      <c r="G631" t="str">
        <f>'Data Cleaning'!G631</f>
        <v>Retail Store</v>
      </c>
      <c r="H631" s="2">
        <f>'Data Cleaning'!H631</f>
        <v>136.6</v>
      </c>
      <c r="I631">
        <f>'Data Cleaning'!I631</f>
        <v>6</v>
      </c>
      <c r="J631" s="2">
        <f>'Data Cleaning'!J631</f>
        <v>819.6</v>
      </c>
    </row>
    <row r="632" spans="1:10" x14ac:dyDescent="0.25">
      <c r="A632" t="str">
        <f>'Data Cleaning'!A632</f>
        <v>S625</v>
      </c>
      <c r="B632" s="113">
        <f>'Data Cleaning'!B632</f>
        <v>45723</v>
      </c>
      <c r="C632" t="str">
        <f>'Data Cleaning'!C632</f>
        <v>Skechers</v>
      </c>
      <c r="D632" t="str">
        <f>'Data Cleaning'!D632</f>
        <v>Running</v>
      </c>
      <c r="E632" t="str">
        <f>'Data Cleaning'!E632</f>
        <v>Green</v>
      </c>
      <c r="F632" t="str">
        <f>'Data Cleaning'!F632</f>
        <v>India</v>
      </c>
      <c r="G632" t="str">
        <f>'Data Cleaning'!G632</f>
        <v>Retail Store</v>
      </c>
      <c r="H632" s="2">
        <f>'Data Cleaning'!H632</f>
        <v>166.02</v>
      </c>
      <c r="I632">
        <f>'Data Cleaning'!I632</f>
        <v>6</v>
      </c>
      <c r="J632" s="2">
        <f>'Data Cleaning'!J632</f>
        <v>996.12</v>
      </c>
    </row>
    <row r="633" spans="1:10" x14ac:dyDescent="0.25">
      <c r="A633" t="str">
        <f>'Data Cleaning'!A633</f>
        <v>S626</v>
      </c>
      <c r="B633" s="113">
        <f>'Data Cleaning'!B633</f>
        <v>45948</v>
      </c>
      <c r="C633" t="str">
        <f>'Data Cleaning'!C633</f>
        <v>Adidas</v>
      </c>
      <c r="D633" t="str">
        <f>'Data Cleaning'!D633</f>
        <v>Sneakers</v>
      </c>
      <c r="E633" t="str">
        <f>'Data Cleaning'!E633</f>
        <v>Blue</v>
      </c>
      <c r="F633" t="str">
        <f>'Data Cleaning'!F633</f>
        <v>Saudi Arabia</v>
      </c>
      <c r="G633" t="str">
        <f>'Data Cleaning'!G633</f>
        <v>Mall</v>
      </c>
      <c r="H633" s="2">
        <f>'Data Cleaning'!H633</f>
        <v>111.16</v>
      </c>
      <c r="I633">
        <f>'Data Cleaning'!I633</f>
        <v>2</v>
      </c>
      <c r="J633" s="2">
        <f>'Data Cleaning'!J633</f>
        <v>222.32</v>
      </c>
    </row>
    <row r="634" spans="1:10" x14ac:dyDescent="0.25">
      <c r="A634" t="str">
        <f>'Data Cleaning'!A634</f>
        <v>S627</v>
      </c>
      <c r="B634" s="113">
        <f>'Data Cleaning'!B634</f>
        <v>45771</v>
      </c>
      <c r="C634" t="str">
        <f>'Data Cleaning'!C634</f>
        <v>Nike</v>
      </c>
      <c r="D634" t="str">
        <f>'Data Cleaning'!D634</f>
        <v>Formal</v>
      </c>
      <c r="E634" t="str">
        <f>'Data Cleaning'!E634</f>
        <v>White</v>
      </c>
      <c r="F634" t="str">
        <f>'Data Cleaning'!F634</f>
        <v>France</v>
      </c>
      <c r="G634" t="str">
        <f>'Data Cleaning'!G634</f>
        <v>Mall</v>
      </c>
      <c r="H634" s="2">
        <f>'Data Cleaning'!H634</f>
        <v>131.76</v>
      </c>
      <c r="I634">
        <f>'Data Cleaning'!I634</f>
        <v>19</v>
      </c>
      <c r="J634" s="2">
        <f>'Data Cleaning'!J634</f>
        <v>2503.44</v>
      </c>
    </row>
    <row r="635" spans="1:10" x14ac:dyDescent="0.25">
      <c r="A635" t="str">
        <f>'Data Cleaning'!A635</f>
        <v>S628</v>
      </c>
      <c r="B635" s="113">
        <f>'Data Cleaning'!B635</f>
        <v>45697</v>
      </c>
      <c r="C635" t="str">
        <f>'Data Cleaning'!C635</f>
        <v>Puma</v>
      </c>
      <c r="D635" t="str">
        <f>'Data Cleaning'!D635</f>
        <v>Sports</v>
      </c>
      <c r="E635" t="str">
        <f>'Data Cleaning'!E635</f>
        <v>White</v>
      </c>
      <c r="F635" t="str">
        <f>'Data Cleaning'!F635</f>
        <v>UAE</v>
      </c>
      <c r="G635" t="str">
        <f>'Data Cleaning'!G635</f>
        <v>Online</v>
      </c>
      <c r="H635" s="2">
        <f>'Data Cleaning'!H635</f>
        <v>194.44</v>
      </c>
      <c r="I635">
        <f>'Data Cleaning'!I635</f>
        <v>8</v>
      </c>
      <c r="J635" s="2">
        <f>'Data Cleaning'!J635</f>
        <v>1555.52</v>
      </c>
    </row>
    <row r="636" spans="1:10" x14ac:dyDescent="0.25">
      <c r="A636" t="str">
        <f>'Data Cleaning'!A636</f>
        <v>S629</v>
      </c>
      <c r="B636" s="113">
        <f>'Data Cleaning'!B636</f>
        <v>46020</v>
      </c>
      <c r="C636" t="str">
        <f>'Data Cleaning'!C636</f>
        <v>Reebok</v>
      </c>
      <c r="D636" t="str">
        <f>'Data Cleaning'!D636</f>
        <v>Running</v>
      </c>
      <c r="E636" t="str">
        <f>'Data Cleaning'!E636</f>
        <v>Blue</v>
      </c>
      <c r="F636" t="str">
        <f>'Data Cleaning'!F636</f>
        <v>UK</v>
      </c>
      <c r="G636" t="str">
        <f>'Data Cleaning'!G636</f>
        <v>Online</v>
      </c>
      <c r="H636" s="2">
        <f>'Data Cleaning'!H636</f>
        <v>38.07</v>
      </c>
      <c r="I636">
        <f>'Data Cleaning'!I636</f>
        <v>11</v>
      </c>
      <c r="J636" s="2">
        <f>'Data Cleaning'!J636</f>
        <v>418.77</v>
      </c>
    </row>
    <row r="637" spans="1:10" x14ac:dyDescent="0.25">
      <c r="A637" t="str">
        <f>'Data Cleaning'!A637</f>
        <v>S630</v>
      </c>
      <c r="B637" s="113">
        <f>'Data Cleaning'!B637</f>
        <v>46012</v>
      </c>
      <c r="C637" t="str">
        <f>'Data Cleaning'!C637</f>
        <v>Puma</v>
      </c>
      <c r="D637" t="str">
        <f>'Data Cleaning'!D637</f>
        <v>Sports</v>
      </c>
      <c r="E637" t="str">
        <f>'Data Cleaning'!E637</f>
        <v>Black</v>
      </c>
      <c r="F637" t="str">
        <f>'Data Cleaning'!F637</f>
        <v>UAE</v>
      </c>
      <c r="G637" t="str">
        <f>'Data Cleaning'!G637</f>
        <v>Online</v>
      </c>
      <c r="H637" s="2">
        <f>'Data Cleaning'!H637</f>
        <v>85.54</v>
      </c>
      <c r="I637">
        <f>'Data Cleaning'!I637</f>
        <v>3</v>
      </c>
      <c r="J637" s="2">
        <f>'Data Cleaning'!J637</f>
        <v>256.62</v>
      </c>
    </row>
    <row r="638" spans="1:10" x14ac:dyDescent="0.25">
      <c r="A638" t="str">
        <f>'Data Cleaning'!A638</f>
        <v>S631</v>
      </c>
      <c r="B638" s="113">
        <f>'Data Cleaning'!B638</f>
        <v>45682</v>
      </c>
      <c r="C638" t="str">
        <f>'Data Cleaning'!C638</f>
        <v>Reebok</v>
      </c>
      <c r="D638" t="str">
        <f>'Data Cleaning'!D638</f>
        <v>Boots</v>
      </c>
      <c r="E638" t="str">
        <f>'Data Cleaning'!E638</f>
        <v>Red</v>
      </c>
      <c r="F638" t="str">
        <f>'Data Cleaning'!F638</f>
        <v>UK</v>
      </c>
      <c r="G638" t="str">
        <f>'Data Cleaning'!G638</f>
        <v>Retail Store</v>
      </c>
      <c r="H638" s="2">
        <f>'Data Cleaning'!H638</f>
        <v>186.94</v>
      </c>
      <c r="I638">
        <f>'Data Cleaning'!I638</f>
        <v>13</v>
      </c>
      <c r="J638" s="2">
        <f>'Data Cleaning'!J638</f>
        <v>2430.2199999999998</v>
      </c>
    </row>
    <row r="639" spans="1:10" x14ac:dyDescent="0.25">
      <c r="A639" t="str">
        <f>'Data Cleaning'!A639</f>
        <v>S632</v>
      </c>
      <c r="B639" s="113">
        <f>'Data Cleaning'!B639</f>
        <v>45910</v>
      </c>
      <c r="C639" t="str">
        <f>'Data Cleaning'!C639</f>
        <v>Puma</v>
      </c>
      <c r="D639" t="str">
        <f>'Data Cleaning'!D639</f>
        <v>Sneakers</v>
      </c>
      <c r="E639" t="str">
        <f>'Data Cleaning'!E639</f>
        <v>Red</v>
      </c>
      <c r="F639" t="str">
        <f>'Data Cleaning'!F639</f>
        <v>USA</v>
      </c>
      <c r="G639" t="str">
        <f>'Data Cleaning'!G639</f>
        <v>Retail Store</v>
      </c>
      <c r="H639" s="2">
        <f>'Data Cleaning'!H639</f>
        <v>226.95</v>
      </c>
      <c r="I639">
        <f>'Data Cleaning'!I639</f>
        <v>13</v>
      </c>
      <c r="J639" s="2">
        <f>'Data Cleaning'!J639</f>
        <v>2950.35</v>
      </c>
    </row>
    <row r="640" spans="1:10" x14ac:dyDescent="0.25">
      <c r="A640" t="str">
        <f>'Data Cleaning'!A640</f>
        <v>S633</v>
      </c>
      <c r="B640" s="113">
        <f>'Data Cleaning'!B640</f>
        <v>45953</v>
      </c>
      <c r="C640" t="str">
        <f>'Data Cleaning'!C640</f>
        <v>Adidas</v>
      </c>
      <c r="D640" t="str">
        <f>'Data Cleaning'!D640</f>
        <v>Formal</v>
      </c>
      <c r="E640" t="str">
        <f>'Data Cleaning'!E640</f>
        <v>Black</v>
      </c>
      <c r="F640" t="str">
        <f>'Data Cleaning'!F640</f>
        <v>Saudi Arabia</v>
      </c>
      <c r="G640" t="str">
        <f>'Data Cleaning'!G640</f>
        <v>Online</v>
      </c>
      <c r="H640" s="2">
        <f>'Data Cleaning'!H640</f>
        <v>142.57</v>
      </c>
      <c r="I640">
        <f>'Data Cleaning'!I640</f>
        <v>8</v>
      </c>
      <c r="J640" s="2">
        <f>'Data Cleaning'!J640</f>
        <v>1140.56</v>
      </c>
    </row>
    <row r="641" spans="1:10" x14ac:dyDescent="0.25">
      <c r="A641" t="str">
        <f>'Data Cleaning'!A641</f>
        <v>S634</v>
      </c>
      <c r="B641" s="113">
        <f>'Data Cleaning'!B641</f>
        <v>45808</v>
      </c>
      <c r="C641" t="str">
        <f>'Data Cleaning'!C641</f>
        <v>Puma</v>
      </c>
      <c r="D641" t="str">
        <f>'Data Cleaning'!D641</f>
        <v>Sports</v>
      </c>
      <c r="E641" t="str">
        <f>'Data Cleaning'!E641</f>
        <v>Black</v>
      </c>
      <c r="F641" t="str">
        <f>'Data Cleaning'!F641</f>
        <v>USA</v>
      </c>
      <c r="G641" t="str">
        <f>'Data Cleaning'!G641</f>
        <v>Retail Store</v>
      </c>
      <c r="H641" s="2">
        <f>'Data Cleaning'!H641</f>
        <v>147.06</v>
      </c>
      <c r="I641">
        <f>'Data Cleaning'!I641</f>
        <v>1</v>
      </c>
      <c r="J641" s="2">
        <f>'Data Cleaning'!J641</f>
        <v>147.06</v>
      </c>
    </row>
    <row r="642" spans="1:10" x14ac:dyDescent="0.25">
      <c r="A642" t="str">
        <f>'Data Cleaning'!A642</f>
        <v>S635</v>
      </c>
      <c r="B642" s="113">
        <f>'Data Cleaning'!B642</f>
        <v>45745</v>
      </c>
      <c r="C642" t="str">
        <f>'Data Cleaning'!C642</f>
        <v>Adidas</v>
      </c>
      <c r="D642" t="str">
        <f>'Data Cleaning'!D642</f>
        <v>Boots</v>
      </c>
      <c r="E642" t="str">
        <f>'Data Cleaning'!E642</f>
        <v>Black</v>
      </c>
      <c r="F642" t="str">
        <f>'Data Cleaning'!F642</f>
        <v>India</v>
      </c>
      <c r="G642" t="str">
        <f>'Data Cleaning'!G642</f>
        <v>Online</v>
      </c>
      <c r="H642" s="2">
        <f>'Data Cleaning'!H642</f>
        <v>53.58</v>
      </c>
      <c r="I642">
        <f>'Data Cleaning'!I642</f>
        <v>13</v>
      </c>
      <c r="J642" s="2">
        <f>'Data Cleaning'!J642</f>
        <v>696.54</v>
      </c>
    </row>
    <row r="643" spans="1:10" x14ac:dyDescent="0.25">
      <c r="A643" t="str">
        <f>'Data Cleaning'!A643</f>
        <v>S636</v>
      </c>
      <c r="B643" s="113">
        <f>'Data Cleaning'!B643</f>
        <v>45831</v>
      </c>
      <c r="C643" t="str">
        <f>'Data Cleaning'!C643</f>
        <v>New Balance</v>
      </c>
      <c r="D643" t="str">
        <f>'Data Cleaning'!D643</f>
        <v>Formal</v>
      </c>
      <c r="E643" t="str">
        <f>'Data Cleaning'!E643</f>
        <v>Green</v>
      </c>
      <c r="F643" t="str">
        <f>'Data Cleaning'!F643</f>
        <v>USA</v>
      </c>
      <c r="G643" t="str">
        <f>'Data Cleaning'!G643</f>
        <v>Retail Store</v>
      </c>
      <c r="H643" s="2">
        <f>'Data Cleaning'!H643</f>
        <v>128.43</v>
      </c>
      <c r="I643">
        <f>'Data Cleaning'!I643</f>
        <v>20</v>
      </c>
      <c r="J643" s="2">
        <f>'Data Cleaning'!J643</f>
        <v>2568.6</v>
      </c>
    </row>
    <row r="644" spans="1:10" x14ac:dyDescent="0.25">
      <c r="A644" t="str">
        <f>'Data Cleaning'!A644</f>
        <v>S637</v>
      </c>
      <c r="B644" s="113">
        <f>'Data Cleaning'!B644</f>
        <v>45992</v>
      </c>
      <c r="C644" t="str">
        <f>'Data Cleaning'!C644</f>
        <v>New Balance</v>
      </c>
      <c r="D644" t="str">
        <f>'Data Cleaning'!D644</f>
        <v>Formal</v>
      </c>
      <c r="E644" t="str">
        <f>'Data Cleaning'!E644</f>
        <v>White</v>
      </c>
      <c r="F644" t="str">
        <f>'Data Cleaning'!F644</f>
        <v>USA</v>
      </c>
      <c r="G644" t="str">
        <f>'Data Cleaning'!G644</f>
        <v>Online</v>
      </c>
      <c r="H644" s="2">
        <f>'Data Cleaning'!H644</f>
        <v>147.18</v>
      </c>
      <c r="I644">
        <f>'Data Cleaning'!I644</f>
        <v>6</v>
      </c>
      <c r="J644" s="2">
        <f>'Data Cleaning'!J644</f>
        <v>883.08</v>
      </c>
    </row>
    <row r="645" spans="1:10" x14ac:dyDescent="0.25">
      <c r="A645" t="str">
        <f>'Data Cleaning'!A645</f>
        <v>S638</v>
      </c>
      <c r="B645" s="113">
        <f>'Data Cleaning'!B645</f>
        <v>45827</v>
      </c>
      <c r="C645" t="str">
        <f>'Data Cleaning'!C645</f>
        <v>Adidas</v>
      </c>
      <c r="D645" t="str">
        <f>'Data Cleaning'!D645</f>
        <v>Formal</v>
      </c>
      <c r="E645" t="str">
        <f>'Data Cleaning'!E645</f>
        <v>Green</v>
      </c>
      <c r="F645" t="str">
        <f>'Data Cleaning'!F645</f>
        <v>India</v>
      </c>
      <c r="G645" t="str">
        <f>'Data Cleaning'!G645</f>
        <v>Mall</v>
      </c>
      <c r="H645" s="2">
        <f>'Data Cleaning'!H645</f>
        <v>83.34</v>
      </c>
      <c r="I645">
        <f>'Data Cleaning'!I645</f>
        <v>7</v>
      </c>
      <c r="J645" s="2">
        <f>'Data Cleaning'!J645</f>
        <v>583.38</v>
      </c>
    </row>
    <row r="646" spans="1:10" x14ac:dyDescent="0.25">
      <c r="A646" t="str">
        <f>'Data Cleaning'!A646</f>
        <v>S639</v>
      </c>
      <c r="B646" s="113">
        <f>'Data Cleaning'!B646</f>
        <v>45934</v>
      </c>
      <c r="C646" t="str">
        <f>'Data Cleaning'!C646</f>
        <v>Skechers</v>
      </c>
      <c r="D646" t="str">
        <f>'Data Cleaning'!D646</f>
        <v>Sports</v>
      </c>
      <c r="E646" t="str">
        <f>'Data Cleaning'!E646</f>
        <v>Blue</v>
      </c>
      <c r="F646" t="str">
        <f>'Data Cleaning'!F646</f>
        <v>UK</v>
      </c>
      <c r="G646" t="str">
        <f>'Data Cleaning'!G646</f>
        <v>Online</v>
      </c>
      <c r="H646" s="2">
        <f>'Data Cleaning'!H646</f>
        <v>89.23</v>
      </c>
      <c r="I646">
        <f>'Data Cleaning'!I646</f>
        <v>9</v>
      </c>
      <c r="J646" s="2">
        <f>'Data Cleaning'!J646</f>
        <v>803.07</v>
      </c>
    </row>
    <row r="647" spans="1:10" x14ac:dyDescent="0.25">
      <c r="A647" t="str">
        <f>'Data Cleaning'!A647</f>
        <v>S640</v>
      </c>
      <c r="B647" s="113">
        <f>'Data Cleaning'!B647</f>
        <v>45683</v>
      </c>
      <c r="C647" t="str">
        <f>'Data Cleaning'!C647</f>
        <v>New Balance</v>
      </c>
      <c r="D647" t="str">
        <f>'Data Cleaning'!D647</f>
        <v>Sneakers</v>
      </c>
      <c r="E647" t="str">
        <f>'Data Cleaning'!E647</f>
        <v>Red</v>
      </c>
      <c r="F647" t="str">
        <f>'Data Cleaning'!F647</f>
        <v>UK</v>
      </c>
      <c r="G647" t="str">
        <f>'Data Cleaning'!G647</f>
        <v>Online</v>
      </c>
      <c r="H647" s="2">
        <f>'Data Cleaning'!H647</f>
        <v>113</v>
      </c>
      <c r="I647">
        <f>'Data Cleaning'!I647</f>
        <v>13</v>
      </c>
      <c r="J647" s="2">
        <f>'Data Cleaning'!J647</f>
        <v>1469</v>
      </c>
    </row>
    <row r="648" spans="1:10" x14ac:dyDescent="0.25">
      <c r="A648" t="str">
        <f>'Data Cleaning'!A648</f>
        <v>S641</v>
      </c>
      <c r="B648" s="113">
        <f>'Data Cleaning'!B648</f>
        <v>45842</v>
      </c>
      <c r="C648" t="str">
        <f>'Data Cleaning'!C648</f>
        <v>Reebok</v>
      </c>
      <c r="D648" t="str">
        <f>'Data Cleaning'!D648</f>
        <v>Running</v>
      </c>
      <c r="E648" t="str">
        <f>'Data Cleaning'!E648</f>
        <v>Blue</v>
      </c>
      <c r="F648" t="str">
        <f>'Data Cleaning'!F648</f>
        <v>Saudi Arabia</v>
      </c>
      <c r="G648" t="str">
        <f>'Data Cleaning'!G648</f>
        <v>Mall</v>
      </c>
      <c r="H648" s="2">
        <f>'Data Cleaning'!H648</f>
        <v>34.42</v>
      </c>
      <c r="I648">
        <f>'Data Cleaning'!I648</f>
        <v>1</v>
      </c>
      <c r="J648" s="2">
        <f>'Data Cleaning'!J648</f>
        <v>34.42</v>
      </c>
    </row>
    <row r="649" spans="1:10" x14ac:dyDescent="0.25">
      <c r="A649" t="str">
        <f>'Data Cleaning'!A649</f>
        <v>S642</v>
      </c>
      <c r="B649" s="113">
        <f>'Data Cleaning'!B649</f>
        <v>45978</v>
      </c>
      <c r="C649" t="str">
        <f>'Data Cleaning'!C649</f>
        <v>Reebok</v>
      </c>
      <c r="D649" t="str">
        <f>'Data Cleaning'!D649</f>
        <v>Casual</v>
      </c>
      <c r="E649" t="str">
        <f>'Data Cleaning'!E649</f>
        <v>Black</v>
      </c>
      <c r="F649" t="str">
        <f>'Data Cleaning'!F649</f>
        <v>USA</v>
      </c>
      <c r="G649" t="str">
        <f>'Data Cleaning'!G649</f>
        <v>Online</v>
      </c>
      <c r="H649" s="2">
        <f>'Data Cleaning'!H649</f>
        <v>100.86</v>
      </c>
      <c r="I649">
        <f>'Data Cleaning'!I649</f>
        <v>20</v>
      </c>
      <c r="J649" s="2">
        <f>'Data Cleaning'!J649</f>
        <v>2017.2</v>
      </c>
    </row>
    <row r="650" spans="1:10" x14ac:dyDescent="0.25">
      <c r="A650" t="str">
        <f>'Data Cleaning'!A650</f>
        <v>S643</v>
      </c>
      <c r="B650" s="113">
        <f>'Data Cleaning'!B650</f>
        <v>45745</v>
      </c>
      <c r="C650" t="str">
        <f>'Data Cleaning'!C650</f>
        <v>Nike</v>
      </c>
      <c r="D650" t="str">
        <f>'Data Cleaning'!D650</f>
        <v>Formal</v>
      </c>
      <c r="E650" t="str">
        <f>'Data Cleaning'!E650</f>
        <v>Black</v>
      </c>
      <c r="F650" t="str">
        <f>'Data Cleaning'!F650</f>
        <v>France</v>
      </c>
      <c r="G650" t="str">
        <f>'Data Cleaning'!G650</f>
        <v>Retail Store</v>
      </c>
      <c r="H650" s="2">
        <f>'Data Cleaning'!H650</f>
        <v>76.52</v>
      </c>
      <c r="I650">
        <f>'Data Cleaning'!I650</f>
        <v>10</v>
      </c>
      <c r="J650" s="2">
        <f>'Data Cleaning'!J650</f>
        <v>765.2</v>
      </c>
    </row>
    <row r="651" spans="1:10" x14ac:dyDescent="0.25">
      <c r="A651" t="str">
        <f>'Data Cleaning'!A651</f>
        <v>S644</v>
      </c>
      <c r="B651" s="113">
        <f>'Data Cleaning'!B651</f>
        <v>45899</v>
      </c>
      <c r="C651" t="str">
        <f>'Data Cleaning'!C651</f>
        <v>Skechers</v>
      </c>
      <c r="D651" t="str">
        <f>'Data Cleaning'!D651</f>
        <v>Sports</v>
      </c>
      <c r="E651" t="str">
        <f>'Data Cleaning'!E651</f>
        <v>Black</v>
      </c>
      <c r="F651" t="str">
        <f>'Data Cleaning'!F651</f>
        <v>UAE</v>
      </c>
      <c r="G651" t="str">
        <f>'Data Cleaning'!G651</f>
        <v>Mall</v>
      </c>
      <c r="H651" s="2">
        <f>'Data Cleaning'!H651</f>
        <v>102.05</v>
      </c>
      <c r="I651">
        <f>'Data Cleaning'!I651</f>
        <v>16</v>
      </c>
      <c r="J651" s="2">
        <f>'Data Cleaning'!J651</f>
        <v>1632.8</v>
      </c>
    </row>
    <row r="652" spans="1:10" x14ac:dyDescent="0.25">
      <c r="A652" t="str">
        <f>'Data Cleaning'!A652</f>
        <v>S645</v>
      </c>
      <c r="B652" s="113">
        <f>'Data Cleaning'!B652</f>
        <v>45856</v>
      </c>
      <c r="C652" t="str">
        <f>'Data Cleaning'!C652</f>
        <v>Puma</v>
      </c>
      <c r="D652" t="str">
        <f>'Data Cleaning'!D652</f>
        <v>Formal</v>
      </c>
      <c r="E652" t="str">
        <f>'Data Cleaning'!E652</f>
        <v>Blue</v>
      </c>
      <c r="F652" t="str">
        <f>'Data Cleaning'!F652</f>
        <v>UK</v>
      </c>
      <c r="G652" t="str">
        <f>'Data Cleaning'!G652</f>
        <v>Retail Store</v>
      </c>
      <c r="H652" s="2">
        <f>'Data Cleaning'!H652</f>
        <v>56.35</v>
      </c>
      <c r="I652">
        <f>'Data Cleaning'!I652</f>
        <v>6</v>
      </c>
      <c r="J652" s="2">
        <f>'Data Cleaning'!J652</f>
        <v>338.1</v>
      </c>
    </row>
    <row r="653" spans="1:10" x14ac:dyDescent="0.25">
      <c r="A653" t="str">
        <f>'Data Cleaning'!A653</f>
        <v>S646</v>
      </c>
      <c r="B653" s="113">
        <f>'Data Cleaning'!B653</f>
        <v>45680</v>
      </c>
      <c r="C653" t="str">
        <f>'Data Cleaning'!C653</f>
        <v>Reebok</v>
      </c>
      <c r="D653" t="str">
        <f>'Data Cleaning'!D653</f>
        <v>Formal</v>
      </c>
      <c r="E653" t="str">
        <f>'Data Cleaning'!E653</f>
        <v>Blue</v>
      </c>
      <c r="F653" t="str">
        <f>'Data Cleaning'!F653</f>
        <v>UK</v>
      </c>
      <c r="G653" t="str">
        <f>'Data Cleaning'!G653</f>
        <v>Retail Store</v>
      </c>
      <c r="H653" s="2">
        <f>'Data Cleaning'!H653</f>
        <v>225.92</v>
      </c>
      <c r="I653">
        <f>'Data Cleaning'!I653</f>
        <v>9</v>
      </c>
      <c r="J653" s="2">
        <f>'Data Cleaning'!J653</f>
        <v>2033.28</v>
      </c>
    </row>
    <row r="654" spans="1:10" x14ac:dyDescent="0.25">
      <c r="A654" t="str">
        <f>'Data Cleaning'!A654</f>
        <v>S647</v>
      </c>
      <c r="B654" s="113">
        <f>'Data Cleaning'!B654</f>
        <v>45946</v>
      </c>
      <c r="C654" t="str">
        <f>'Data Cleaning'!C654</f>
        <v>Adidas</v>
      </c>
      <c r="D654" t="str">
        <f>'Data Cleaning'!D654</f>
        <v>Boots</v>
      </c>
      <c r="E654" t="str">
        <f>'Data Cleaning'!E654</f>
        <v>Green</v>
      </c>
      <c r="F654" t="str">
        <f>'Data Cleaning'!F654</f>
        <v>USA</v>
      </c>
      <c r="G654" t="str">
        <f>'Data Cleaning'!G654</f>
        <v>Online</v>
      </c>
      <c r="H654" s="2">
        <f>'Data Cleaning'!H654</f>
        <v>160.59</v>
      </c>
      <c r="I654">
        <f>'Data Cleaning'!I654</f>
        <v>2</v>
      </c>
      <c r="J654" s="2">
        <f>'Data Cleaning'!J654</f>
        <v>321.18</v>
      </c>
    </row>
    <row r="655" spans="1:10" x14ac:dyDescent="0.25">
      <c r="A655" t="str">
        <f>'Data Cleaning'!A655</f>
        <v>S648</v>
      </c>
      <c r="B655" s="113">
        <f>'Data Cleaning'!B655</f>
        <v>46000</v>
      </c>
      <c r="C655" t="str">
        <f>'Data Cleaning'!C655</f>
        <v>New Balance</v>
      </c>
      <c r="D655" t="str">
        <f>'Data Cleaning'!D655</f>
        <v>Formal</v>
      </c>
      <c r="E655" t="str">
        <f>'Data Cleaning'!E655</f>
        <v>Grey</v>
      </c>
      <c r="F655" t="str">
        <f>'Data Cleaning'!F655</f>
        <v>UK</v>
      </c>
      <c r="G655" t="str">
        <f>'Data Cleaning'!G655</f>
        <v>Mall</v>
      </c>
      <c r="H655" s="2">
        <f>'Data Cleaning'!H655</f>
        <v>179.4</v>
      </c>
      <c r="I655">
        <f>'Data Cleaning'!I655</f>
        <v>12</v>
      </c>
      <c r="J655" s="2">
        <f>'Data Cleaning'!J655</f>
        <v>2152.8000000000002</v>
      </c>
    </row>
    <row r="656" spans="1:10" x14ac:dyDescent="0.25">
      <c r="A656" t="str">
        <f>'Data Cleaning'!A656</f>
        <v>S649</v>
      </c>
      <c r="B656" s="113">
        <f>'Data Cleaning'!B656</f>
        <v>45689</v>
      </c>
      <c r="C656" t="str">
        <f>'Data Cleaning'!C656</f>
        <v>New Balance</v>
      </c>
      <c r="D656" t="str">
        <f>'Data Cleaning'!D656</f>
        <v>Formal</v>
      </c>
      <c r="E656" t="str">
        <f>'Data Cleaning'!E656</f>
        <v>Grey</v>
      </c>
      <c r="F656" t="str">
        <f>'Data Cleaning'!F656</f>
        <v>UAE</v>
      </c>
      <c r="G656" t="str">
        <f>'Data Cleaning'!G656</f>
        <v>Retail Store</v>
      </c>
      <c r="H656" s="2">
        <f>'Data Cleaning'!H656</f>
        <v>203.62</v>
      </c>
      <c r="I656">
        <f>'Data Cleaning'!I656</f>
        <v>13</v>
      </c>
      <c r="J656" s="2">
        <f>'Data Cleaning'!J656</f>
        <v>2647.06</v>
      </c>
    </row>
    <row r="657" spans="1:10" x14ac:dyDescent="0.25">
      <c r="A657" t="str">
        <f>'Data Cleaning'!A657</f>
        <v>S650</v>
      </c>
      <c r="B657" s="113">
        <f>'Data Cleaning'!B657</f>
        <v>45951</v>
      </c>
      <c r="C657" t="str">
        <f>'Data Cleaning'!C657</f>
        <v>Reebok</v>
      </c>
      <c r="D657" t="str">
        <f>'Data Cleaning'!D657</f>
        <v>Sports</v>
      </c>
      <c r="E657" t="str">
        <f>'Data Cleaning'!E657</f>
        <v>Black</v>
      </c>
      <c r="F657" t="str">
        <f>'Data Cleaning'!F657</f>
        <v>Germany</v>
      </c>
      <c r="G657" t="str">
        <f>'Data Cleaning'!G657</f>
        <v>Mall</v>
      </c>
      <c r="H657" s="2">
        <f>'Data Cleaning'!H657</f>
        <v>139.66</v>
      </c>
      <c r="I657">
        <f>'Data Cleaning'!I657</f>
        <v>8</v>
      </c>
      <c r="J657" s="2">
        <f>'Data Cleaning'!J657</f>
        <v>1117.28</v>
      </c>
    </row>
    <row r="658" spans="1:10" x14ac:dyDescent="0.25">
      <c r="A658" t="str">
        <f>'Data Cleaning'!A658</f>
        <v>S651</v>
      </c>
      <c r="B658" s="113">
        <f>'Data Cleaning'!B658</f>
        <v>45675</v>
      </c>
      <c r="C658" t="str">
        <f>'Data Cleaning'!C658</f>
        <v>New Balance</v>
      </c>
      <c r="D658" t="str">
        <f>'Data Cleaning'!D658</f>
        <v>Sneakers</v>
      </c>
      <c r="E658" t="str">
        <f>'Data Cleaning'!E658</f>
        <v>Grey</v>
      </c>
      <c r="F658" t="str">
        <f>'Data Cleaning'!F658</f>
        <v>UAE</v>
      </c>
      <c r="G658" t="str">
        <f>'Data Cleaning'!G658</f>
        <v>Mall</v>
      </c>
      <c r="H658" s="2">
        <f>'Data Cleaning'!H658</f>
        <v>49.12</v>
      </c>
      <c r="I658">
        <f>'Data Cleaning'!I658</f>
        <v>17</v>
      </c>
      <c r="J658" s="2">
        <f>'Data Cleaning'!J658</f>
        <v>835.04</v>
      </c>
    </row>
    <row r="659" spans="1:10" x14ac:dyDescent="0.25">
      <c r="A659" t="str">
        <f>'Data Cleaning'!A659</f>
        <v>S652</v>
      </c>
      <c r="B659" s="113">
        <f>'Data Cleaning'!B659</f>
        <v>45733</v>
      </c>
      <c r="C659" t="str">
        <f>'Data Cleaning'!C659</f>
        <v>Reebok</v>
      </c>
      <c r="D659" t="str">
        <f>'Data Cleaning'!D659</f>
        <v>Casual</v>
      </c>
      <c r="E659" t="str">
        <f>'Data Cleaning'!E659</f>
        <v>White</v>
      </c>
      <c r="F659" t="str">
        <f>'Data Cleaning'!F659</f>
        <v>UK</v>
      </c>
      <c r="G659" t="str">
        <f>'Data Cleaning'!G659</f>
        <v>Online</v>
      </c>
      <c r="H659" s="2">
        <f>'Data Cleaning'!H659</f>
        <v>148.16</v>
      </c>
      <c r="I659">
        <f>'Data Cleaning'!I659</f>
        <v>4</v>
      </c>
      <c r="J659" s="2">
        <f>'Data Cleaning'!J659</f>
        <v>592.64</v>
      </c>
    </row>
    <row r="660" spans="1:10" x14ac:dyDescent="0.25">
      <c r="A660" t="str">
        <f>'Data Cleaning'!A660</f>
        <v>S653</v>
      </c>
      <c r="B660" s="113">
        <f>'Data Cleaning'!B660</f>
        <v>45722</v>
      </c>
      <c r="C660" t="str">
        <f>'Data Cleaning'!C660</f>
        <v>Reebok</v>
      </c>
      <c r="D660" t="str">
        <f>'Data Cleaning'!D660</f>
        <v>Running</v>
      </c>
      <c r="E660" t="str">
        <f>'Data Cleaning'!E660</f>
        <v>Green</v>
      </c>
      <c r="F660" t="str">
        <f>'Data Cleaning'!F660</f>
        <v>Germany</v>
      </c>
      <c r="G660" t="str">
        <f>'Data Cleaning'!G660</f>
        <v>Online</v>
      </c>
      <c r="H660" s="2">
        <f>'Data Cleaning'!H660</f>
        <v>159.11000000000001</v>
      </c>
      <c r="I660">
        <f>'Data Cleaning'!I660</f>
        <v>2</v>
      </c>
      <c r="J660" s="2">
        <f>'Data Cleaning'!J660</f>
        <v>318.22000000000003</v>
      </c>
    </row>
    <row r="661" spans="1:10" x14ac:dyDescent="0.25">
      <c r="A661" t="str">
        <f>'Data Cleaning'!A661</f>
        <v>S654</v>
      </c>
      <c r="B661" s="113">
        <f>'Data Cleaning'!B661</f>
        <v>45979</v>
      </c>
      <c r="C661" t="str">
        <f>'Data Cleaning'!C661</f>
        <v>New Balance</v>
      </c>
      <c r="D661" t="str">
        <f>'Data Cleaning'!D661</f>
        <v>Sports</v>
      </c>
      <c r="E661" t="str">
        <f>'Data Cleaning'!E661</f>
        <v>Blue</v>
      </c>
      <c r="F661" t="str">
        <f>'Data Cleaning'!F661</f>
        <v>UAE</v>
      </c>
      <c r="G661" t="str">
        <f>'Data Cleaning'!G661</f>
        <v>Online</v>
      </c>
      <c r="H661" s="2">
        <f>'Data Cleaning'!H661</f>
        <v>194</v>
      </c>
      <c r="I661">
        <f>'Data Cleaning'!I661</f>
        <v>5</v>
      </c>
      <c r="J661" s="2">
        <f>'Data Cleaning'!J661</f>
        <v>970</v>
      </c>
    </row>
    <row r="662" spans="1:10" x14ac:dyDescent="0.25">
      <c r="A662" t="str">
        <f>'Data Cleaning'!A662</f>
        <v>S655</v>
      </c>
      <c r="B662" s="113">
        <f>'Data Cleaning'!B662</f>
        <v>45702</v>
      </c>
      <c r="C662" t="str">
        <f>'Data Cleaning'!C662</f>
        <v>New Balance</v>
      </c>
      <c r="D662" t="str">
        <f>'Data Cleaning'!D662</f>
        <v>Formal</v>
      </c>
      <c r="E662" t="str">
        <f>'Data Cleaning'!E662</f>
        <v>Grey</v>
      </c>
      <c r="F662" t="str">
        <f>'Data Cleaning'!F662</f>
        <v>France</v>
      </c>
      <c r="G662" t="str">
        <f>'Data Cleaning'!G662</f>
        <v>Retail Store</v>
      </c>
      <c r="H662" s="2">
        <f>'Data Cleaning'!H662</f>
        <v>124.97</v>
      </c>
      <c r="I662">
        <f>'Data Cleaning'!I662</f>
        <v>13</v>
      </c>
      <c r="J662" s="2">
        <f>'Data Cleaning'!J662</f>
        <v>1624.61</v>
      </c>
    </row>
    <row r="663" spans="1:10" x14ac:dyDescent="0.25">
      <c r="A663" t="str">
        <f>'Data Cleaning'!A663</f>
        <v>S656</v>
      </c>
      <c r="B663" s="113">
        <f>'Data Cleaning'!B663</f>
        <v>45924</v>
      </c>
      <c r="C663" t="str">
        <f>'Data Cleaning'!C663</f>
        <v>Nike</v>
      </c>
      <c r="D663" t="str">
        <f>'Data Cleaning'!D663</f>
        <v>Boots</v>
      </c>
      <c r="E663" t="str">
        <f>'Data Cleaning'!E663</f>
        <v>Grey</v>
      </c>
      <c r="F663" t="str">
        <f>'Data Cleaning'!F663</f>
        <v>India</v>
      </c>
      <c r="G663" t="str">
        <f>'Data Cleaning'!G663</f>
        <v>Mall</v>
      </c>
      <c r="H663" s="2">
        <f>'Data Cleaning'!H663</f>
        <v>58.07</v>
      </c>
      <c r="I663">
        <f>'Data Cleaning'!I663</f>
        <v>15</v>
      </c>
      <c r="J663" s="2">
        <f>'Data Cleaning'!J663</f>
        <v>871.05</v>
      </c>
    </row>
    <row r="664" spans="1:10" x14ac:dyDescent="0.25">
      <c r="A664" t="str">
        <f>'Data Cleaning'!A664</f>
        <v>S657</v>
      </c>
      <c r="B664" s="113">
        <f>'Data Cleaning'!B664</f>
        <v>45872</v>
      </c>
      <c r="C664" t="str">
        <f>'Data Cleaning'!C664</f>
        <v>Reebok</v>
      </c>
      <c r="D664" t="str">
        <f>'Data Cleaning'!D664</f>
        <v>Casual</v>
      </c>
      <c r="E664" t="str">
        <f>'Data Cleaning'!E664</f>
        <v>White</v>
      </c>
      <c r="F664" t="str">
        <f>'Data Cleaning'!F664</f>
        <v>India</v>
      </c>
      <c r="G664" t="str">
        <f>'Data Cleaning'!G664</f>
        <v>Mall</v>
      </c>
      <c r="H664" s="2">
        <f>'Data Cleaning'!H664</f>
        <v>92.43</v>
      </c>
      <c r="I664">
        <f>'Data Cleaning'!I664</f>
        <v>4</v>
      </c>
      <c r="J664" s="2">
        <f>'Data Cleaning'!J664</f>
        <v>369.72</v>
      </c>
    </row>
    <row r="665" spans="1:10" x14ac:dyDescent="0.25">
      <c r="A665" t="str">
        <f>'Data Cleaning'!A665</f>
        <v>S658</v>
      </c>
      <c r="B665" s="113">
        <f>'Data Cleaning'!B665</f>
        <v>45956</v>
      </c>
      <c r="C665" t="str">
        <f>'Data Cleaning'!C665</f>
        <v>Nike</v>
      </c>
      <c r="D665" t="str">
        <f>'Data Cleaning'!D665</f>
        <v>Sneakers</v>
      </c>
      <c r="E665" t="str">
        <f>'Data Cleaning'!E665</f>
        <v>Black</v>
      </c>
      <c r="F665" t="str">
        <f>'Data Cleaning'!F665</f>
        <v>Saudi Arabia</v>
      </c>
      <c r="G665" t="str">
        <f>'Data Cleaning'!G665</f>
        <v>Retail Store</v>
      </c>
      <c r="H665" s="2">
        <f>'Data Cleaning'!H665</f>
        <v>109.88</v>
      </c>
      <c r="I665">
        <f>'Data Cleaning'!I665</f>
        <v>4</v>
      </c>
      <c r="J665" s="2">
        <f>'Data Cleaning'!J665</f>
        <v>439.52</v>
      </c>
    </row>
    <row r="666" spans="1:10" x14ac:dyDescent="0.25">
      <c r="A666" t="str">
        <f>'Data Cleaning'!A666</f>
        <v>S659</v>
      </c>
      <c r="B666" s="113">
        <f>'Data Cleaning'!B666</f>
        <v>45932</v>
      </c>
      <c r="C666" t="str">
        <f>'Data Cleaning'!C666</f>
        <v>Reebok</v>
      </c>
      <c r="D666" t="str">
        <f>'Data Cleaning'!D666</f>
        <v>Sports</v>
      </c>
      <c r="E666" t="str">
        <f>'Data Cleaning'!E666</f>
        <v>Red</v>
      </c>
      <c r="F666" t="str">
        <f>'Data Cleaning'!F666</f>
        <v>UAE</v>
      </c>
      <c r="G666" t="str">
        <f>'Data Cleaning'!G666</f>
        <v>Retail Store</v>
      </c>
      <c r="H666" s="2">
        <f>'Data Cleaning'!H666</f>
        <v>172.1</v>
      </c>
      <c r="I666">
        <f>'Data Cleaning'!I666</f>
        <v>12</v>
      </c>
      <c r="J666" s="2">
        <f>'Data Cleaning'!J666</f>
        <v>2065.1999999999998</v>
      </c>
    </row>
    <row r="667" spans="1:10" x14ac:dyDescent="0.25">
      <c r="A667" t="str">
        <f>'Data Cleaning'!A667</f>
        <v>S660</v>
      </c>
      <c r="B667" s="113">
        <f>'Data Cleaning'!B667</f>
        <v>45950</v>
      </c>
      <c r="C667" t="str">
        <f>'Data Cleaning'!C667</f>
        <v>Reebok</v>
      </c>
      <c r="D667" t="str">
        <f>'Data Cleaning'!D667</f>
        <v>Running</v>
      </c>
      <c r="E667" t="str">
        <f>'Data Cleaning'!E667</f>
        <v>White</v>
      </c>
      <c r="F667" t="str">
        <f>'Data Cleaning'!F667</f>
        <v>France</v>
      </c>
      <c r="G667" t="str">
        <f>'Data Cleaning'!G667</f>
        <v>Retail Store</v>
      </c>
      <c r="H667" s="2">
        <f>'Data Cleaning'!H667</f>
        <v>155.57</v>
      </c>
      <c r="I667">
        <f>'Data Cleaning'!I667</f>
        <v>20</v>
      </c>
      <c r="J667" s="2">
        <f>'Data Cleaning'!J667</f>
        <v>3111.4</v>
      </c>
    </row>
    <row r="668" spans="1:10" x14ac:dyDescent="0.25">
      <c r="A668" t="str">
        <f>'Data Cleaning'!A668</f>
        <v>S661</v>
      </c>
      <c r="B668" s="113">
        <f>'Data Cleaning'!B668</f>
        <v>45731</v>
      </c>
      <c r="C668" t="str">
        <f>'Data Cleaning'!C668</f>
        <v>New Balance</v>
      </c>
      <c r="D668" t="str">
        <f>'Data Cleaning'!D668</f>
        <v>Boots</v>
      </c>
      <c r="E668" t="str">
        <f>'Data Cleaning'!E668</f>
        <v>Green</v>
      </c>
      <c r="F668" t="str">
        <f>'Data Cleaning'!F668</f>
        <v>Germany</v>
      </c>
      <c r="G668" t="str">
        <f>'Data Cleaning'!G668</f>
        <v>Online</v>
      </c>
      <c r="H668" s="2">
        <f>'Data Cleaning'!H668</f>
        <v>108.34</v>
      </c>
      <c r="I668">
        <f>'Data Cleaning'!I668</f>
        <v>20</v>
      </c>
      <c r="J668" s="2">
        <f>'Data Cleaning'!J668</f>
        <v>2166.8000000000002</v>
      </c>
    </row>
    <row r="669" spans="1:10" x14ac:dyDescent="0.25">
      <c r="A669" t="str">
        <f>'Data Cleaning'!A669</f>
        <v>S662</v>
      </c>
      <c r="B669" s="113">
        <f>'Data Cleaning'!B669</f>
        <v>45860</v>
      </c>
      <c r="C669" t="str">
        <f>'Data Cleaning'!C669</f>
        <v>Skechers</v>
      </c>
      <c r="D669" t="str">
        <f>'Data Cleaning'!D669</f>
        <v>Casual</v>
      </c>
      <c r="E669" t="str">
        <f>'Data Cleaning'!E669</f>
        <v>Black</v>
      </c>
      <c r="F669" t="str">
        <f>'Data Cleaning'!F669</f>
        <v>UAE</v>
      </c>
      <c r="G669" t="str">
        <f>'Data Cleaning'!G669</f>
        <v>Retail Store</v>
      </c>
      <c r="H669" s="2">
        <f>'Data Cleaning'!H669</f>
        <v>247.03</v>
      </c>
      <c r="I669">
        <f>'Data Cleaning'!I669</f>
        <v>11</v>
      </c>
      <c r="J669" s="2">
        <f>'Data Cleaning'!J669</f>
        <v>2717.33</v>
      </c>
    </row>
    <row r="670" spans="1:10" x14ac:dyDescent="0.25">
      <c r="A670" t="str">
        <f>'Data Cleaning'!A670</f>
        <v>S663</v>
      </c>
      <c r="B670" s="113">
        <f>'Data Cleaning'!B670</f>
        <v>45795</v>
      </c>
      <c r="C670" t="str">
        <f>'Data Cleaning'!C670</f>
        <v>Nike</v>
      </c>
      <c r="D670" t="str">
        <f>'Data Cleaning'!D670</f>
        <v>Sports</v>
      </c>
      <c r="E670" t="str">
        <f>'Data Cleaning'!E670</f>
        <v>Blue</v>
      </c>
      <c r="F670" t="str">
        <f>'Data Cleaning'!F670</f>
        <v>France</v>
      </c>
      <c r="G670" t="str">
        <f>'Data Cleaning'!G670</f>
        <v>Retail Store</v>
      </c>
      <c r="H670" s="2">
        <f>'Data Cleaning'!H670</f>
        <v>163.27000000000001</v>
      </c>
      <c r="I670">
        <f>'Data Cleaning'!I670</f>
        <v>12</v>
      </c>
      <c r="J670" s="2">
        <f>'Data Cleaning'!J670</f>
        <v>1959.24</v>
      </c>
    </row>
    <row r="671" spans="1:10" x14ac:dyDescent="0.25">
      <c r="A671" t="str">
        <f>'Data Cleaning'!A671</f>
        <v>S664</v>
      </c>
      <c r="B671" s="113">
        <f>'Data Cleaning'!B671</f>
        <v>45909</v>
      </c>
      <c r="C671" t="str">
        <f>'Data Cleaning'!C671</f>
        <v>Adidas</v>
      </c>
      <c r="D671" t="str">
        <f>'Data Cleaning'!D671</f>
        <v>Casual</v>
      </c>
      <c r="E671" t="str">
        <f>'Data Cleaning'!E671</f>
        <v>Blue</v>
      </c>
      <c r="F671" t="str">
        <f>'Data Cleaning'!F671</f>
        <v>UAE</v>
      </c>
      <c r="G671" t="str">
        <f>'Data Cleaning'!G671</f>
        <v>Retail Store</v>
      </c>
      <c r="H671" s="2">
        <f>'Data Cleaning'!H671</f>
        <v>82.19</v>
      </c>
      <c r="I671">
        <f>'Data Cleaning'!I671</f>
        <v>4</v>
      </c>
      <c r="J671" s="2">
        <f>'Data Cleaning'!J671</f>
        <v>328.76</v>
      </c>
    </row>
    <row r="672" spans="1:10" x14ac:dyDescent="0.25">
      <c r="A672" t="str">
        <f>'Data Cleaning'!A672</f>
        <v>S665</v>
      </c>
      <c r="B672" s="113">
        <f>'Data Cleaning'!B672</f>
        <v>45822</v>
      </c>
      <c r="C672" t="str">
        <f>'Data Cleaning'!C672</f>
        <v>Skechers</v>
      </c>
      <c r="D672" t="str">
        <f>'Data Cleaning'!D672</f>
        <v>Formal</v>
      </c>
      <c r="E672" t="str">
        <f>'Data Cleaning'!E672</f>
        <v>Grey</v>
      </c>
      <c r="F672" t="str">
        <f>'Data Cleaning'!F672</f>
        <v>UAE</v>
      </c>
      <c r="G672" t="str">
        <f>'Data Cleaning'!G672</f>
        <v>Online</v>
      </c>
      <c r="H672" s="2">
        <f>'Data Cleaning'!H672</f>
        <v>52.39</v>
      </c>
      <c r="I672">
        <f>'Data Cleaning'!I672</f>
        <v>9</v>
      </c>
      <c r="J672" s="2">
        <f>'Data Cleaning'!J672</f>
        <v>471.51</v>
      </c>
    </row>
    <row r="673" spans="1:10" x14ac:dyDescent="0.25">
      <c r="A673" t="str">
        <f>'Data Cleaning'!A673</f>
        <v>S666</v>
      </c>
      <c r="B673" s="113">
        <f>'Data Cleaning'!B673</f>
        <v>45754</v>
      </c>
      <c r="C673" t="str">
        <f>'Data Cleaning'!C673</f>
        <v>Adidas</v>
      </c>
      <c r="D673" t="str">
        <f>'Data Cleaning'!D673</f>
        <v>Formal</v>
      </c>
      <c r="E673" t="str">
        <f>'Data Cleaning'!E673</f>
        <v>Green</v>
      </c>
      <c r="F673" t="str">
        <f>'Data Cleaning'!F673</f>
        <v>Germany</v>
      </c>
      <c r="G673" t="str">
        <f>'Data Cleaning'!G673</f>
        <v>Mall</v>
      </c>
      <c r="H673" s="2">
        <f>'Data Cleaning'!H673</f>
        <v>63.63</v>
      </c>
      <c r="I673">
        <f>'Data Cleaning'!I673</f>
        <v>15</v>
      </c>
      <c r="J673" s="2">
        <f>'Data Cleaning'!J673</f>
        <v>954.45</v>
      </c>
    </row>
    <row r="674" spans="1:10" x14ac:dyDescent="0.25">
      <c r="A674" t="str">
        <f>'Data Cleaning'!A674</f>
        <v>S667</v>
      </c>
      <c r="B674" s="113">
        <f>'Data Cleaning'!B674</f>
        <v>45849</v>
      </c>
      <c r="C674" t="str">
        <f>'Data Cleaning'!C674</f>
        <v>New Balance</v>
      </c>
      <c r="D674" t="str">
        <f>'Data Cleaning'!D674</f>
        <v>Casual</v>
      </c>
      <c r="E674" t="str">
        <f>'Data Cleaning'!E674</f>
        <v>Black</v>
      </c>
      <c r="F674" t="str">
        <f>'Data Cleaning'!F674</f>
        <v>France</v>
      </c>
      <c r="G674" t="str">
        <f>'Data Cleaning'!G674</f>
        <v>Mall</v>
      </c>
      <c r="H674" s="2">
        <f>'Data Cleaning'!H674</f>
        <v>84.11</v>
      </c>
      <c r="I674">
        <f>'Data Cleaning'!I674</f>
        <v>2</v>
      </c>
      <c r="J674" s="2">
        <f>'Data Cleaning'!J674</f>
        <v>168.22</v>
      </c>
    </row>
    <row r="675" spans="1:10" x14ac:dyDescent="0.25">
      <c r="A675" t="str">
        <f>'Data Cleaning'!A675</f>
        <v>S668</v>
      </c>
      <c r="B675" s="113">
        <f>'Data Cleaning'!B675</f>
        <v>45917</v>
      </c>
      <c r="C675" t="str">
        <f>'Data Cleaning'!C675</f>
        <v>Adidas</v>
      </c>
      <c r="D675" t="str">
        <f>'Data Cleaning'!D675</f>
        <v>Sneakers</v>
      </c>
      <c r="E675" t="str">
        <f>'Data Cleaning'!E675</f>
        <v>Grey</v>
      </c>
      <c r="F675" t="str">
        <f>'Data Cleaning'!F675</f>
        <v>USA</v>
      </c>
      <c r="G675" t="str">
        <f>'Data Cleaning'!G675</f>
        <v>Online</v>
      </c>
      <c r="H675" s="2">
        <f>'Data Cleaning'!H675</f>
        <v>65.349999999999994</v>
      </c>
      <c r="I675">
        <f>'Data Cleaning'!I675</f>
        <v>13</v>
      </c>
      <c r="J675" s="2">
        <f>'Data Cleaning'!J675</f>
        <v>849.55</v>
      </c>
    </row>
    <row r="676" spans="1:10" x14ac:dyDescent="0.25">
      <c r="A676" t="str">
        <f>'Data Cleaning'!A676</f>
        <v>S669</v>
      </c>
      <c r="B676" s="113">
        <f>'Data Cleaning'!B676</f>
        <v>45756</v>
      </c>
      <c r="C676" t="str">
        <f>'Data Cleaning'!C676</f>
        <v>Nike</v>
      </c>
      <c r="D676" t="str">
        <f>'Data Cleaning'!D676</f>
        <v>Casual</v>
      </c>
      <c r="E676" t="str">
        <f>'Data Cleaning'!E676</f>
        <v>Black</v>
      </c>
      <c r="F676" t="str">
        <f>'Data Cleaning'!F676</f>
        <v>Germany</v>
      </c>
      <c r="G676" t="str">
        <f>'Data Cleaning'!G676</f>
        <v>Online</v>
      </c>
      <c r="H676" s="2">
        <f>'Data Cleaning'!H676</f>
        <v>71.040000000000006</v>
      </c>
      <c r="I676">
        <f>'Data Cleaning'!I676</f>
        <v>7</v>
      </c>
      <c r="J676" s="2">
        <f>'Data Cleaning'!J676</f>
        <v>497.28</v>
      </c>
    </row>
    <row r="677" spans="1:10" x14ac:dyDescent="0.25">
      <c r="A677" t="str">
        <f>'Data Cleaning'!A677</f>
        <v>S670</v>
      </c>
      <c r="B677" s="113">
        <f>'Data Cleaning'!B677</f>
        <v>45842</v>
      </c>
      <c r="C677" t="str">
        <f>'Data Cleaning'!C677</f>
        <v>Puma</v>
      </c>
      <c r="D677" t="str">
        <f>'Data Cleaning'!D677</f>
        <v>Sports</v>
      </c>
      <c r="E677" t="str">
        <f>'Data Cleaning'!E677</f>
        <v>Red</v>
      </c>
      <c r="F677" t="str">
        <f>'Data Cleaning'!F677</f>
        <v>India</v>
      </c>
      <c r="G677" t="str">
        <f>'Data Cleaning'!G677</f>
        <v>Retail Store</v>
      </c>
      <c r="H677" s="2">
        <f>'Data Cleaning'!H677</f>
        <v>92.72</v>
      </c>
      <c r="I677">
        <f>'Data Cleaning'!I677</f>
        <v>7</v>
      </c>
      <c r="J677" s="2">
        <f>'Data Cleaning'!J677</f>
        <v>649.04</v>
      </c>
    </row>
    <row r="678" spans="1:10" x14ac:dyDescent="0.25">
      <c r="A678" t="str">
        <f>'Data Cleaning'!A678</f>
        <v>S671</v>
      </c>
      <c r="B678" s="113">
        <f>'Data Cleaning'!B678</f>
        <v>45983</v>
      </c>
      <c r="C678" t="str">
        <f>'Data Cleaning'!C678</f>
        <v>Skechers</v>
      </c>
      <c r="D678" t="str">
        <f>'Data Cleaning'!D678</f>
        <v>Running</v>
      </c>
      <c r="E678" t="str">
        <f>'Data Cleaning'!E678</f>
        <v>White</v>
      </c>
      <c r="F678" t="str">
        <f>'Data Cleaning'!F678</f>
        <v>France</v>
      </c>
      <c r="G678" t="str">
        <f>'Data Cleaning'!G678</f>
        <v>Retail Store</v>
      </c>
      <c r="H678" s="2">
        <f>'Data Cleaning'!H678</f>
        <v>68.14</v>
      </c>
      <c r="I678">
        <f>'Data Cleaning'!I678</f>
        <v>4</v>
      </c>
      <c r="J678" s="2">
        <f>'Data Cleaning'!J678</f>
        <v>272.56</v>
      </c>
    </row>
    <row r="679" spans="1:10" x14ac:dyDescent="0.25">
      <c r="A679" t="str">
        <f>'Data Cleaning'!A679</f>
        <v>S672</v>
      </c>
      <c r="B679" s="113">
        <f>'Data Cleaning'!B679</f>
        <v>45962</v>
      </c>
      <c r="C679" t="str">
        <f>'Data Cleaning'!C679</f>
        <v>Adidas</v>
      </c>
      <c r="D679" t="str">
        <f>'Data Cleaning'!D679</f>
        <v>Formal</v>
      </c>
      <c r="E679" t="str">
        <f>'Data Cleaning'!E679</f>
        <v>Grey</v>
      </c>
      <c r="F679" t="str">
        <f>'Data Cleaning'!F679</f>
        <v>India</v>
      </c>
      <c r="G679" t="str">
        <f>'Data Cleaning'!G679</f>
        <v>Retail Store</v>
      </c>
      <c r="H679" s="2">
        <f>'Data Cleaning'!H679</f>
        <v>227.29</v>
      </c>
      <c r="I679">
        <f>'Data Cleaning'!I679</f>
        <v>15</v>
      </c>
      <c r="J679" s="2">
        <f>'Data Cleaning'!J679</f>
        <v>3409.35</v>
      </c>
    </row>
    <row r="680" spans="1:10" x14ac:dyDescent="0.25">
      <c r="A680" t="str">
        <f>'Data Cleaning'!A680</f>
        <v>S673</v>
      </c>
      <c r="B680" s="113">
        <f>'Data Cleaning'!B680</f>
        <v>45834</v>
      </c>
      <c r="C680" t="str">
        <f>'Data Cleaning'!C680</f>
        <v>Puma</v>
      </c>
      <c r="D680" t="str">
        <f>'Data Cleaning'!D680</f>
        <v>Boots</v>
      </c>
      <c r="E680" t="str">
        <f>'Data Cleaning'!E680</f>
        <v>Green</v>
      </c>
      <c r="F680" t="str">
        <f>'Data Cleaning'!F680</f>
        <v>USA</v>
      </c>
      <c r="G680" t="str">
        <f>'Data Cleaning'!G680</f>
        <v>Retail Store</v>
      </c>
      <c r="H680" s="2">
        <f>'Data Cleaning'!H680</f>
        <v>47.65</v>
      </c>
      <c r="I680">
        <f>'Data Cleaning'!I680</f>
        <v>6</v>
      </c>
      <c r="J680" s="2">
        <f>'Data Cleaning'!J680</f>
        <v>285.89999999999998</v>
      </c>
    </row>
    <row r="681" spans="1:10" x14ac:dyDescent="0.25">
      <c r="A681" t="str">
        <f>'Data Cleaning'!A681</f>
        <v>S674</v>
      </c>
      <c r="B681" s="113">
        <f>'Data Cleaning'!B681</f>
        <v>45672</v>
      </c>
      <c r="C681" t="str">
        <f>'Data Cleaning'!C681</f>
        <v>Nike</v>
      </c>
      <c r="D681" t="str">
        <f>'Data Cleaning'!D681</f>
        <v>Casual</v>
      </c>
      <c r="E681" t="str">
        <f>'Data Cleaning'!E681</f>
        <v>Grey</v>
      </c>
      <c r="F681" t="str">
        <f>'Data Cleaning'!F681</f>
        <v>Saudi Arabia</v>
      </c>
      <c r="G681" t="str">
        <f>'Data Cleaning'!G681</f>
        <v>Online</v>
      </c>
      <c r="H681" s="2">
        <f>'Data Cleaning'!H681</f>
        <v>145.38999999999999</v>
      </c>
      <c r="I681">
        <f>'Data Cleaning'!I681</f>
        <v>13</v>
      </c>
      <c r="J681" s="2">
        <f>'Data Cleaning'!J681</f>
        <v>1890.07</v>
      </c>
    </row>
    <row r="682" spans="1:10" x14ac:dyDescent="0.25">
      <c r="A682" t="str">
        <f>'Data Cleaning'!A682</f>
        <v>S675</v>
      </c>
      <c r="B682" s="113">
        <f>'Data Cleaning'!B682</f>
        <v>45771</v>
      </c>
      <c r="C682" t="str">
        <f>'Data Cleaning'!C682</f>
        <v>Skechers</v>
      </c>
      <c r="D682" t="str">
        <f>'Data Cleaning'!D682</f>
        <v>Casual</v>
      </c>
      <c r="E682" t="str">
        <f>'Data Cleaning'!E682</f>
        <v>Blue</v>
      </c>
      <c r="F682" t="str">
        <f>'Data Cleaning'!F682</f>
        <v>UAE</v>
      </c>
      <c r="G682" t="str">
        <f>'Data Cleaning'!G682</f>
        <v>Retail Store</v>
      </c>
      <c r="H682" s="2">
        <f>'Data Cleaning'!H682</f>
        <v>120.29</v>
      </c>
      <c r="I682">
        <f>'Data Cleaning'!I682</f>
        <v>8</v>
      </c>
      <c r="J682" s="2">
        <f>'Data Cleaning'!J682</f>
        <v>962.32</v>
      </c>
    </row>
    <row r="683" spans="1:10" x14ac:dyDescent="0.25">
      <c r="A683" t="str">
        <f>'Data Cleaning'!A683</f>
        <v>S676</v>
      </c>
      <c r="B683" s="113">
        <f>'Data Cleaning'!B683</f>
        <v>45920</v>
      </c>
      <c r="C683" t="str">
        <f>'Data Cleaning'!C683</f>
        <v>Skechers</v>
      </c>
      <c r="D683" t="str">
        <f>'Data Cleaning'!D683</f>
        <v>Running</v>
      </c>
      <c r="E683" t="str">
        <f>'Data Cleaning'!E683</f>
        <v>Red</v>
      </c>
      <c r="F683" t="str">
        <f>'Data Cleaning'!F683</f>
        <v>UK</v>
      </c>
      <c r="G683" t="str">
        <f>'Data Cleaning'!G683</f>
        <v>Mall</v>
      </c>
      <c r="H683" s="2">
        <f>'Data Cleaning'!H683</f>
        <v>246.12</v>
      </c>
      <c r="I683">
        <f>'Data Cleaning'!I683</f>
        <v>1</v>
      </c>
      <c r="J683" s="2">
        <f>'Data Cleaning'!J683</f>
        <v>246.12</v>
      </c>
    </row>
    <row r="684" spans="1:10" x14ac:dyDescent="0.25">
      <c r="A684" t="str">
        <f>'Data Cleaning'!A684</f>
        <v>S677</v>
      </c>
      <c r="B684" s="113">
        <f>'Data Cleaning'!B684</f>
        <v>45746</v>
      </c>
      <c r="C684" t="str">
        <f>'Data Cleaning'!C684</f>
        <v>Nike</v>
      </c>
      <c r="D684" t="str">
        <f>'Data Cleaning'!D684</f>
        <v>Casual</v>
      </c>
      <c r="E684" t="str">
        <f>'Data Cleaning'!E684</f>
        <v>Blue</v>
      </c>
      <c r="F684" t="str">
        <f>'Data Cleaning'!F684</f>
        <v>India</v>
      </c>
      <c r="G684" t="str">
        <f>'Data Cleaning'!G684</f>
        <v>Retail Store</v>
      </c>
      <c r="H684" s="2">
        <f>'Data Cleaning'!H684</f>
        <v>54.65</v>
      </c>
      <c r="I684">
        <f>'Data Cleaning'!I684</f>
        <v>20</v>
      </c>
      <c r="J684" s="2">
        <f>'Data Cleaning'!J684</f>
        <v>1093</v>
      </c>
    </row>
    <row r="685" spans="1:10" x14ac:dyDescent="0.25">
      <c r="A685" t="str">
        <f>'Data Cleaning'!A685</f>
        <v>S678</v>
      </c>
      <c r="B685" s="113">
        <f>'Data Cleaning'!B685</f>
        <v>46022</v>
      </c>
      <c r="C685" t="str">
        <f>'Data Cleaning'!C685</f>
        <v>Reebok</v>
      </c>
      <c r="D685" t="str">
        <f>'Data Cleaning'!D685</f>
        <v>Formal</v>
      </c>
      <c r="E685" t="str">
        <f>'Data Cleaning'!E685</f>
        <v>Blue</v>
      </c>
      <c r="F685" t="str">
        <f>'Data Cleaning'!F685</f>
        <v>Germany</v>
      </c>
      <c r="G685" t="str">
        <f>'Data Cleaning'!G685</f>
        <v>Retail Store</v>
      </c>
      <c r="H685" s="2">
        <f>'Data Cleaning'!H685</f>
        <v>117.53</v>
      </c>
      <c r="I685">
        <f>'Data Cleaning'!I685</f>
        <v>9</v>
      </c>
      <c r="J685" s="2">
        <f>'Data Cleaning'!J685</f>
        <v>1057.77</v>
      </c>
    </row>
    <row r="686" spans="1:10" x14ac:dyDescent="0.25">
      <c r="A686" t="str">
        <f>'Data Cleaning'!A686</f>
        <v>S679</v>
      </c>
      <c r="B686" s="113">
        <f>'Data Cleaning'!B686</f>
        <v>45769</v>
      </c>
      <c r="C686" t="str">
        <f>'Data Cleaning'!C686</f>
        <v>Puma</v>
      </c>
      <c r="D686" t="str">
        <f>'Data Cleaning'!D686</f>
        <v>Boots</v>
      </c>
      <c r="E686" t="str">
        <f>'Data Cleaning'!E686</f>
        <v>Grey</v>
      </c>
      <c r="F686" t="str">
        <f>'Data Cleaning'!F686</f>
        <v>Saudi Arabia</v>
      </c>
      <c r="G686" t="str">
        <f>'Data Cleaning'!G686</f>
        <v>Mall</v>
      </c>
      <c r="H686" s="2">
        <f>'Data Cleaning'!H686</f>
        <v>243.28</v>
      </c>
      <c r="I686">
        <f>'Data Cleaning'!I686</f>
        <v>15</v>
      </c>
      <c r="J686" s="2">
        <f>'Data Cleaning'!J686</f>
        <v>3649.2</v>
      </c>
    </row>
    <row r="687" spans="1:10" x14ac:dyDescent="0.25">
      <c r="A687" t="str">
        <f>'Data Cleaning'!A687</f>
        <v>S680</v>
      </c>
      <c r="B687" s="113">
        <f>'Data Cleaning'!B687</f>
        <v>45861</v>
      </c>
      <c r="C687" t="str">
        <f>'Data Cleaning'!C687</f>
        <v>Nike</v>
      </c>
      <c r="D687" t="str">
        <f>'Data Cleaning'!D687</f>
        <v>Running</v>
      </c>
      <c r="E687" t="str">
        <f>'Data Cleaning'!E687</f>
        <v>Grey</v>
      </c>
      <c r="F687" t="str">
        <f>'Data Cleaning'!F687</f>
        <v>UAE</v>
      </c>
      <c r="G687" t="str">
        <f>'Data Cleaning'!G687</f>
        <v>Retail Store</v>
      </c>
      <c r="H687" s="2">
        <f>'Data Cleaning'!H687</f>
        <v>220.41</v>
      </c>
      <c r="I687">
        <f>'Data Cleaning'!I687</f>
        <v>19</v>
      </c>
      <c r="J687" s="2">
        <f>'Data Cleaning'!J687</f>
        <v>4187.79</v>
      </c>
    </row>
    <row r="688" spans="1:10" x14ac:dyDescent="0.25">
      <c r="A688" t="str">
        <f>'Data Cleaning'!A688</f>
        <v>S681</v>
      </c>
      <c r="B688" s="113">
        <f>'Data Cleaning'!B688</f>
        <v>45945</v>
      </c>
      <c r="C688" t="str">
        <f>'Data Cleaning'!C688</f>
        <v>New Balance</v>
      </c>
      <c r="D688" t="str">
        <f>'Data Cleaning'!D688</f>
        <v>Sports</v>
      </c>
      <c r="E688" t="str">
        <f>'Data Cleaning'!E688</f>
        <v>Blue</v>
      </c>
      <c r="F688" t="str">
        <f>'Data Cleaning'!F688</f>
        <v>UAE</v>
      </c>
      <c r="G688" t="str">
        <f>'Data Cleaning'!G688</f>
        <v>Online</v>
      </c>
      <c r="H688" s="2">
        <f>'Data Cleaning'!H688</f>
        <v>209.76</v>
      </c>
      <c r="I688">
        <f>'Data Cleaning'!I688</f>
        <v>20</v>
      </c>
      <c r="J688" s="2">
        <f>'Data Cleaning'!J688</f>
        <v>4195.2</v>
      </c>
    </row>
    <row r="689" spans="1:10" x14ac:dyDescent="0.25">
      <c r="A689" t="str">
        <f>'Data Cleaning'!A689</f>
        <v>S682</v>
      </c>
      <c r="B689" s="113">
        <f>'Data Cleaning'!B689</f>
        <v>45904</v>
      </c>
      <c r="C689" t="str">
        <f>'Data Cleaning'!C689</f>
        <v>Puma</v>
      </c>
      <c r="D689" t="str">
        <f>'Data Cleaning'!D689</f>
        <v>Sports</v>
      </c>
      <c r="E689" t="str">
        <f>'Data Cleaning'!E689</f>
        <v>Green</v>
      </c>
      <c r="F689" t="str">
        <f>'Data Cleaning'!F689</f>
        <v>France</v>
      </c>
      <c r="G689" t="str">
        <f>'Data Cleaning'!G689</f>
        <v>Retail Store</v>
      </c>
      <c r="H689" s="2">
        <f>'Data Cleaning'!H689</f>
        <v>86.74</v>
      </c>
      <c r="I689">
        <f>'Data Cleaning'!I689</f>
        <v>3</v>
      </c>
      <c r="J689" s="2">
        <f>'Data Cleaning'!J689</f>
        <v>260.22000000000003</v>
      </c>
    </row>
    <row r="690" spans="1:10" x14ac:dyDescent="0.25">
      <c r="A690" t="str">
        <f>'Data Cleaning'!A690</f>
        <v>S683</v>
      </c>
      <c r="B690" s="113">
        <f>'Data Cleaning'!B690</f>
        <v>45791</v>
      </c>
      <c r="C690" t="str">
        <f>'Data Cleaning'!C690</f>
        <v>Adidas</v>
      </c>
      <c r="D690" t="str">
        <f>'Data Cleaning'!D690</f>
        <v>Casual</v>
      </c>
      <c r="E690" t="str">
        <f>'Data Cleaning'!E690</f>
        <v>Grey</v>
      </c>
      <c r="F690" t="str">
        <f>'Data Cleaning'!F690</f>
        <v>Saudi Arabia</v>
      </c>
      <c r="G690" t="str">
        <f>'Data Cleaning'!G690</f>
        <v>Online</v>
      </c>
      <c r="H690" s="2">
        <f>'Data Cleaning'!H690</f>
        <v>67.599999999999994</v>
      </c>
      <c r="I690">
        <f>'Data Cleaning'!I690</f>
        <v>10</v>
      </c>
      <c r="J690" s="2">
        <f>'Data Cleaning'!J690</f>
        <v>676</v>
      </c>
    </row>
    <row r="691" spans="1:10" x14ac:dyDescent="0.25">
      <c r="A691" t="str">
        <f>'Data Cleaning'!A691</f>
        <v>S684</v>
      </c>
      <c r="B691" s="113">
        <f>'Data Cleaning'!B691</f>
        <v>45687</v>
      </c>
      <c r="C691" t="str">
        <f>'Data Cleaning'!C691</f>
        <v>Reebok</v>
      </c>
      <c r="D691" t="str">
        <f>'Data Cleaning'!D691</f>
        <v>Boots</v>
      </c>
      <c r="E691" t="str">
        <f>'Data Cleaning'!E691</f>
        <v>Blue</v>
      </c>
      <c r="F691" t="str">
        <f>'Data Cleaning'!F691</f>
        <v>UAE</v>
      </c>
      <c r="G691" t="str">
        <f>'Data Cleaning'!G691</f>
        <v>Online</v>
      </c>
      <c r="H691" s="2">
        <f>'Data Cleaning'!H691</f>
        <v>177.1</v>
      </c>
      <c r="I691">
        <f>'Data Cleaning'!I691</f>
        <v>20</v>
      </c>
      <c r="J691" s="2">
        <f>'Data Cleaning'!J691</f>
        <v>3542</v>
      </c>
    </row>
    <row r="692" spans="1:10" x14ac:dyDescent="0.25">
      <c r="A692" t="str">
        <f>'Data Cleaning'!A692</f>
        <v>S685</v>
      </c>
      <c r="B692" s="113">
        <f>'Data Cleaning'!B692</f>
        <v>45671</v>
      </c>
      <c r="C692" t="str">
        <f>'Data Cleaning'!C692</f>
        <v>Puma</v>
      </c>
      <c r="D692" t="str">
        <f>'Data Cleaning'!D692</f>
        <v>Sports</v>
      </c>
      <c r="E692" t="str">
        <f>'Data Cleaning'!E692</f>
        <v>Red</v>
      </c>
      <c r="F692" t="str">
        <f>'Data Cleaning'!F692</f>
        <v>Germany</v>
      </c>
      <c r="G692" t="str">
        <f>'Data Cleaning'!G692</f>
        <v>Retail Store</v>
      </c>
      <c r="H692" s="2">
        <f>'Data Cleaning'!H692</f>
        <v>234.46</v>
      </c>
      <c r="I692">
        <f>'Data Cleaning'!I692</f>
        <v>16</v>
      </c>
      <c r="J692" s="2">
        <f>'Data Cleaning'!J692</f>
        <v>3751.36</v>
      </c>
    </row>
    <row r="693" spans="1:10" x14ac:dyDescent="0.25">
      <c r="A693" t="str">
        <f>'Data Cleaning'!A693</f>
        <v>S686</v>
      </c>
      <c r="B693" s="113">
        <f>'Data Cleaning'!B693</f>
        <v>45676</v>
      </c>
      <c r="C693" t="str">
        <f>'Data Cleaning'!C693</f>
        <v>Skechers</v>
      </c>
      <c r="D693" t="str">
        <f>'Data Cleaning'!D693</f>
        <v>Sneakers</v>
      </c>
      <c r="E693" t="str">
        <f>'Data Cleaning'!E693</f>
        <v>White</v>
      </c>
      <c r="F693" t="str">
        <f>'Data Cleaning'!F693</f>
        <v>France</v>
      </c>
      <c r="G693" t="str">
        <f>'Data Cleaning'!G693</f>
        <v>Mall</v>
      </c>
      <c r="H693" s="2">
        <f>'Data Cleaning'!H693</f>
        <v>152.49</v>
      </c>
      <c r="I693">
        <f>'Data Cleaning'!I693</f>
        <v>19</v>
      </c>
      <c r="J693" s="2">
        <f>'Data Cleaning'!J693</f>
        <v>2897.31</v>
      </c>
    </row>
    <row r="694" spans="1:10" x14ac:dyDescent="0.25">
      <c r="A694" t="str">
        <f>'Data Cleaning'!A694</f>
        <v>S687</v>
      </c>
      <c r="B694" s="113">
        <f>'Data Cleaning'!B694</f>
        <v>45771</v>
      </c>
      <c r="C694" t="str">
        <f>'Data Cleaning'!C694</f>
        <v>Skechers</v>
      </c>
      <c r="D694" t="str">
        <f>'Data Cleaning'!D694</f>
        <v>Formal</v>
      </c>
      <c r="E694" t="str">
        <f>'Data Cleaning'!E694</f>
        <v>Green</v>
      </c>
      <c r="F694" t="str">
        <f>'Data Cleaning'!F694</f>
        <v>France</v>
      </c>
      <c r="G694" t="str">
        <f>'Data Cleaning'!G694</f>
        <v>Mall</v>
      </c>
      <c r="H694" s="2">
        <f>'Data Cleaning'!H694</f>
        <v>155.75</v>
      </c>
      <c r="I694">
        <f>'Data Cleaning'!I694</f>
        <v>18</v>
      </c>
      <c r="J694" s="2">
        <f>'Data Cleaning'!J694</f>
        <v>2803.5</v>
      </c>
    </row>
    <row r="695" spans="1:10" x14ac:dyDescent="0.25">
      <c r="A695" t="str">
        <f>'Data Cleaning'!A695</f>
        <v>S688</v>
      </c>
      <c r="B695" s="113">
        <f>'Data Cleaning'!B695</f>
        <v>45811</v>
      </c>
      <c r="C695" t="str">
        <f>'Data Cleaning'!C695</f>
        <v>Skechers</v>
      </c>
      <c r="D695" t="str">
        <f>'Data Cleaning'!D695</f>
        <v>Sneakers</v>
      </c>
      <c r="E695" t="str">
        <f>'Data Cleaning'!E695</f>
        <v>White</v>
      </c>
      <c r="F695" t="str">
        <f>'Data Cleaning'!F695</f>
        <v>France</v>
      </c>
      <c r="G695" t="str">
        <f>'Data Cleaning'!G695</f>
        <v>Online</v>
      </c>
      <c r="H695" s="2">
        <f>'Data Cleaning'!H695</f>
        <v>91.6</v>
      </c>
      <c r="I695">
        <f>'Data Cleaning'!I695</f>
        <v>6</v>
      </c>
      <c r="J695" s="2">
        <f>'Data Cleaning'!J695</f>
        <v>549.6</v>
      </c>
    </row>
    <row r="696" spans="1:10" x14ac:dyDescent="0.25">
      <c r="A696" t="str">
        <f>'Data Cleaning'!A696</f>
        <v>S689</v>
      </c>
      <c r="B696" s="113">
        <f>'Data Cleaning'!B696</f>
        <v>45899</v>
      </c>
      <c r="C696" t="str">
        <f>'Data Cleaning'!C696</f>
        <v>Skechers</v>
      </c>
      <c r="D696" t="str">
        <f>'Data Cleaning'!D696</f>
        <v>Sports</v>
      </c>
      <c r="E696" t="str">
        <f>'Data Cleaning'!E696</f>
        <v>Green</v>
      </c>
      <c r="F696" t="str">
        <f>'Data Cleaning'!F696</f>
        <v>Saudi Arabia</v>
      </c>
      <c r="G696" t="str">
        <f>'Data Cleaning'!G696</f>
        <v>Mall</v>
      </c>
      <c r="H696" s="2">
        <f>'Data Cleaning'!H696</f>
        <v>199.29</v>
      </c>
      <c r="I696">
        <f>'Data Cleaning'!I696</f>
        <v>5</v>
      </c>
      <c r="J696" s="2">
        <f>'Data Cleaning'!J696</f>
        <v>996.45</v>
      </c>
    </row>
    <row r="697" spans="1:10" x14ac:dyDescent="0.25">
      <c r="A697" t="str">
        <f>'Data Cleaning'!A697</f>
        <v>S690</v>
      </c>
      <c r="B697" s="113">
        <f>'Data Cleaning'!B697</f>
        <v>45751</v>
      </c>
      <c r="C697" t="str">
        <f>'Data Cleaning'!C697</f>
        <v>Skechers</v>
      </c>
      <c r="D697" t="str">
        <f>'Data Cleaning'!D697</f>
        <v>Running</v>
      </c>
      <c r="E697" t="str">
        <f>'Data Cleaning'!E697</f>
        <v>White</v>
      </c>
      <c r="F697" t="str">
        <f>'Data Cleaning'!F697</f>
        <v>France</v>
      </c>
      <c r="G697" t="str">
        <f>'Data Cleaning'!G697</f>
        <v>Online</v>
      </c>
      <c r="H697" s="2">
        <f>'Data Cleaning'!H697</f>
        <v>71.150000000000006</v>
      </c>
      <c r="I697">
        <f>'Data Cleaning'!I697</f>
        <v>11</v>
      </c>
      <c r="J697" s="2">
        <f>'Data Cleaning'!J697</f>
        <v>782.65</v>
      </c>
    </row>
    <row r="698" spans="1:10" x14ac:dyDescent="0.25">
      <c r="A698" t="str">
        <f>'Data Cleaning'!A698</f>
        <v>S691</v>
      </c>
      <c r="B698" s="113">
        <f>'Data Cleaning'!B698</f>
        <v>45815</v>
      </c>
      <c r="C698" t="str">
        <f>'Data Cleaning'!C698</f>
        <v>Puma</v>
      </c>
      <c r="D698" t="str">
        <f>'Data Cleaning'!D698</f>
        <v>Sports</v>
      </c>
      <c r="E698" t="str">
        <f>'Data Cleaning'!E698</f>
        <v>Blue</v>
      </c>
      <c r="F698" t="str">
        <f>'Data Cleaning'!F698</f>
        <v>India</v>
      </c>
      <c r="G698" t="str">
        <f>'Data Cleaning'!G698</f>
        <v>Retail Store</v>
      </c>
      <c r="H698" s="2">
        <f>'Data Cleaning'!H698</f>
        <v>101.21</v>
      </c>
      <c r="I698">
        <f>'Data Cleaning'!I698</f>
        <v>14</v>
      </c>
      <c r="J698" s="2">
        <f>'Data Cleaning'!J698</f>
        <v>1416.94</v>
      </c>
    </row>
    <row r="699" spans="1:10" x14ac:dyDescent="0.25">
      <c r="A699" t="str">
        <f>'Data Cleaning'!A699</f>
        <v>S692</v>
      </c>
      <c r="B699" s="113">
        <f>'Data Cleaning'!B699</f>
        <v>45895</v>
      </c>
      <c r="C699" t="str">
        <f>'Data Cleaning'!C699</f>
        <v>Reebok</v>
      </c>
      <c r="D699" t="str">
        <f>'Data Cleaning'!D699</f>
        <v>Running</v>
      </c>
      <c r="E699" t="str">
        <f>'Data Cleaning'!E699</f>
        <v>Green</v>
      </c>
      <c r="F699" t="str">
        <f>'Data Cleaning'!F699</f>
        <v>India</v>
      </c>
      <c r="G699" t="str">
        <f>'Data Cleaning'!G699</f>
        <v>Mall</v>
      </c>
      <c r="H699" s="2">
        <f>'Data Cleaning'!H699</f>
        <v>123.6</v>
      </c>
      <c r="I699">
        <f>'Data Cleaning'!I699</f>
        <v>4</v>
      </c>
      <c r="J699" s="2">
        <f>'Data Cleaning'!J699</f>
        <v>494.4</v>
      </c>
    </row>
    <row r="700" spans="1:10" x14ac:dyDescent="0.25">
      <c r="A700" t="str">
        <f>'Data Cleaning'!A700</f>
        <v>S693</v>
      </c>
      <c r="B700" s="113">
        <f>'Data Cleaning'!B700</f>
        <v>45975</v>
      </c>
      <c r="C700" t="str">
        <f>'Data Cleaning'!C700</f>
        <v>Reebok</v>
      </c>
      <c r="D700" t="str">
        <f>'Data Cleaning'!D700</f>
        <v>Casual</v>
      </c>
      <c r="E700" t="str">
        <f>'Data Cleaning'!E700</f>
        <v>Grey</v>
      </c>
      <c r="F700" t="str">
        <f>'Data Cleaning'!F700</f>
        <v>USA</v>
      </c>
      <c r="G700" t="str">
        <f>'Data Cleaning'!G700</f>
        <v>Mall</v>
      </c>
      <c r="H700" s="2">
        <f>'Data Cleaning'!H700</f>
        <v>141.66999999999999</v>
      </c>
      <c r="I700">
        <f>'Data Cleaning'!I700</f>
        <v>3</v>
      </c>
      <c r="J700" s="2">
        <f>'Data Cleaning'!J700</f>
        <v>425.01</v>
      </c>
    </row>
    <row r="701" spans="1:10" x14ac:dyDescent="0.25">
      <c r="A701" t="str">
        <f>'Data Cleaning'!A701</f>
        <v>S694</v>
      </c>
      <c r="B701" s="113">
        <f>'Data Cleaning'!B701</f>
        <v>45853</v>
      </c>
      <c r="C701" t="str">
        <f>'Data Cleaning'!C701</f>
        <v>Puma</v>
      </c>
      <c r="D701" t="str">
        <f>'Data Cleaning'!D701</f>
        <v>Formal</v>
      </c>
      <c r="E701" t="str">
        <f>'Data Cleaning'!E701</f>
        <v>Black</v>
      </c>
      <c r="F701" t="str">
        <f>'Data Cleaning'!F701</f>
        <v>Saudi Arabia</v>
      </c>
      <c r="G701" t="str">
        <f>'Data Cleaning'!G701</f>
        <v>Online</v>
      </c>
      <c r="H701" s="2">
        <f>'Data Cleaning'!H701</f>
        <v>83.33</v>
      </c>
      <c r="I701">
        <f>'Data Cleaning'!I701</f>
        <v>17</v>
      </c>
      <c r="J701" s="2">
        <f>'Data Cleaning'!J701</f>
        <v>1416.61</v>
      </c>
    </row>
    <row r="702" spans="1:10" x14ac:dyDescent="0.25">
      <c r="A702" t="str">
        <f>'Data Cleaning'!A702</f>
        <v>S695</v>
      </c>
      <c r="B702" s="113">
        <f>'Data Cleaning'!B702</f>
        <v>45728</v>
      </c>
      <c r="C702" t="str">
        <f>'Data Cleaning'!C702</f>
        <v>Puma</v>
      </c>
      <c r="D702" t="str">
        <f>'Data Cleaning'!D702</f>
        <v>Formal</v>
      </c>
      <c r="E702" t="str">
        <f>'Data Cleaning'!E702</f>
        <v>Grey</v>
      </c>
      <c r="F702" t="str">
        <f>'Data Cleaning'!F702</f>
        <v>Germany</v>
      </c>
      <c r="G702" t="str">
        <f>'Data Cleaning'!G702</f>
        <v>Online</v>
      </c>
      <c r="H702" s="2">
        <f>'Data Cleaning'!H702</f>
        <v>55.26</v>
      </c>
      <c r="I702">
        <f>'Data Cleaning'!I702</f>
        <v>7</v>
      </c>
      <c r="J702" s="2">
        <f>'Data Cleaning'!J702</f>
        <v>386.82</v>
      </c>
    </row>
    <row r="703" spans="1:10" x14ac:dyDescent="0.25">
      <c r="A703" t="str">
        <f>'Data Cleaning'!A703</f>
        <v>S696</v>
      </c>
      <c r="B703" s="113">
        <f>'Data Cleaning'!B703</f>
        <v>45819</v>
      </c>
      <c r="C703" t="str">
        <f>'Data Cleaning'!C703</f>
        <v>Nike</v>
      </c>
      <c r="D703" t="str">
        <f>'Data Cleaning'!D703</f>
        <v>Formal</v>
      </c>
      <c r="E703" t="str">
        <f>'Data Cleaning'!E703</f>
        <v>Blue</v>
      </c>
      <c r="F703" t="str">
        <f>'Data Cleaning'!F703</f>
        <v>UAE</v>
      </c>
      <c r="G703" t="str">
        <f>'Data Cleaning'!G703</f>
        <v>Online</v>
      </c>
      <c r="H703" s="2">
        <f>'Data Cleaning'!H703</f>
        <v>164.34</v>
      </c>
      <c r="I703">
        <f>'Data Cleaning'!I703</f>
        <v>6</v>
      </c>
      <c r="J703" s="2">
        <f>'Data Cleaning'!J703</f>
        <v>986.04</v>
      </c>
    </row>
    <row r="704" spans="1:10" x14ac:dyDescent="0.25">
      <c r="A704" t="str">
        <f>'Data Cleaning'!A704</f>
        <v>S697</v>
      </c>
      <c r="B704" s="113">
        <f>'Data Cleaning'!B704</f>
        <v>45818</v>
      </c>
      <c r="C704" t="str">
        <f>'Data Cleaning'!C704</f>
        <v>Nike</v>
      </c>
      <c r="D704" t="str">
        <f>'Data Cleaning'!D704</f>
        <v>Formal</v>
      </c>
      <c r="E704" t="str">
        <f>'Data Cleaning'!E704</f>
        <v>Blue</v>
      </c>
      <c r="F704" t="str">
        <f>'Data Cleaning'!F704</f>
        <v>UK</v>
      </c>
      <c r="G704" t="str">
        <f>'Data Cleaning'!G704</f>
        <v>Online</v>
      </c>
      <c r="H704" s="2">
        <f>'Data Cleaning'!H704</f>
        <v>93.5</v>
      </c>
      <c r="I704">
        <f>'Data Cleaning'!I704</f>
        <v>2</v>
      </c>
      <c r="J704" s="2">
        <f>'Data Cleaning'!J704</f>
        <v>187</v>
      </c>
    </row>
    <row r="705" spans="1:10" x14ac:dyDescent="0.25">
      <c r="A705" t="str">
        <f>'Data Cleaning'!A705</f>
        <v>S698</v>
      </c>
      <c r="B705" s="113">
        <f>'Data Cleaning'!B705</f>
        <v>45953</v>
      </c>
      <c r="C705" t="str">
        <f>'Data Cleaning'!C705</f>
        <v>Reebok</v>
      </c>
      <c r="D705" t="str">
        <f>'Data Cleaning'!D705</f>
        <v>Running</v>
      </c>
      <c r="E705" t="str">
        <f>'Data Cleaning'!E705</f>
        <v>White</v>
      </c>
      <c r="F705" t="str">
        <f>'Data Cleaning'!F705</f>
        <v>India</v>
      </c>
      <c r="G705" t="str">
        <f>'Data Cleaning'!G705</f>
        <v>Retail Store</v>
      </c>
      <c r="H705" s="2">
        <f>'Data Cleaning'!H705</f>
        <v>157.87</v>
      </c>
      <c r="I705">
        <f>'Data Cleaning'!I705</f>
        <v>6</v>
      </c>
      <c r="J705" s="2">
        <f>'Data Cleaning'!J705</f>
        <v>947.22</v>
      </c>
    </row>
    <row r="706" spans="1:10" x14ac:dyDescent="0.25">
      <c r="A706" t="str">
        <f>'Data Cleaning'!A706</f>
        <v>S699</v>
      </c>
      <c r="B706" s="113">
        <f>'Data Cleaning'!B706</f>
        <v>45982</v>
      </c>
      <c r="C706" t="str">
        <f>'Data Cleaning'!C706</f>
        <v>Reebok</v>
      </c>
      <c r="D706" t="str">
        <f>'Data Cleaning'!D706</f>
        <v>Formal</v>
      </c>
      <c r="E706" t="str">
        <f>'Data Cleaning'!E706</f>
        <v>Red</v>
      </c>
      <c r="F706" t="str">
        <f>'Data Cleaning'!F706</f>
        <v>Germany</v>
      </c>
      <c r="G706" t="str">
        <f>'Data Cleaning'!G706</f>
        <v>Online</v>
      </c>
      <c r="H706" s="2">
        <f>'Data Cleaning'!H706</f>
        <v>63.96</v>
      </c>
      <c r="I706">
        <f>'Data Cleaning'!I706</f>
        <v>14</v>
      </c>
      <c r="J706" s="2">
        <f>'Data Cleaning'!J706</f>
        <v>895.44</v>
      </c>
    </row>
    <row r="707" spans="1:10" x14ac:dyDescent="0.25">
      <c r="A707" t="str">
        <f>'Data Cleaning'!A707</f>
        <v>S700</v>
      </c>
      <c r="B707" s="113">
        <f>'Data Cleaning'!B707</f>
        <v>45677</v>
      </c>
      <c r="C707" t="str">
        <f>'Data Cleaning'!C707</f>
        <v>Adidas</v>
      </c>
      <c r="D707" t="str">
        <f>'Data Cleaning'!D707</f>
        <v>Boots</v>
      </c>
      <c r="E707" t="str">
        <f>'Data Cleaning'!E707</f>
        <v>Blue</v>
      </c>
      <c r="F707" t="str">
        <f>'Data Cleaning'!F707</f>
        <v>USA</v>
      </c>
      <c r="G707" t="str">
        <f>'Data Cleaning'!G707</f>
        <v>Retail Store</v>
      </c>
      <c r="H707" s="2">
        <f>'Data Cleaning'!H707</f>
        <v>135.85</v>
      </c>
      <c r="I707">
        <f>'Data Cleaning'!I707</f>
        <v>18</v>
      </c>
      <c r="J707" s="2">
        <f>'Data Cleaning'!J707</f>
        <v>2445.3000000000002</v>
      </c>
    </row>
    <row r="708" spans="1:10" x14ac:dyDescent="0.25">
      <c r="A708" t="str">
        <f>'Data Cleaning'!A708</f>
        <v>S701</v>
      </c>
      <c r="B708" s="113">
        <f>'Data Cleaning'!B708</f>
        <v>45929</v>
      </c>
      <c r="C708" t="str">
        <f>'Data Cleaning'!C708</f>
        <v>Nike</v>
      </c>
      <c r="D708" t="str">
        <f>'Data Cleaning'!D708</f>
        <v>Boots</v>
      </c>
      <c r="E708" t="str">
        <f>'Data Cleaning'!E708</f>
        <v>Black</v>
      </c>
      <c r="F708" t="str">
        <f>'Data Cleaning'!F708</f>
        <v>UAE</v>
      </c>
      <c r="G708" t="str">
        <f>'Data Cleaning'!G708</f>
        <v>Mall</v>
      </c>
      <c r="H708" s="2">
        <f>'Data Cleaning'!H708</f>
        <v>147.16999999999999</v>
      </c>
      <c r="I708">
        <f>'Data Cleaning'!I708</f>
        <v>7</v>
      </c>
      <c r="J708" s="2">
        <f>'Data Cleaning'!J708</f>
        <v>1030.19</v>
      </c>
    </row>
    <row r="709" spans="1:10" x14ac:dyDescent="0.25">
      <c r="A709" t="str">
        <f>'Data Cleaning'!A709</f>
        <v>S702</v>
      </c>
      <c r="B709" s="113">
        <f>'Data Cleaning'!B709</f>
        <v>45785</v>
      </c>
      <c r="C709" t="str">
        <f>'Data Cleaning'!C709</f>
        <v>Skechers</v>
      </c>
      <c r="D709" t="str">
        <f>'Data Cleaning'!D709</f>
        <v>Sports</v>
      </c>
      <c r="E709" t="str">
        <f>'Data Cleaning'!E709</f>
        <v>Blue</v>
      </c>
      <c r="F709" t="str">
        <f>'Data Cleaning'!F709</f>
        <v>UK</v>
      </c>
      <c r="G709" t="str">
        <f>'Data Cleaning'!G709</f>
        <v>Online</v>
      </c>
      <c r="H709" s="2">
        <f>'Data Cleaning'!H709</f>
        <v>41.4</v>
      </c>
      <c r="I709">
        <f>'Data Cleaning'!I709</f>
        <v>8</v>
      </c>
      <c r="J709" s="2">
        <f>'Data Cleaning'!J709</f>
        <v>331.2</v>
      </c>
    </row>
    <row r="710" spans="1:10" x14ac:dyDescent="0.25">
      <c r="A710" t="str">
        <f>'Data Cleaning'!A710</f>
        <v>S703</v>
      </c>
      <c r="B710" s="113">
        <f>'Data Cleaning'!B710</f>
        <v>45854</v>
      </c>
      <c r="C710" t="str">
        <f>'Data Cleaning'!C710</f>
        <v>New Balance</v>
      </c>
      <c r="D710" t="str">
        <f>'Data Cleaning'!D710</f>
        <v>Sports</v>
      </c>
      <c r="E710" t="str">
        <f>'Data Cleaning'!E710</f>
        <v>White</v>
      </c>
      <c r="F710" t="str">
        <f>'Data Cleaning'!F710</f>
        <v>USA</v>
      </c>
      <c r="G710" t="str">
        <f>'Data Cleaning'!G710</f>
        <v>Online</v>
      </c>
      <c r="H710" s="2">
        <f>'Data Cleaning'!H710</f>
        <v>104.05</v>
      </c>
      <c r="I710">
        <f>'Data Cleaning'!I710</f>
        <v>17</v>
      </c>
      <c r="J710" s="2">
        <f>'Data Cleaning'!J710</f>
        <v>1768.85</v>
      </c>
    </row>
    <row r="711" spans="1:10" x14ac:dyDescent="0.25">
      <c r="A711" t="str">
        <f>'Data Cleaning'!A711</f>
        <v>S704</v>
      </c>
      <c r="B711" s="113">
        <f>'Data Cleaning'!B711</f>
        <v>45810</v>
      </c>
      <c r="C711" t="str">
        <f>'Data Cleaning'!C711</f>
        <v>Reebok</v>
      </c>
      <c r="D711" t="str">
        <f>'Data Cleaning'!D711</f>
        <v>Boots</v>
      </c>
      <c r="E711" t="str">
        <f>'Data Cleaning'!E711</f>
        <v>Grey</v>
      </c>
      <c r="F711" t="str">
        <f>'Data Cleaning'!F711</f>
        <v>India</v>
      </c>
      <c r="G711" t="str">
        <f>'Data Cleaning'!G711</f>
        <v>Mall</v>
      </c>
      <c r="H711" s="2">
        <f>'Data Cleaning'!H711</f>
        <v>59.57</v>
      </c>
      <c r="I711">
        <f>'Data Cleaning'!I711</f>
        <v>10</v>
      </c>
      <c r="J711" s="2">
        <f>'Data Cleaning'!J711</f>
        <v>595.70000000000005</v>
      </c>
    </row>
    <row r="712" spans="1:10" x14ac:dyDescent="0.25">
      <c r="A712" t="str">
        <f>'Data Cleaning'!A712</f>
        <v>S705</v>
      </c>
      <c r="B712" s="113">
        <f>'Data Cleaning'!B712</f>
        <v>45830</v>
      </c>
      <c r="C712" t="str">
        <f>'Data Cleaning'!C712</f>
        <v>Skechers</v>
      </c>
      <c r="D712" t="str">
        <f>'Data Cleaning'!D712</f>
        <v>Casual</v>
      </c>
      <c r="E712" t="str">
        <f>'Data Cleaning'!E712</f>
        <v>Blue</v>
      </c>
      <c r="F712" t="str">
        <f>'Data Cleaning'!F712</f>
        <v>Germany</v>
      </c>
      <c r="G712" t="str">
        <f>'Data Cleaning'!G712</f>
        <v>Retail Store</v>
      </c>
      <c r="H712" s="2">
        <f>'Data Cleaning'!H712</f>
        <v>43.94</v>
      </c>
      <c r="I712">
        <f>'Data Cleaning'!I712</f>
        <v>14</v>
      </c>
      <c r="J712" s="2">
        <f>'Data Cleaning'!J712</f>
        <v>615.16</v>
      </c>
    </row>
    <row r="713" spans="1:10" x14ac:dyDescent="0.25">
      <c r="A713" t="str">
        <f>'Data Cleaning'!A713</f>
        <v>S706</v>
      </c>
      <c r="B713" s="113">
        <f>'Data Cleaning'!B713</f>
        <v>45754</v>
      </c>
      <c r="C713" t="str">
        <f>'Data Cleaning'!C713</f>
        <v>Reebok</v>
      </c>
      <c r="D713" t="str">
        <f>'Data Cleaning'!D713</f>
        <v>Running</v>
      </c>
      <c r="E713" t="str">
        <f>'Data Cleaning'!E713</f>
        <v>White</v>
      </c>
      <c r="F713" t="str">
        <f>'Data Cleaning'!F713</f>
        <v>UK</v>
      </c>
      <c r="G713" t="str">
        <f>'Data Cleaning'!G713</f>
        <v>Mall</v>
      </c>
      <c r="H713" s="2">
        <f>'Data Cleaning'!H713</f>
        <v>247.79</v>
      </c>
      <c r="I713">
        <f>'Data Cleaning'!I713</f>
        <v>6</v>
      </c>
      <c r="J713" s="2">
        <f>'Data Cleaning'!J713</f>
        <v>1486.74</v>
      </c>
    </row>
    <row r="714" spans="1:10" x14ac:dyDescent="0.25">
      <c r="A714" t="str">
        <f>'Data Cleaning'!A714</f>
        <v>S707</v>
      </c>
      <c r="B714" s="113">
        <f>'Data Cleaning'!B714</f>
        <v>45725</v>
      </c>
      <c r="C714" t="str">
        <f>'Data Cleaning'!C714</f>
        <v>Skechers</v>
      </c>
      <c r="D714" t="str">
        <f>'Data Cleaning'!D714</f>
        <v>Running</v>
      </c>
      <c r="E714" t="str">
        <f>'Data Cleaning'!E714</f>
        <v>Grey</v>
      </c>
      <c r="F714" t="str">
        <f>'Data Cleaning'!F714</f>
        <v>India</v>
      </c>
      <c r="G714" t="str">
        <f>'Data Cleaning'!G714</f>
        <v>Online</v>
      </c>
      <c r="H714" s="2">
        <f>'Data Cleaning'!H714</f>
        <v>100.92</v>
      </c>
      <c r="I714">
        <f>'Data Cleaning'!I714</f>
        <v>7</v>
      </c>
      <c r="J714" s="2">
        <f>'Data Cleaning'!J714</f>
        <v>706.44</v>
      </c>
    </row>
    <row r="715" spans="1:10" x14ac:dyDescent="0.25">
      <c r="A715" t="str">
        <f>'Data Cleaning'!A715</f>
        <v>S708</v>
      </c>
      <c r="B715" s="113">
        <f>'Data Cleaning'!B715</f>
        <v>45721</v>
      </c>
      <c r="C715" t="str">
        <f>'Data Cleaning'!C715</f>
        <v>Skechers</v>
      </c>
      <c r="D715" t="str">
        <f>'Data Cleaning'!D715</f>
        <v>Boots</v>
      </c>
      <c r="E715" t="str">
        <f>'Data Cleaning'!E715</f>
        <v>Black</v>
      </c>
      <c r="F715" t="str">
        <f>'Data Cleaning'!F715</f>
        <v>Germany</v>
      </c>
      <c r="G715" t="str">
        <f>'Data Cleaning'!G715</f>
        <v>Mall</v>
      </c>
      <c r="H715" s="2">
        <f>'Data Cleaning'!H715</f>
        <v>208.17</v>
      </c>
      <c r="I715">
        <f>'Data Cleaning'!I715</f>
        <v>12</v>
      </c>
      <c r="J715" s="2">
        <f>'Data Cleaning'!J715</f>
        <v>2498.04</v>
      </c>
    </row>
    <row r="716" spans="1:10" x14ac:dyDescent="0.25">
      <c r="A716" t="str">
        <f>'Data Cleaning'!A716</f>
        <v>S709</v>
      </c>
      <c r="B716" s="113">
        <f>'Data Cleaning'!B716</f>
        <v>45788</v>
      </c>
      <c r="C716" t="str">
        <f>'Data Cleaning'!C716</f>
        <v>New Balance</v>
      </c>
      <c r="D716" t="str">
        <f>'Data Cleaning'!D716</f>
        <v>Running</v>
      </c>
      <c r="E716" t="str">
        <f>'Data Cleaning'!E716</f>
        <v>Grey</v>
      </c>
      <c r="F716" t="str">
        <f>'Data Cleaning'!F716</f>
        <v>USA</v>
      </c>
      <c r="G716" t="str">
        <f>'Data Cleaning'!G716</f>
        <v>Mall</v>
      </c>
      <c r="H716" s="2">
        <f>'Data Cleaning'!H716</f>
        <v>86.02</v>
      </c>
      <c r="I716">
        <f>'Data Cleaning'!I716</f>
        <v>18</v>
      </c>
      <c r="J716" s="2">
        <f>'Data Cleaning'!J716</f>
        <v>1548.36</v>
      </c>
    </row>
    <row r="717" spans="1:10" x14ac:dyDescent="0.25">
      <c r="A717" t="str">
        <f>'Data Cleaning'!A717</f>
        <v>S710</v>
      </c>
      <c r="B717" s="113">
        <f>'Data Cleaning'!B717</f>
        <v>45713</v>
      </c>
      <c r="C717" t="str">
        <f>'Data Cleaning'!C717</f>
        <v>Nike</v>
      </c>
      <c r="D717" t="str">
        <f>'Data Cleaning'!D717</f>
        <v>Boots</v>
      </c>
      <c r="E717" t="str">
        <f>'Data Cleaning'!E717</f>
        <v>Black</v>
      </c>
      <c r="F717" t="str">
        <f>'Data Cleaning'!F717</f>
        <v>Germany</v>
      </c>
      <c r="G717" t="str">
        <f>'Data Cleaning'!G717</f>
        <v>Retail Store</v>
      </c>
      <c r="H717" s="2">
        <f>'Data Cleaning'!H717</f>
        <v>179.93</v>
      </c>
      <c r="I717">
        <f>'Data Cleaning'!I717</f>
        <v>1</v>
      </c>
      <c r="J717" s="2">
        <f>'Data Cleaning'!J717</f>
        <v>179.93</v>
      </c>
    </row>
    <row r="718" spans="1:10" x14ac:dyDescent="0.25">
      <c r="A718" t="str">
        <f>'Data Cleaning'!A718</f>
        <v>S711</v>
      </c>
      <c r="B718" s="113">
        <f>'Data Cleaning'!B718</f>
        <v>45852</v>
      </c>
      <c r="C718" t="str">
        <f>'Data Cleaning'!C718</f>
        <v>New Balance</v>
      </c>
      <c r="D718" t="str">
        <f>'Data Cleaning'!D718</f>
        <v>Sports</v>
      </c>
      <c r="E718" t="str">
        <f>'Data Cleaning'!E718</f>
        <v>Red</v>
      </c>
      <c r="F718" t="str">
        <f>'Data Cleaning'!F718</f>
        <v>UAE</v>
      </c>
      <c r="G718" t="str">
        <f>'Data Cleaning'!G718</f>
        <v>Online</v>
      </c>
      <c r="H718" s="2">
        <f>'Data Cleaning'!H718</f>
        <v>197.25</v>
      </c>
      <c r="I718">
        <f>'Data Cleaning'!I718</f>
        <v>4</v>
      </c>
      <c r="J718" s="2">
        <f>'Data Cleaning'!J718</f>
        <v>789</v>
      </c>
    </row>
    <row r="719" spans="1:10" x14ac:dyDescent="0.25">
      <c r="A719" t="str">
        <f>'Data Cleaning'!A719</f>
        <v>S712</v>
      </c>
      <c r="B719" s="113">
        <f>'Data Cleaning'!B719</f>
        <v>45763</v>
      </c>
      <c r="C719" t="str">
        <f>'Data Cleaning'!C719</f>
        <v>Puma</v>
      </c>
      <c r="D719" t="str">
        <f>'Data Cleaning'!D719</f>
        <v>Formal</v>
      </c>
      <c r="E719" t="str">
        <f>'Data Cleaning'!E719</f>
        <v>Green</v>
      </c>
      <c r="F719" t="str">
        <f>'Data Cleaning'!F719</f>
        <v>USA</v>
      </c>
      <c r="G719" t="str">
        <f>'Data Cleaning'!G719</f>
        <v>Mall</v>
      </c>
      <c r="H719" s="2">
        <f>'Data Cleaning'!H719</f>
        <v>161.04</v>
      </c>
      <c r="I719">
        <f>'Data Cleaning'!I719</f>
        <v>1</v>
      </c>
      <c r="J719" s="2">
        <f>'Data Cleaning'!J719</f>
        <v>161.04</v>
      </c>
    </row>
    <row r="720" spans="1:10" x14ac:dyDescent="0.25">
      <c r="A720" t="str">
        <f>'Data Cleaning'!A720</f>
        <v>S713</v>
      </c>
      <c r="B720" s="113">
        <f>'Data Cleaning'!B720</f>
        <v>45924</v>
      </c>
      <c r="C720" t="str">
        <f>'Data Cleaning'!C720</f>
        <v>New Balance</v>
      </c>
      <c r="D720" t="str">
        <f>'Data Cleaning'!D720</f>
        <v>Sneakers</v>
      </c>
      <c r="E720" t="str">
        <f>'Data Cleaning'!E720</f>
        <v>Green</v>
      </c>
      <c r="F720" t="str">
        <f>'Data Cleaning'!F720</f>
        <v>UK</v>
      </c>
      <c r="G720" t="str">
        <f>'Data Cleaning'!G720</f>
        <v>Retail Store</v>
      </c>
      <c r="H720" s="2">
        <f>'Data Cleaning'!H720</f>
        <v>133.75</v>
      </c>
      <c r="I720">
        <f>'Data Cleaning'!I720</f>
        <v>9</v>
      </c>
      <c r="J720" s="2">
        <f>'Data Cleaning'!J720</f>
        <v>1203.75</v>
      </c>
    </row>
    <row r="721" spans="1:10" x14ac:dyDescent="0.25">
      <c r="A721" t="str">
        <f>'Data Cleaning'!A721</f>
        <v>S714</v>
      </c>
      <c r="B721" s="113">
        <f>'Data Cleaning'!B721</f>
        <v>45711</v>
      </c>
      <c r="C721" t="str">
        <f>'Data Cleaning'!C721</f>
        <v>Skechers</v>
      </c>
      <c r="D721" t="str">
        <f>'Data Cleaning'!D721</f>
        <v>Sneakers</v>
      </c>
      <c r="E721" t="str">
        <f>'Data Cleaning'!E721</f>
        <v>Black</v>
      </c>
      <c r="F721" t="str">
        <f>'Data Cleaning'!F721</f>
        <v>France</v>
      </c>
      <c r="G721" t="str">
        <f>'Data Cleaning'!G721</f>
        <v>Online</v>
      </c>
      <c r="H721" s="2">
        <f>'Data Cleaning'!H721</f>
        <v>120.61</v>
      </c>
      <c r="I721">
        <f>'Data Cleaning'!I721</f>
        <v>17</v>
      </c>
      <c r="J721" s="2">
        <f>'Data Cleaning'!J721</f>
        <v>2050.37</v>
      </c>
    </row>
    <row r="722" spans="1:10" x14ac:dyDescent="0.25">
      <c r="A722" t="str">
        <f>'Data Cleaning'!A722</f>
        <v>S715</v>
      </c>
      <c r="B722" s="113">
        <f>'Data Cleaning'!B722</f>
        <v>45712</v>
      </c>
      <c r="C722" t="str">
        <f>'Data Cleaning'!C722</f>
        <v>Adidas</v>
      </c>
      <c r="D722" t="str">
        <f>'Data Cleaning'!D722</f>
        <v>Sneakers</v>
      </c>
      <c r="E722" t="str">
        <f>'Data Cleaning'!E722</f>
        <v>White</v>
      </c>
      <c r="F722" t="str">
        <f>'Data Cleaning'!F722</f>
        <v>Saudi Arabia</v>
      </c>
      <c r="G722" t="str">
        <f>'Data Cleaning'!G722</f>
        <v>Retail Store</v>
      </c>
      <c r="H722" s="2">
        <f>'Data Cleaning'!H722</f>
        <v>106.75</v>
      </c>
      <c r="I722">
        <f>'Data Cleaning'!I722</f>
        <v>16</v>
      </c>
      <c r="J722" s="2">
        <f>'Data Cleaning'!J722</f>
        <v>1708</v>
      </c>
    </row>
    <row r="723" spans="1:10" x14ac:dyDescent="0.25">
      <c r="A723" t="str">
        <f>'Data Cleaning'!A723</f>
        <v>S716</v>
      </c>
      <c r="B723" s="113">
        <f>'Data Cleaning'!B723</f>
        <v>45925</v>
      </c>
      <c r="C723" t="str">
        <f>'Data Cleaning'!C723</f>
        <v>Puma</v>
      </c>
      <c r="D723" t="str">
        <f>'Data Cleaning'!D723</f>
        <v>Boots</v>
      </c>
      <c r="E723" t="str">
        <f>'Data Cleaning'!E723</f>
        <v>Red</v>
      </c>
      <c r="F723" t="str">
        <f>'Data Cleaning'!F723</f>
        <v>France</v>
      </c>
      <c r="G723" t="str">
        <f>'Data Cleaning'!G723</f>
        <v>Online</v>
      </c>
      <c r="H723" s="2">
        <f>'Data Cleaning'!H723</f>
        <v>234.5</v>
      </c>
      <c r="I723">
        <f>'Data Cleaning'!I723</f>
        <v>7</v>
      </c>
      <c r="J723" s="2">
        <f>'Data Cleaning'!J723</f>
        <v>1641.5</v>
      </c>
    </row>
    <row r="724" spans="1:10" x14ac:dyDescent="0.25">
      <c r="A724" t="str">
        <f>'Data Cleaning'!A724</f>
        <v>S717</v>
      </c>
      <c r="B724" s="113">
        <f>'Data Cleaning'!B724</f>
        <v>45678</v>
      </c>
      <c r="C724" t="str">
        <f>'Data Cleaning'!C724</f>
        <v>Reebok</v>
      </c>
      <c r="D724" t="str">
        <f>'Data Cleaning'!D724</f>
        <v>Casual</v>
      </c>
      <c r="E724" t="str">
        <f>'Data Cleaning'!E724</f>
        <v>Green</v>
      </c>
      <c r="F724" t="str">
        <f>'Data Cleaning'!F724</f>
        <v>Germany</v>
      </c>
      <c r="G724" t="str">
        <f>'Data Cleaning'!G724</f>
        <v>Retail Store</v>
      </c>
      <c r="H724" s="2">
        <f>'Data Cleaning'!H724</f>
        <v>212.74</v>
      </c>
      <c r="I724">
        <f>'Data Cleaning'!I724</f>
        <v>18</v>
      </c>
      <c r="J724" s="2">
        <f>'Data Cleaning'!J724</f>
        <v>3829.32</v>
      </c>
    </row>
    <row r="725" spans="1:10" x14ac:dyDescent="0.25">
      <c r="A725" t="str">
        <f>'Data Cleaning'!A725</f>
        <v>S718</v>
      </c>
      <c r="B725" s="113">
        <f>'Data Cleaning'!B725</f>
        <v>45778</v>
      </c>
      <c r="C725" t="str">
        <f>'Data Cleaning'!C725</f>
        <v>Nike</v>
      </c>
      <c r="D725" t="str">
        <f>'Data Cleaning'!D725</f>
        <v>Boots</v>
      </c>
      <c r="E725" t="str">
        <f>'Data Cleaning'!E725</f>
        <v>Black</v>
      </c>
      <c r="F725" t="str">
        <f>'Data Cleaning'!F725</f>
        <v>USA</v>
      </c>
      <c r="G725" t="str">
        <f>'Data Cleaning'!G725</f>
        <v>Mall</v>
      </c>
      <c r="H725" s="2">
        <f>'Data Cleaning'!H725</f>
        <v>242.31</v>
      </c>
      <c r="I725">
        <f>'Data Cleaning'!I725</f>
        <v>1</v>
      </c>
      <c r="J725" s="2">
        <f>'Data Cleaning'!J725</f>
        <v>242.31</v>
      </c>
    </row>
    <row r="726" spans="1:10" x14ac:dyDescent="0.25">
      <c r="A726" t="str">
        <f>'Data Cleaning'!A726</f>
        <v>S719</v>
      </c>
      <c r="B726" s="113">
        <f>'Data Cleaning'!B726</f>
        <v>46000</v>
      </c>
      <c r="C726" t="str">
        <f>'Data Cleaning'!C726</f>
        <v>Adidas</v>
      </c>
      <c r="D726" t="str">
        <f>'Data Cleaning'!D726</f>
        <v>Running</v>
      </c>
      <c r="E726" t="str">
        <f>'Data Cleaning'!E726</f>
        <v>Grey</v>
      </c>
      <c r="F726" t="str">
        <f>'Data Cleaning'!F726</f>
        <v>USA</v>
      </c>
      <c r="G726" t="str">
        <f>'Data Cleaning'!G726</f>
        <v>Mall</v>
      </c>
      <c r="H726" s="2">
        <f>'Data Cleaning'!H726</f>
        <v>57.35</v>
      </c>
      <c r="I726">
        <f>'Data Cleaning'!I726</f>
        <v>16</v>
      </c>
      <c r="J726" s="2">
        <f>'Data Cleaning'!J726</f>
        <v>917.6</v>
      </c>
    </row>
    <row r="727" spans="1:10" x14ac:dyDescent="0.25">
      <c r="A727" t="str">
        <f>'Data Cleaning'!A727</f>
        <v>S720</v>
      </c>
      <c r="B727" s="113">
        <f>'Data Cleaning'!B727</f>
        <v>45709</v>
      </c>
      <c r="C727" t="str">
        <f>'Data Cleaning'!C727</f>
        <v>Skechers</v>
      </c>
      <c r="D727" t="str">
        <f>'Data Cleaning'!D727</f>
        <v>Casual</v>
      </c>
      <c r="E727" t="str">
        <f>'Data Cleaning'!E727</f>
        <v>Red</v>
      </c>
      <c r="F727" t="str">
        <f>'Data Cleaning'!F727</f>
        <v>France</v>
      </c>
      <c r="G727" t="str">
        <f>'Data Cleaning'!G727</f>
        <v>Retail Store</v>
      </c>
      <c r="H727" s="2">
        <f>'Data Cleaning'!H727</f>
        <v>190.79</v>
      </c>
      <c r="I727">
        <f>'Data Cleaning'!I727</f>
        <v>9</v>
      </c>
      <c r="J727" s="2">
        <f>'Data Cleaning'!J727</f>
        <v>1717.11</v>
      </c>
    </row>
    <row r="728" spans="1:10" x14ac:dyDescent="0.25">
      <c r="A728" t="str">
        <f>'Data Cleaning'!A728</f>
        <v>S721</v>
      </c>
      <c r="B728" s="113">
        <f>'Data Cleaning'!B728</f>
        <v>45895</v>
      </c>
      <c r="C728" t="str">
        <f>'Data Cleaning'!C728</f>
        <v>Nike</v>
      </c>
      <c r="D728" t="str">
        <f>'Data Cleaning'!D728</f>
        <v>Casual</v>
      </c>
      <c r="E728" t="str">
        <f>'Data Cleaning'!E728</f>
        <v>Black</v>
      </c>
      <c r="F728" t="str">
        <f>'Data Cleaning'!F728</f>
        <v>Saudi Arabia</v>
      </c>
      <c r="G728" t="str">
        <f>'Data Cleaning'!G728</f>
        <v>Retail Store</v>
      </c>
      <c r="H728" s="2">
        <f>'Data Cleaning'!H728</f>
        <v>236.43</v>
      </c>
      <c r="I728">
        <f>'Data Cleaning'!I728</f>
        <v>2</v>
      </c>
      <c r="J728" s="2">
        <f>'Data Cleaning'!J728</f>
        <v>472.86</v>
      </c>
    </row>
    <row r="729" spans="1:10" x14ac:dyDescent="0.25">
      <c r="A729" t="str">
        <f>'Data Cleaning'!A729</f>
        <v>S722</v>
      </c>
      <c r="B729" s="113">
        <f>'Data Cleaning'!B729</f>
        <v>45842</v>
      </c>
      <c r="C729" t="str">
        <f>'Data Cleaning'!C729</f>
        <v>Reebok</v>
      </c>
      <c r="D729" t="str">
        <f>'Data Cleaning'!D729</f>
        <v>Boots</v>
      </c>
      <c r="E729" t="str">
        <f>'Data Cleaning'!E729</f>
        <v>Black</v>
      </c>
      <c r="F729" t="str">
        <f>'Data Cleaning'!F729</f>
        <v>USA</v>
      </c>
      <c r="G729" t="str">
        <f>'Data Cleaning'!G729</f>
        <v>Online</v>
      </c>
      <c r="H729" s="2">
        <f>'Data Cleaning'!H729</f>
        <v>69.87</v>
      </c>
      <c r="I729">
        <f>'Data Cleaning'!I729</f>
        <v>11</v>
      </c>
      <c r="J729" s="2">
        <f>'Data Cleaning'!J729</f>
        <v>768.57</v>
      </c>
    </row>
    <row r="730" spans="1:10" x14ac:dyDescent="0.25">
      <c r="A730" t="str">
        <f>'Data Cleaning'!A730</f>
        <v>S723</v>
      </c>
      <c r="B730" s="113">
        <f>'Data Cleaning'!B730</f>
        <v>45662</v>
      </c>
      <c r="C730" t="str">
        <f>'Data Cleaning'!C730</f>
        <v>Skechers</v>
      </c>
      <c r="D730" t="str">
        <f>'Data Cleaning'!D730</f>
        <v>Boots</v>
      </c>
      <c r="E730" t="str">
        <f>'Data Cleaning'!E730</f>
        <v>White</v>
      </c>
      <c r="F730" t="str">
        <f>'Data Cleaning'!F730</f>
        <v>France</v>
      </c>
      <c r="G730" t="str">
        <f>'Data Cleaning'!G730</f>
        <v>Retail Store</v>
      </c>
      <c r="H730" s="2">
        <f>'Data Cleaning'!H730</f>
        <v>44.63</v>
      </c>
      <c r="I730">
        <f>'Data Cleaning'!I730</f>
        <v>5</v>
      </c>
      <c r="J730" s="2">
        <f>'Data Cleaning'!J730</f>
        <v>223.15</v>
      </c>
    </row>
    <row r="731" spans="1:10" x14ac:dyDescent="0.25">
      <c r="A731" t="str">
        <f>'Data Cleaning'!A731</f>
        <v>S724</v>
      </c>
      <c r="B731" s="113">
        <f>'Data Cleaning'!B731</f>
        <v>45882</v>
      </c>
      <c r="C731" t="str">
        <f>'Data Cleaning'!C731</f>
        <v>Puma</v>
      </c>
      <c r="D731" t="str">
        <f>'Data Cleaning'!D731</f>
        <v>Boots</v>
      </c>
      <c r="E731" t="str">
        <f>'Data Cleaning'!E731</f>
        <v>Black</v>
      </c>
      <c r="F731" t="str">
        <f>'Data Cleaning'!F731</f>
        <v>France</v>
      </c>
      <c r="G731" t="str">
        <f>'Data Cleaning'!G731</f>
        <v>Retail Store</v>
      </c>
      <c r="H731" s="2">
        <f>'Data Cleaning'!H731</f>
        <v>193.05</v>
      </c>
      <c r="I731">
        <f>'Data Cleaning'!I731</f>
        <v>20</v>
      </c>
      <c r="J731" s="2">
        <f>'Data Cleaning'!J731</f>
        <v>3861</v>
      </c>
    </row>
    <row r="732" spans="1:10" x14ac:dyDescent="0.25">
      <c r="A732" t="str">
        <f>'Data Cleaning'!A732</f>
        <v>S725</v>
      </c>
      <c r="B732" s="113">
        <f>'Data Cleaning'!B732</f>
        <v>45751</v>
      </c>
      <c r="C732" t="str">
        <f>'Data Cleaning'!C732</f>
        <v>Reebok</v>
      </c>
      <c r="D732" t="str">
        <f>'Data Cleaning'!D732</f>
        <v>Formal</v>
      </c>
      <c r="E732" t="str">
        <f>'Data Cleaning'!E732</f>
        <v>Red</v>
      </c>
      <c r="F732" t="str">
        <f>'Data Cleaning'!F732</f>
        <v>France</v>
      </c>
      <c r="G732" t="str">
        <f>'Data Cleaning'!G732</f>
        <v>Retail Store</v>
      </c>
      <c r="H732" s="2">
        <f>'Data Cleaning'!H732</f>
        <v>156.38</v>
      </c>
      <c r="I732">
        <f>'Data Cleaning'!I732</f>
        <v>4</v>
      </c>
      <c r="J732" s="2">
        <f>'Data Cleaning'!J732</f>
        <v>625.52</v>
      </c>
    </row>
    <row r="733" spans="1:10" x14ac:dyDescent="0.25">
      <c r="A733" t="str">
        <f>'Data Cleaning'!A733</f>
        <v>S726</v>
      </c>
      <c r="B733" s="113">
        <f>'Data Cleaning'!B733</f>
        <v>46011</v>
      </c>
      <c r="C733" t="str">
        <f>'Data Cleaning'!C733</f>
        <v>Reebok</v>
      </c>
      <c r="D733" t="str">
        <f>'Data Cleaning'!D733</f>
        <v>Boots</v>
      </c>
      <c r="E733" t="str">
        <f>'Data Cleaning'!E733</f>
        <v>White</v>
      </c>
      <c r="F733" t="str">
        <f>'Data Cleaning'!F733</f>
        <v>USA</v>
      </c>
      <c r="G733" t="str">
        <f>'Data Cleaning'!G733</f>
        <v>Online</v>
      </c>
      <c r="H733" s="2">
        <f>'Data Cleaning'!H733</f>
        <v>215.2</v>
      </c>
      <c r="I733">
        <f>'Data Cleaning'!I733</f>
        <v>16</v>
      </c>
      <c r="J733" s="2">
        <f>'Data Cleaning'!J733</f>
        <v>3443.2</v>
      </c>
    </row>
    <row r="734" spans="1:10" x14ac:dyDescent="0.25">
      <c r="A734" t="str">
        <f>'Data Cleaning'!A734</f>
        <v>S727</v>
      </c>
      <c r="B734" s="113">
        <f>'Data Cleaning'!B734</f>
        <v>46014</v>
      </c>
      <c r="C734" t="str">
        <f>'Data Cleaning'!C734</f>
        <v>Adidas</v>
      </c>
      <c r="D734" t="str">
        <f>'Data Cleaning'!D734</f>
        <v>Running</v>
      </c>
      <c r="E734" t="str">
        <f>'Data Cleaning'!E734</f>
        <v>Red</v>
      </c>
      <c r="F734" t="str">
        <f>'Data Cleaning'!F734</f>
        <v>India</v>
      </c>
      <c r="G734" t="str">
        <f>'Data Cleaning'!G734</f>
        <v>Retail Store</v>
      </c>
      <c r="H734" s="2">
        <f>'Data Cleaning'!H734</f>
        <v>60.75</v>
      </c>
      <c r="I734">
        <f>'Data Cleaning'!I734</f>
        <v>2</v>
      </c>
      <c r="J734" s="2">
        <f>'Data Cleaning'!J734</f>
        <v>121.5</v>
      </c>
    </row>
    <row r="735" spans="1:10" x14ac:dyDescent="0.25">
      <c r="A735" t="str">
        <f>'Data Cleaning'!A735</f>
        <v>S728</v>
      </c>
      <c r="B735" s="113">
        <f>'Data Cleaning'!B735</f>
        <v>45949</v>
      </c>
      <c r="C735" t="str">
        <f>'Data Cleaning'!C735</f>
        <v>Adidas</v>
      </c>
      <c r="D735" t="str">
        <f>'Data Cleaning'!D735</f>
        <v>Sneakers</v>
      </c>
      <c r="E735" t="str">
        <f>'Data Cleaning'!E735</f>
        <v>Red</v>
      </c>
      <c r="F735" t="str">
        <f>'Data Cleaning'!F735</f>
        <v>Saudi Arabia</v>
      </c>
      <c r="G735" t="str">
        <f>'Data Cleaning'!G735</f>
        <v>Retail Store</v>
      </c>
      <c r="H735" s="2">
        <f>'Data Cleaning'!H735</f>
        <v>204.96</v>
      </c>
      <c r="I735">
        <f>'Data Cleaning'!I735</f>
        <v>15</v>
      </c>
      <c r="J735" s="2">
        <f>'Data Cleaning'!J735</f>
        <v>3074.4</v>
      </c>
    </row>
    <row r="736" spans="1:10" x14ac:dyDescent="0.25">
      <c r="A736" t="str">
        <f>'Data Cleaning'!A736</f>
        <v>S729</v>
      </c>
      <c r="B736" s="113">
        <f>'Data Cleaning'!B736</f>
        <v>45971</v>
      </c>
      <c r="C736" t="str">
        <f>'Data Cleaning'!C736</f>
        <v>Skechers</v>
      </c>
      <c r="D736" t="str">
        <f>'Data Cleaning'!D736</f>
        <v>Boots</v>
      </c>
      <c r="E736" t="str">
        <f>'Data Cleaning'!E736</f>
        <v>White</v>
      </c>
      <c r="F736" t="str">
        <f>'Data Cleaning'!F736</f>
        <v>Germany</v>
      </c>
      <c r="G736" t="str">
        <f>'Data Cleaning'!G736</f>
        <v>Retail Store</v>
      </c>
      <c r="H736" s="2">
        <f>'Data Cleaning'!H736</f>
        <v>74.36</v>
      </c>
      <c r="I736">
        <f>'Data Cleaning'!I736</f>
        <v>1</v>
      </c>
      <c r="J736" s="2">
        <f>'Data Cleaning'!J736</f>
        <v>74.36</v>
      </c>
    </row>
    <row r="737" spans="1:10" x14ac:dyDescent="0.25">
      <c r="A737" t="str">
        <f>'Data Cleaning'!A737</f>
        <v>S730</v>
      </c>
      <c r="B737" s="113">
        <f>'Data Cleaning'!B737</f>
        <v>45715</v>
      </c>
      <c r="C737" t="str">
        <f>'Data Cleaning'!C737</f>
        <v>Reebok</v>
      </c>
      <c r="D737" t="str">
        <f>'Data Cleaning'!D737</f>
        <v>Running</v>
      </c>
      <c r="E737" t="str">
        <f>'Data Cleaning'!E737</f>
        <v>Black</v>
      </c>
      <c r="F737" t="str">
        <f>'Data Cleaning'!F737</f>
        <v>France</v>
      </c>
      <c r="G737" t="str">
        <f>'Data Cleaning'!G737</f>
        <v>Mall</v>
      </c>
      <c r="H737" s="2">
        <f>'Data Cleaning'!H737</f>
        <v>66</v>
      </c>
      <c r="I737">
        <f>'Data Cleaning'!I737</f>
        <v>14</v>
      </c>
      <c r="J737" s="2">
        <f>'Data Cleaning'!J737</f>
        <v>924</v>
      </c>
    </row>
    <row r="738" spans="1:10" x14ac:dyDescent="0.25">
      <c r="A738" t="str">
        <f>'Data Cleaning'!A738</f>
        <v>S731</v>
      </c>
      <c r="B738" s="113">
        <f>'Data Cleaning'!B738</f>
        <v>45818</v>
      </c>
      <c r="C738" t="str">
        <f>'Data Cleaning'!C738</f>
        <v>Skechers</v>
      </c>
      <c r="D738" t="str">
        <f>'Data Cleaning'!D738</f>
        <v>Boots</v>
      </c>
      <c r="E738" t="str">
        <f>'Data Cleaning'!E738</f>
        <v>Grey</v>
      </c>
      <c r="F738" t="str">
        <f>'Data Cleaning'!F738</f>
        <v>Saudi Arabia</v>
      </c>
      <c r="G738" t="str">
        <f>'Data Cleaning'!G738</f>
        <v>Mall</v>
      </c>
      <c r="H738" s="2">
        <f>'Data Cleaning'!H738</f>
        <v>66.14</v>
      </c>
      <c r="I738">
        <f>'Data Cleaning'!I738</f>
        <v>1</v>
      </c>
      <c r="J738" s="2">
        <f>'Data Cleaning'!J738</f>
        <v>66.14</v>
      </c>
    </row>
    <row r="739" spans="1:10" x14ac:dyDescent="0.25">
      <c r="A739" t="str">
        <f>'Data Cleaning'!A739</f>
        <v>S732</v>
      </c>
      <c r="B739" s="113">
        <f>'Data Cleaning'!B739</f>
        <v>45953</v>
      </c>
      <c r="C739" t="str">
        <f>'Data Cleaning'!C739</f>
        <v>Adidas</v>
      </c>
      <c r="D739" t="str">
        <f>'Data Cleaning'!D739</f>
        <v>Boots</v>
      </c>
      <c r="E739" t="str">
        <f>'Data Cleaning'!E739</f>
        <v>Blue</v>
      </c>
      <c r="F739" t="str">
        <f>'Data Cleaning'!F739</f>
        <v>India</v>
      </c>
      <c r="G739" t="str">
        <f>'Data Cleaning'!G739</f>
        <v>Mall</v>
      </c>
      <c r="H739" s="2">
        <f>'Data Cleaning'!H739</f>
        <v>209.21</v>
      </c>
      <c r="I739">
        <f>'Data Cleaning'!I739</f>
        <v>19</v>
      </c>
      <c r="J739" s="2">
        <f>'Data Cleaning'!J739</f>
        <v>3974.99</v>
      </c>
    </row>
    <row r="740" spans="1:10" x14ac:dyDescent="0.25">
      <c r="A740" t="str">
        <f>'Data Cleaning'!A740</f>
        <v>S733</v>
      </c>
      <c r="B740" s="113">
        <f>'Data Cleaning'!B740</f>
        <v>46010</v>
      </c>
      <c r="C740" t="str">
        <f>'Data Cleaning'!C740</f>
        <v>Nike</v>
      </c>
      <c r="D740" t="str">
        <f>'Data Cleaning'!D740</f>
        <v>Formal</v>
      </c>
      <c r="E740" t="str">
        <f>'Data Cleaning'!E740</f>
        <v>Green</v>
      </c>
      <c r="F740" t="str">
        <f>'Data Cleaning'!F740</f>
        <v>UAE</v>
      </c>
      <c r="G740" t="str">
        <f>'Data Cleaning'!G740</f>
        <v>Online</v>
      </c>
      <c r="H740" s="2">
        <f>'Data Cleaning'!H740</f>
        <v>176.34</v>
      </c>
      <c r="I740">
        <f>'Data Cleaning'!I740</f>
        <v>20</v>
      </c>
      <c r="J740" s="2">
        <f>'Data Cleaning'!J740</f>
        <v>3526.8</v>
      </c>
    </row>
    <row r="741" spans="1:10" x14ac:dyDescent="0.25">
      <c r="A741" t="str">
        <f>'Data Cleaning'!A741</f>
        <v>S734</v>
      </c>
      <c r="B741" s="113">
        <f>'Data Cleaning'!B741</f>
        <v>45904</v>
      </c>
      <c r="C741" t="str">
        <f>'Data Cleaning'!C741</f>
        <v>Skechers</v>
      </c>
      <c r="D741" t="str">
        <f>'Data Cleaning'!D741</f>
        <v>Boots</v>
      </c>
      <c r="E741" t="str">
        <f>'Data Cleaning'!E741</f>
        <v>Green</v>
      </c>
      <c r="F741" t="str">
        <f>'Data Cleaning'!F741</f>
        <v>Germany</v>
      </c>
      <c r="G741" t="str">
        <f>'Data Cleaning'!G741</f>
        <v>Online</v>
      </c>
      <c r="H741" s="2">
        <f>'Data Cleaning'!H741</f>
        <v>145.07</v>
      </c>
      <c r="I741">
        <f>'Data Cleaning'!I741</f>
        <v>12</v>
      </c>
      <c r="J741" s="2">
        <f>'Data Cleaning'!J741</f>
        <v>1740.84</v>
      </c>
    </row>
    <row r="742" spans="1:10" x14ac:dyDescent="0.25">
      <c r="A742" t="str">
        <f>'Data Cleaning'!A742</f>
        <v>S735</v>
      </c>
      <c r="B742" s="113">
        <f>'Data Cleaning'!B742</f>
        <v>45943</v>
      </c>
      <c r="C742" t="str">
        <f>'Data Cleaning'!C742</f>
        <v>Nike</v>
      </c>
      <c r="D742" t="str">
        <f>'Data Cleaning'!D742</f>
        <v>Running</v>
      </c>
      <c r="E742" t="str">
        <f>'Data Cleaning'!E742</f>
        <v>Green</v>
      </c>
      <c r="F742" t="str">
        <f>'Data Cleaning'!F742</f>
        <v>UK</v>
      </c>
      <c r="G742" t="str">
        <f>'Data Cleaning'!G742</f>
        <v>Mall</v>
      </c>
      <c r="H742" s="2">
        <f>'Data Cleaning'!H742</f>
        <v>108.94</v>
      </c>
      <c r="I742">
        <f>'Data Cleaning'!I742</f>
        <v>20</v>
      </c>
      <c r="J742" s="2">
        <f>'Data Cleaning'!J742</f>
        <v>2178.8000000000002</v>
      </c>
    </row>
    <row r="743" spans="1:10" x14ac:dyDescent="0.25">
      <c r="A743" t="str">
        <f>'Data Cleaning'!A743</f>
        <v>S736</v>
      </c>
      <c r="B743" s="113">
        <f>'Data Cleaning'!B743</f>
        <v>45898</v>
      </c>
      <c r="C743" t="str">
        <f>'Data Cleaning'!C743</f>
        <v>Adidas</v>
      </c>
      <c r="D743" t="str">
        <f>'Data Cleaning'!D743</f>
        <v>Running</v>
      </c>
      <c r="E743" t="str">
        <f>'Data Cleaning'!E743</f>
        <v>Red</v>
      </c>
      <c r="F743" t="str">
        <f>'Data Cleaning'!F743</f>
        <v>France</v>
      </c>
      <c r="G743" t="str">
        <f>'Data Cleaning'!G743</f>
        <v>Online</v>
      </c>
      <c r="H743" s="2">
        <f>'Data Cleaning'!H743</f>
        <v>222.98</v>
      </c>
      <c r="I743">
        <f>'Data Cleaning'!I743</f>
        <v>16</v>
      </c>
      <c r="J743" s="2">
        <f>'Data Cleaning'!J743</f>
        <v>3567.68</v>
      </c>
    </row>
    <row r="744" spans="1:10" x14ac:dyDescent="0.25">
      <c r="A744" t="str">
        <f>'Data Cleaning'!A744</f>
        <v>S737</v>
      </c>
      <c r="B744" s="113">
        <f>'Data Cleaning'!B744</f>
        <v>45827</v>
      </c>
      <c r="C744" t="str">
        <f>'Data Cleaning'!C744</f>
        <v>Nike</v>
      </c>
      <c r="D744" t="str">
        <f>'Data Cleaning'!D744</f>
        <v>Sneakers</v>
      </c>
      <c r="E744" t="str">
        <f>'Data Cleaning'!E744</f>
        <v>White</v>
      </c>
      <c r="F744" t="str">
        <f>'Data Cleaning'!F744</f>
        <v>India</v>
      </c>
      <c r="G744" t="str">
        <f>'Data Cleaning'!G744</f>
        <v>Mall</v>
      </c>
      <c r="H744" s="2">
        <f>'Data Cleaning'!H744</f>
        <v>116.34</v>
      </c>
      <c r="I744">
        <f>'Data Cleaning'!I744</f>
        <v>9</v>
      </c>
      <c r="J744" s="2">
        <f>'Data Cleaning'!J744</f>
        <v>1047.06</v>
      </c>
    </row>
    <row r="745" spans="1:10" x14ac:dyDescent="0.25">
      <c r="A745" t="str">
        <f>'Data Cleaning'!A745</f>
        <v>S738</v>
      </c>
      <c r="B745" s="113">
        <f>'Data Cleaning'!B745</f>
        <v>45851</v>
      </c>
      <c r="C745" t="str">
        <f>'Data Cleaning'!C745</f>
        <v>Adidas</v>
      </c>
      <c r="D745" t="str">
        <f>'Data Cleaning'!D745</f>
        <v>Running</v>
      </c>
      <c r="E745" t="str">
        <f>'Data Cleaning'!E745</f>
        <v>Red</v>
      </c>
      <c r="F745" t="str">
        <f>'Data Cleaning'!F745</f>
        <v>Germany</v>
      </c>
      <c r="G745" t="str">
        <f>'Data Cleaning'!G745</f>
        <v>Mall</v>
      </c>
      <c r="H745" s="2">
        <f>'Data Cleaning'!H745</f>
        <v>209.65</v>
      </c>
      <c r="I745">
        <f>'Data Cleaning'!I745</f>
        <v>13</v>
      </c>
      <c r="J745" s="2">
        <f>'Data Cleaning'!J745</f>
        <v>2725.45</v>
      </c>
    </row>
    <row r="746" spans="1:10" x14ac:dyDescent="0.25">
      <c r="A746" t="str">
        <f>'Data Cleaning'!A746</f>
        <v>S739</v>
      </c>
      <c r="B746" s="113">
        <f>'Data Cleaning'!B746</f>
        <v>45887</v>
      </c>
      <c r="C746" t="str">
        <f>'Data Cleaning'!C746</f>
        <v>Reebok</v>
      </c>
      <c r="D746" t="str">
        <f>'Data Cleaning'!D746</f>
        <v>Formal</v>
      </c>
      <c r="E746" t="str">
        <f>'Data Cleaning'!E746</f>
        <v>Blue</v>
      </c>
      <c r="F746" t="str">
        <f>'Data Cleaning'!F746</f>
        <v>USA</v>
      </c>
      <c r="G746" t="str">
        <f>'Data Cleaning'!G746</f>
        <v>Retail Store</v>
      </c>
      <c r="H746" s="2">
        <f>'Data Cleaning'!H746</f>
        <v>126.61</v>
      </c>
      <c r="I746">
        <f>'Data Cleaning'!I746</f>
        <v>3</v>
      </c>
      <c r="J746" s="2">
        <f>'Data Cleaning'!J746</f>
        <v>379.83</v>
      </c>
    </row>
    <row r="747" spans="1:10" x14ac:dyDescent="0.25">
      <c r="A747" t="str">
        <f>'Data Cleaning'!A747</f>
        <v>S740</v>
      </c>
      <c r="B747" s="113">
        <f>'Data Cleaning'!B747</f>
        <v>45992</v>
      </c>
      <c r="C747" t="str">
        <f>'Data Cleaning'!C747</f>
        <v>Nike</v>
      </c>
      <c r="D747" t="str">
        <f>'Data Cleaning'!D747</f>
        <v>Formal</v>
      </c>
      <c r="E747" t="str">
        <f>'Data Cleaning'!E747</f>
        <v>Red</v>
      </c>
      <c r="F747" t="str">
        <f>'Data Cleaning'!F747</f>
        <v>USA</v>
      </c>
      <c r="G747" t="str">
        <f>'Data Cleaning'!G747</f>
        <v>Mall</v>
      </c>
      <c r="H747" s="2">
        <f>'Data Cleaning'!H747</f>
        <v>112.93</v>
      </c>
      <c r="I747">
        <f>'Data Cleaning'!I747</f>
        <v>1</v>
      </c>
      <c r="J747" s="2">
        <f>'Data Cleaning'!J747</f>
        <v>112.93</v>
      </c>
    </row>
    <row r="748" spans="1:10" x14ac:dyDescent="0.25">
      <c r="A748" t="str">
        <f>'Data Cleaning'!A748</f>
        <v>S741</v>
      </c>
      <c r="B748" s="113">
        <f>'Data Cleaning'!B748</f>
        <v>45939</v>
      </c>
      <c r="C748" t="str">
        <f>'Data Cleaning'!C748</f>
        <v>Nike</v>
      </c>
      <c r="D748" t="str">
        <f>'Data Cleaning'!D748</f>
        <v>Sneakers</v>
      </c>
      <c r="E748" t="str">
        <f>'Data Cleaning'!E748</f>
        <v>Grey</v>
      </c>
      <c r="F748" t="str">
        <f>'Data Cleaning'!F748</f>
        <v>UAE</v>
      </c>
      <c r="G748" t="str">
        <f>'Data Cleaning'!G748</f>
        <v>Retail Store</v>
      </c>
      <c r="H748" s="2">
        <f>'Data Cleaning'!H748</f>
        <v>131.79</v>
      </c>
      <c r="I748">
        <f>'Data Cleaning'!I748</f>
        <v>1</v>
      </c>
      <c r="J748" s="2">
        <f>'Data Cleaning'!J748</f>
        <v>131.79</v>
      </c>
    </row>
    <row r="749" spans="1:10" x14ac:dyDescent="0.25">
      <c r="A749" t="str">
        <f>'Data Cleaning'!A749</f>
        <v>S742</v>
      </c>
      <c r="B749" s="113">
        <f>'Data Cleaning'!B749</f>
        <v>45918</v>
      </c>
      <c r="C749" t="str">
        <f>'Data Cleaning'!C749</f>
        <v>Adidas</v>
      </c>
      <c r="D749" t="str">
        <f>'Data Cleaning'!D749</f>
        <v>Boots</v>
      </c>
      <c r="E749" t="str">
        <f>'Data Cleaning'!E749</f>
        <v>Green</v>
      </c>
      <c r="F749" t="str">
        <f>'Data Cleaning'!F749</f>
        <v>Germany</v>
      </c>
      <c r="G749" t="str">
        <f>'Data Cleaning'!G749</f>
        <v>Retail Store</v>
      </c>
      <c r="H749" s="2">
        <f>'Data Cleaning'!H749</f>
        <v>96.3</v>
      </c>
      <c r="I749">
        <f>'Data Cleaning'!I749</f>
        <v>18</v>
      </c>
      <c r="J749" s="2">
        <f>'Data Cleaning'!J749</f>
        <v>1733.4</v>
      </c>
    </row>
    <row r="750" spans="1:10" x14ac:dyDescent="0.25">
      <c r="A750" t="str">
        <f>'Data Cleaning'!A750</f>
        <v>S743</v>
      </c>
      <c r="B750" s="113">
        <f>'Data Cleaning'!B750</f>
        <v>45844</v>
      </c>
      <c r="C750" t="str">
        <f>'Data Cleaning'!C750</f>
        <v>Adidas</v>
      </c>
      <c r="D750" t="str">
        <f>'Data Cleaning'!D750</f>
        <v>Formal</v>
      </c>
      <c r="E750" t="str">
        <f>'Data Cleaning'!E750</f>
        <v>Blue</v>
      </c>
      <c r="F750" t="str">
        <f>'Data Cleaning'!F750</f>
        <v>India</v>
      </c>
      <c r="G750" t="str">
        <f>'Data Cleaning'!G750</f>
        <v>Mall</v>
      </c>
      <c r="H750" s="2">
        <f>'Data Cleaning'!H750</f>
        <v>194.47</v>
      </c>
      <c r="I750">
        <f>'Data Cleaning'!I750</f>
        <v>2</v>
      </c>
      <c r="J750" s="2">
        <f>'Data Cleaning'!J750</f>
        <v>388.94</v>
      </c>
    </row>
    <row r="751" spans="1:10" x14ac:dyDescent="0.25">
      <c r="A751" t="str">
        <f>'Data Cleaning'!A751</f>
        <v>S744</v>
      </c>
      <c r="B751" s="113">
        <f>'Data Cleaning'!B751</f>
        <v>45965</v>
      </c>
      <c r="C751" t="str">
        <f>'Data Cleaning'!C751</f>
        <v>Skechers</v>
      </c>
      <c r="D751" t="str">
        <f>'Data Cleaning'!D751</f>
        <v>Boots</v>
      </c>
      <c r="E751" t="str">
        <f>'Data Cleaning'!E751</f>
        <v>Blue</v>
      </c>
      <c r="F751" t="str">
        <f>'Data Cleaning'!F751</f>
        <v>UAE</v>
      </c>
      <c r="G751" t="str">
        <f>'Data Cleaning'!G751</f>
        <v>Retail Store</v>
      </c>
      <c r="H751" s="2">
        <f>'Data Cleaning'!H751</f>
        <v>140.6</v>
      </c>
      <c r="I751">
        <f>'Data Cleaning'!I751</f>
        <v>16</v>
      </c>
      <c r="J751" s="2">
        <f>'Data Cleaning'!J751</f>
        <v>2249.6</v>
      </c>
    </row>
    <row r="752" spans="1:10" x14ac:dyDescent="0.25">
      <c r="A752" t="str">
        <f>'Data Cleaning'!A752</f>
        <v>S745</v>
      </c>
      <c r="B752" s="113">
        <f>'Data Cleaning'!B752</f>
        <v>45716</v>
      </c>
      <c r="C752" t="str">
        <f>'Data Cleaning'!C752</f>
        <v>Skechers</v>
      </c>
      <c r="D752" t="str">
        <f>'Data Cleaning'!D752</f>
        <v>Casual</v>
      </c>
      <c r="E752" t="str">
        <f>'Data Cleaning'!E752</f>
        <v>Black</v>
      </c>
      <c r="F752" t="str">
        <f>'Data Cleaning'!F752</f>
        <v>France</v>
      </c>
      <c r="G752" t="str">
        <f>'Data Cleaning'!G752</f>
        <v>Retail Store</v>
      </c>
      <c r="H752" s="2">
        <f>'Data Cleaning'!H752</f>
        <v>81.09</v>
      </c>
      <c r="I752">
        <f>'Data Cleaning'!I752</f>
        <v>4</v>
      </c>
      <c r="J752" s="2">
        <f>'Data Cleaning'!J752</f>
        <v>324.36</v>
      </c>
    </row>
    <row r="753" spans="1:10" x14ac:dyDescent="0.25">
      <c r="A753" t="str">
        <f>'Data Cleaning'!A753</f>
        <v>S746</v>
      </c>
      <c r="B753" s="113">
        <f>'Data Cleaning'!B753</f>
        <v>45982</v>
      </c>
      <c r="C753" t="str">
        <f>'Data Cleaning'!C753</f>
        <v>New Balance</v>
      </c>
      <c r="D753" t="str">
        <f>'Data Cleaning'!D753</f>
        <v>Sneakers</v>
      </c>
      <c r="E753" t="str">
        <f>'Data Cleaning'!E753</f>
        <v>Blue</v>
      </c>
      <c r="F753" t="str">
        <f>'Data Cleaning'!F753</f>
        <v>UAE</v>
      </c>
      <c r="G753" t="str">
        <f>'Data Cleaning'!G753</f>
        <v>Online</v>
      </c>
      <c r="H753" s="2">
        <f>'Data Cleaning'!H753</f>
        <v>227.91</v>
      </c>
      <c r="I753">
        <f>'Data Cleaning'!I753</f>
        <v>10</v>
      </c>
      <c r="J753" s="2">
        <f>'Data Cleaning'!J753</f>
        <v>2279.1</v>
      </c>
    </row>
    <row r="754" spans="1:10" x14ac:dyDescent="0.25">
      <c r="A754" t="str">
        <f>'Data Cleaning'!A754</f>
        <v>S747</v>
      </c>
      <c r="B754" s="113">
        <f>'Data Cleaning'!B754</f>
        <v>45681</v>
      </c>
      <c r="C754" t="str">
        <f>'Data Cleaning'!C754</f>
        <v>Reebok</v>
      </c>
      <c r="D754" t="str">
        <f>'Data Cleaning'!D754</f>
        <v>Casual</v>
      </c>
      <c r="E754" t="str">
        <f>'Data Cleaning'!E754</f>
        <v>Green</v>
      </c>
      <c r="F754" t="str">
        <f>'Data Cleaning'!F754</f>
        <v>UAE</v>
      </c>
      <c r="G754" t="str">
        <f>'Data Cleaning'!G754</f>
        <v>Mall</v>
      </c>
      <c r="H754" s="2">
        <f>'Data Cleaning'!H754</f>
        <v>114.46</v>
      </c>
      <c r="I754">
        <f>'Data Cleaning'!I754</f>
        <v>6</v>
      </c>
      <c r="J754" s="2">
        <f>'Data Cleaning'!J754</f>
        <v>686.76</v>
      </c>
    </row>
    <row r="755" spans="1:10" x14ac:dyDescent="0.25">
      <c r="A755" t="str">
        <f>'Data Cleaning'!A755</f>
        <v>S748</v>
      </c>
      <c r="B755" s="113">
        <f>'Data Cleaning'!B755</f>
        <v>45867</v>
      </c>
      <c r="C755" t="str">
        <f>'Data Cleaning'!C755</f>
        <v>Puma</v>
      </c>
      <c r="D755" t="str">
        <f>'Data Cleaning'!D755</f>
        <v>Sneakers</v>
      </c>
      <c r="E755" t="str">
        <f>'Data Cleaning'!E755</f>
        <v>White</v>
      </c>
      <c r="F755" t="str">
        <f>'Data Cleaning'!F755</f>
        <v>UK</v>
      </c>
      <c r="G755" t="str">
        <f>'Data Cleaning'!G755</f>
        <v>Online</v>
      </c>
      <c r="H755" s="2">
        <f>'Data Cleaning'!H755</f>
        <v>149.58000000000001</v>
      </c>
      <c r="I755">
        <f>'Data Cleaning'!I755</f>
        <v>4</v>
      </c>
      <c r="J755" s="2">
        <f>'Data Cleaning'!J755</f>
        <v>598.32000000000005</v>
      </c>
    </row>
    <row r="756" spans="1:10" x14ac:dyDescent="0.25">
      <c r="A756" t="str">
        <f>'Data Cleaning'!A756</f>
        <v>S749</v>
      </c>
      <c r="B756" s="113">
        <f>'Data Cleaning'!B756</f>
        <v>45859</v>
      </c>
      <c r="C756" t="str">
        <f>'Data Cleaning'!C756</f>
        <v>Reebok</v>
      </c>
      <c r="D756" t="str">
        <f>'Data Cleaning'!D756</f>
        <v>Casual</v>
      </c>
      <c r="E756" t="str">
        <f>'Data Cleaning'!E756</f>
        <v>Green</v>
      </c>
      <c r="F756" t="str">
        <f>'Data Cleaning'!F756</f>
        <v>France</v>
      </c>
      <c r="G756" t="str">
        <f>'Data Cleaning'!G756</f>
        <v>Online</v>
      </c>
      <c r="H756" s="2">
        <f>'Data Cleaning'!H756</f>
        <v>229.42</v>
      </c>
      <c r="I756">
        <f>'Data Cleaning'!I756</f>
        <v>7</v>
      </c>
      <c r="J756" s="2">
        <f>'Data Cleaning'!J756</f>
        <v>1605.94</v>
      </c>
    </row>
    <row r="757" spans="1:10" x14ac:dyDescent="0.25">
      <c r="A757" t="str">
        <f>'Data Cleaning'!A757</f>
        <v>S750</v>
      </c>
      <c r="B757" s="113">
        <f>'Data Cleaning'!B757</f>
        <v>45870</v>
      </c>
      <c r="C757" t="str">
        <f>'Data Cleaning'!C757</f>
        <v>Skechers</v>
      </c>
      <c r="D757" t="str">
        <f>'Data Cleaning'!D757</f>
        <v>Boots</v>
      </c>
      <c r="E757" t="str">
        <f>'Data Cleaning'!E757</f>
        <v>Grey</v>
      </c>
      <c r="F757" t="str">
        <f>'Data Cleaning'!F757</f>
        <v>USA</v>
      </c>
      <c r="G757" t="str">
        <f>'Data Cleaning'!G757</f>
        <v>Retail Store</v>
      </c>
      <c r="H757" s="2">
        <f>'Data Cleaning'!H757</f>
        <v>167.33</v>
      </c>
      <c r="I757">
        <f>'Data Cleaning'!I757</f>
        <v>2</v>
      </c>
      <c r="J757" s="2">
        <f>'Data Cleaning'!J757</f>
        <v>334.66</v>
      </c>
    </row>
    <row r="758" spans="1:10" x14ac:dyDescent="0.25">
      <c r="A758" t="str">
        <f>'Data Cleaning'!A758</f>
        <v>S751</v>
      </c>
      <c r="B758" s="113">
        <f>'Data Cleaning'!B758</f>
        <v>45892</v>
      </c>
      <c r="C758" t="str">
        <f>'Data Cleaning'!C758</f>
        <v>New Balance</v>
      </c>
      <c r="D758" t="str">
        <f>'Data Cleaning'!D758</f>
        <v>Casual</v>
      </c>
      <c r="E758" t="str">
        <f>'Data Cleaning'!E758</f>
        <v>Red</v>
      </c>
      <c r="F758" t="str">
        <f>'Data Cleaning'!F758</f>
        <v>USA</v>
      </c>
      <c r="G758" t="str">
        <f>'Data Cleaning'!G758</f>
        <v>Mall</v>
      </c>
      <c r="H758" s="2">
        <f>'Data Cleaning'!H758</f>
        <v>55.72</v>
      </c>
      <c r="I758">
        <f>'Data Cleaning'!I758</f>
        <v>19</v>
      </c>
      <c r="J758" s="2">
        <f>'Data Cleaning'!J758</f>
        <v>1058.68</v>
      </c>
    </row>
    <row r="759" spans="1:10" x14ac:dyDescent="0.25">
      <c r="A759" t="str">
        <f>'Data Cleaning'!A759</f>
        <v>S752</v>
      </c>
      <c r="B759" s="113">
        <f>'Data Cleaning'!B759</f>
        <v>45682</v>
      </c>
      <c r="C759" t="str">
        <f>'Data Cleaning'!C759</f>
        <v>Reebok</v>
      </c>
      <c r="D759" t="str">
        <f>'Data Cleaning'!D759</f>
        <v>Sneakers</v>
      </c>
      <c r="E759" t="str">
        <f>'Data Cleaning'!E759</f>
        <v>Red</v>
      </c>
      <c r="F759" t="str">
        <f>'Data Cleaning'!F759</f>
        <v>India</v>
      </c>
      <c r="G759" t="str">
        <f>'Data Cleaning'!G759</f>
        <v>Online</v>
      </c>
      <c r="H759" s="2">
        <f>'Data Cleaning'!H759</f>
        <v>236.76</v>
      </c>
      <c r="I759">
        <f>'Data Cleaning'!I759</f>
        <v>18</v>
      </c>
      <c r="J759" s="2">
        <f>'Data Cleaning'!J759</f>
        <v>4261.68</v>
      </c>
    </row>
    <row r="760" spans="1:10" x14ac:dyDescent="0.25">
      <c r="A760" t="str">
        <f>'Data Cleaning'!A760</f>
        <v>S753</v>
      </c>
      <c r="B760" s="113">
        <f>'Data Cleaning'!B760</f>
        <v>46012</v>
      </c>
      <c r="C760" t="str">
        <f>'Data Cleaning'!C760</f>
        <v>Adidas</v>
      </c>
      <c r="D760" t="str">
        <f>'Data Cleaning'!D760</f>
        <v>Boots</v>
      </c>
      <c r="E760" t="str">
        <f>'Data Cleaning'!E760</f>
        <v>White</v>
      </c>
      <c r="F760" t="str">
        <f>'Data Cleaning'!F760</f>
        <v>USA</v>
      </c>
      <c r="G760" t="str">
        <f>'Data Cleaning'!G760</f>
        <v>Retail Store</v>
      </c>
      <c r="H760" s="2">
        <f>'Data Cleaning'!H760</f>
        <v>168.1</v>
      </c>
      <c r="I760">
        <f>'Data Cleaning'!I760</f>
        <v>19</v>
      </c>
      <c r="J760" s="2">
        <f>'Data Cleaning'!J760</f>
        <v>3193.9</v>
      </c>
    </row>
    <row r="761" spans="1:10" x14ac:dyDescent="0.25">
      <c r="A761" t="str">
        <f>'Data Cleaning'!A761</f>
        <v>S754</v>
      </c>
      <c r="B761" s="113">
        <f>'Data Cleaning'!B761</f>
        <v>45994</v>
      </c>
      <c r="C761" t="str">
        <f>'Data Cleaning'!C761</f>
        <v>New Balance</v>
      </c>
      <c r="D761" t="str">
        <f>'Data Cleaning'!D761</f>
        <v>Sports</v>
      </c>
      <c r="E761" t="str">
        <f>'Data Cleaning'!E761</f>
        <v>Grey</v>
      </c>
      <c r="F761" t="str">
        <f>'Data Cleaning'!F761</f>
        <v>Germany</v>
      </c>
      <c r="G761" t="str">
        <f>'Data Cleaning'!G761</f>
        <v>Retail Store</v>
      </c>
      <c r="H761" s="2">
        <f>'Data Cleaning'!H761</f>
        <v>103.68</v>
      </c>
      <c r="I761">
        <f>'Data Cleaning'!I761</f>
        <v>20</v>
      </c>
      <c r="J761" s="2">
        <f>'Data Cleaning'!J761</f>
        <v>2073.6</v>
      </c>
    </row>
    <row r="762" spans="1:10" x14ac:dyDescent="0.25">
      <c r="A762" t="str">
        <f>'Data Cleaning'!A762</f>
        <v>S755</v>
      </c>
      <c r="B762" s="113">
        <f>'Data Cleaning'!B762</f>
        <v>45969</v>
      </c>
      <c r="C762" t="str">
        <f>'Data Cleaning'!C762</f>
        <v>Puma</v>
      </c>
      <c r="D762" t="str">
        <f>'Data Cleaning'!D762</f>
        <v>Formal</v>
      </c>
      <c r="E762" t="str">
        <f>'Data Cleaning'!E762</f>
        <v>Blue</v>
      </c>
      <c r="F762" t="str">
        <f>'Data Cleaning'!F762</f>
        <v>France</v>
      </c>
      <c r="G762" t="str">
        <f>'Data Cleaning'!G762</f>
        <v>Retail Store</v>
      </c>
      <c r="H762" s="2">
        <f>'Data Cleaning'!H762</f>
        <v>60.64</v>
      </c>
      <c r="I762">
        <f>'Data Cleaning'!I762</f>
        <v>8</v>
      </c>
      <c r="J762" s="2">
        <f>'Data Cleaning'!J762</f>
        <v>485.12</v>
      </c>
    </row>
    <row r="763" spans="1:10" x14ac:dyDescent="0.25">
      <c r="A763" t="str">
        <f>'Data Cleaning'!A763</f>
        <v>S756</v>
      </c>
      <c r="B763" s="113">
        <f>'Data Cleaning'!B763</f>
        <v>45726</v>
      </c>
      <c r="C763" t="str">
        <f>'Data Cleaning'!C763</f>
        <v>Reebok</v>
      </c>
      <c r="D763" t="str">
        <f>'Data Cleaning'!D763</f>
        <v>Sneakers</v>
      </c>
      <c r="E763" t="str">
        <f>'Data Cleaning'!E763</f>
        <v>Green</v>
      </c>
      <c r="F763" t="str">
        <f>'Data Cleaning'!F763</f>
        <v>UAE</v>
      </c>
      <c r="G763" t="str">
        <f>'Data Cleaning'!G763</f>
        <v>Mall</v>
      </c>
      <c r="H763" s="2">
        <f>'Data Cleaning'!H763</f>
        <v>204.69</v>
      </c>
      <c r="I763">
        <f>'Data Cleaning'!I763</f>
        <v>5</v>
      </c>
      <c r="J763" s="2">
        <f>'Data Cleaning'!J763</f>
        <v>1023.45</v>
      </c>
    </row>
    <row r="764" spans="1:10" x14ac:dyDescent="0.25">
      <c r="A764" t="str">
        <f>'Data Cleaning'!A764</f>
        <v>S757</v>
      </c>
      <c r="B764" s="113">
        <f>'Data Cleaning'!B764</f>
        <v>45811</v>
      </c>
      <c r="C764" t="str">
        <f>'Data Cleaning'!C764</f>
        <v>Puma</v>
      </c>
      <c r="D764" t="str">
        <f>'Data Cleaning'!D764</f>
        <v>Boots</v>
      </c>
      <c r="E764" t="str">
        <f>'Data Cleaning'!E764</f>
        <v>Green</v>
      </c>
      <c r="F764" t="str">
        <f>'Data Cleaning'!F764</f>
        <v>India</v>
      </c>
      <c r="G764" t="str">
        <f>'Data Cleaning'!G764</f>
        <v>Mall</v>
      </c>
      <c r="H764" s="2">
        <f>'Data Cleaning'!H764</f>
        <v>166.42</v>
      </c>
      <c r="I764">
        <f>'Data Cleaning'!I764</f>
        <v>18</v>
      </c>
      <c r="J764" s="2">
        <f>'Data Cleaning'!J764</f>
        <v>2995.56</v>
      </c>
    </row>
    <row r="765" spans="1:10" x14ac:dyDescent="0.25">
      <c r="A765" t="str">
        <f>'Data Cleaning'!A765</f>
        <v>S758</v>
      </c>
      <c r="B765" s="113">
        <f>'Data Cleaning'!B765</f>
        <v>45769</v>
      </c>
      <c r="C765" t="str">
        <f>'Data Cleaning'!C765</f>
        <v>Adidas</v>
      </c>
      <c r="D765" t="str">
        <f>'Data Cleaning'!D765</f>
        <v>Sneakers</v>
      </c>
      <c r="E765" t="str">
        <f>'Data Cleaning'!E765</f>
        <v>Green</v>
      </c>
      <c r="F765" t="str">
        <f>'Data Cleaning'!F765</f>
        <v>France</v>
      </c>
      <c r="G765" t="str">
        <f>'Data Cleaning'!G765</f>
        <v>Mall</v>
      </c>
      <c r="H765" s="2">
        <f>'Data Cleaning'!H765</f>
        <v>147.36000000000001</v>
      </c>
      <c r="I765">
        <f>'Data Cleaning'!I765</f>
        <v>7</v>
      </c>
      <c r="J765" s="2">
        <f>'Data Cleaning'!J765</f>
        <v>1031.52</v>
      </c>
    </row>
    <row r="766" spans="1:10" x14ac:dyDescent="0.25">
      <c r="A766" t="str">
        <f>'Data Cleaning'!A766</f>
        <v>S759</v>
      </c>
      <c r="B766" s="113">
        <f>'Data Cleaning'!B766</f>
        <v>45834</v>
      </c>
      <c r="C766" t="str">
        <f>'Data Cleaning'!C766</f>
        <v>Skechers</v>
      </c>
      <c r="D766" t="str">
        <f>'Data Cleaning'!D766</f>
        <v>Boots</v>
      </c>
      <c r="E766" t="str">
        <f>'Data Cleaning'!E766</f>
        <v>White</v>
      </c>
      <c r="F766" t="str">
        <f>'Data Cleaning'!F766</f>
        <v>India</v>
      </c>
      <c r="G766" t="str">
        <f>'Data Cleaning'!G766</f>
        <v>Mall</v>
      </c>
      <c r="H766" s="2">
        <f>'Data Cleaning'!H766</f>
        <v>226.66</v>
      </c>
      <c r="I766">
        <f>'Data Cleaning'!I766</f>
        <v>5</v>
      </c>
      <c r="J766" s="2">
        <f>'Data Cleaning'!J766</f>
        <v>1133.3</v>
      </c>
    </row>
    <row r="767" spans="1:10" x14ac:dyDescent="0.25">
      <c r="A767" t="str">
        <f>'Data Cleaning'!A767</f>
        <v>S760</v>
      </c>
      <c r="B767" s="113">
        <f>'Data Cleaning'!B767</f>
        <v>46013</v>
      </c>
      <c r="C767" t="str">
        <f>'Data Cleaning'!C767</f>
        <v>Skechers</v>
      </c>
      <c r="D767" t="str">
        <f>'Data Cleaning'!D767</f>
        <v>Running</v>
      </c>
      <c r="E767" t="str">
        <f>'Data Cleaning'!E767</f>
        <v>Blue</v>
      </c>
      <c r="F767" t="str">
        <f>'Data Cleaning'!F767</f>
        <v>India</v>
      </c>
      <c r="G767" t="str">
        <f>'Data Cleaning'!G767</f>
        <v>Retail Store</v>
      </c>
      <c r="H767" s="2">
        <f>'Data Cleaning'!H767</f>
        <v>203.49</v>
      </c>
      <c r="I767">
        <f>'Data Cleaning'!I767</f>
        <v>11</v>
      </c>
      <c r="J767" s="2">
        <f>'Data Cleaning'!J767</f>
        <v>2238.39</v>
      </c>
    </row>
    <row r="768" spans="1:10" x14ac:dyDescent="0.25">
      <c r="A768" t="str">
        <f>'Data Cleaning'!A768</f>
        <v>S761</v>
      </c>
      <c r="B768" s="113">
        <f>'Data Cleaning'!B768</f>
        <v>45956</v>
      </c>
      <c r="C768" t="str">
        <f>'Data Cleaning'!C768</f>
        <v>Skechers</v>
      </c>
      <c r="D768" t="str">
        <f>'Data Cleaning'!D768</f>
        <v>Boots</v>
      </c>
      <c r="E768" t="str">
        <f>'Data Cleaning'!E768</f>
        <v>Red</v>
      </c>
      <c r="F768" t="str">
        <f>'Data Cleaning'!F768</f>
        <v>UAE</v>
      </c>
      <c r="G768" t="str">
        <f>'Data Cleaning'!G768</f>
        <v>Mall</v>
      </c>
      <c r="H768" s="2">
        <f>'Data Cleaning'!H768</f>
        <v>63.37</v>
      </c>
      <c r="I768">
        <f>'Data Cleaning'!I768</f>
        <v>19</v>
      </c>
      <c r="J768" s="2">
        <f>'Data Cleaning'!J768</f>
        <v>1204.03</v>
      </c>
    </row>
    <row r="769" spans="1:10" x14ac:dyDescent="0.25">
      <c r="A769" t="str">
        <f>'Data Cleaning'!A769</f>
        <v>S762</v>
      </c>
      <c r="B769" s="113">
        <f>'Data Cleaning'!B769</f>
        <v>45931</v>
      </c>
      <c r="C769" t="str">
        <f>'Data Cleaning'!C769</f>
        <v>Reebok</v>
      </c>
      <c r="D769" t="str">
        <f>'Data Cleaning'!D769</f>
        <v>Running</v>
      </c>
      <c r="E769" t="str">
        <f>'Data Cleaning'!E769</f>
        <v>Grey</v>
      </c>
      <c r="F769" t="str">
        <f>'Data Cleaning'!F769</f>
        <v>USA</v>
      </c>
      <c r="G769" t="str">
        <f>'Data Cleaning'!G769</f>
        <v>Online</v>
      </c>
      <c r="H769" s="2">
        <f>'Data Cleaning'!H769</f>
        <v>98.58</v>
      </c>
      <c r="I769">
        <f>'Data Cleaning'!I769</f>
        <v>10</v>
      </c>
      <c r="J769" s="2">
        <f>'Data Cleaning'!J769</f>
        <v>985.8</v>
      </c>
    </row>
    <row r="770" spans="1:10" x14ac:dyDescent="0.25">
      <c r="A770" t="str">
        <f>'Data Cleaning'!A770</f>
        <v>S763</v>
      </c>
      <c r="B770" s="113">
        <f>'Data Cleaning'!B770</f>
        <v>45853</v>
      </c>
      <c r="C770" t="str">
        <f>'Data Cleaning'!C770</f>
        <v>Nike</v>
      </c>
      <c r="D770" t="str">
        <f>'Data Cleaning'!D770</f>
        <v>Boots</v>
      </c>
      <c r="E770" t="str">
        <f>'Data Cleaning'!E770</f>
        <v>Black</v>
      </c>
      <c r="F770" t="str">
        <f>'Data Cleaning'!F770</f>
        <v>UK</v>
      </c>
      <c r="G770" t="str">
        <f>'Data Cleaning'!G770</f>
        <v>Retail Store</v>
      </c>
      <c r="H770" s="2">
        <f>'Data Cleaning'!H770</f>
        <v>84.67</v>
      </c>
      <c r="I770">
        <f>'Data Cleaning'!I770</f>
        <v>5</v>
      </c>
      <c r="J770" s="2">
        <f>'Data Cleaning'!J770</f>
        <v>423.35</v>
      </c>
    </row>
    <row r="771" spans="1:10" x14ac:dyDescent="0.25">
      <c r="A771" t="str">
        <f>'Data Cleaning'!A771</f>
        <v>S764</v>
      </c>
      <c r="B771" s="113">
        <f>'Data Cleaning'!B771</f>
        <v>45740</v>
      </c>
      <c r="C771" t="str">
        <f>'Data Cleaning'!C771</f>
        <v>Skechers</v>
      </c>
      <c r="D771" t="str">
        <f>'Data Cleaning'!D771</f>
        <v>Sports</v>
      </c>
      <c r="E771" t="str">
        <f>'Data Cleaning'!E771</f>
        <v>White</v>
      </c>
      <c r="F771" t="str">
        <f>'Data Cleaning'!F771</f>
        <v>Saudi Arabia</v>
      </c>
      <c r="G771" t="str">
        <f>'Data Cleaning'!G771</f>
        <v>Online</v>
      </c>
      <c r="H771" s="2">
        <f>'Data Cleaning'!H771</f>
        <v>193.67</v>
      </c>
      <c r="I771">
        <f>'Data Cleaning'!I771</f>
        <v>10</v>
      </c>
      <c r="J771" s="2">
        <f>'Data Cleaning'!J771</f>
        <v>1936.7</v>
      </c>
    </row>
    <row r="772" spans="1:10" x14ac:dyDescent="0.25">
      <c r="A772" t="str">
        <f>'Data Cleaning'!A772</f>
        <v>S765</v>
      </c>
      <c r="B772" s="113">
        <f>'Data Cleaning'!B772</f>
        <v>46011</v>
      </c>
      <c r="C772" t="str">
        <f>'Data Cleaning'!C772</f>
        <v>Adidas</v>
      </c>
      <c r="D772" t="str">
        <f>'Data Cleaning'!D772</f>
        <v>Sneakers</v>
      </c>
      <c r="E772" t="str">
        <f>'Data Cleaning'!E772</f>
        <v>Black</v>
      </c>
      <c r="F772" t="str">
        <f>'Data Cleaning'!F772</f>
        <v>France</v>
      </c>
      <c r="G772" t="str">
        <f>'Data Cleaning'!G772</f>
        <v>Retail Store</v>
      </c>
      <c r="H772" s="2">
        <f>'Data Cleaning'!H772</f>
        <v>37.380000000000003</v>
      </c>
      <c r="I772">
        <f>'Data Cleaning'!I772</f>
        <v>10</v>
      </c>
      <c r="J772" s="2">
        <f>'Data Cleaning'!J772</f>
        <v>373.8</v>
      </c>
    </row>
    <row r="773" spans="1:10" x14ac:dyDescent="0.25">
      <c r="A773" t="str">
        <f>'Data Cleaning'!A773</f>
        <v>S766</v>
      </c>
      <c r="B773" s="113">
        <f>'Data Cleaning'!B773</f>
        <v>45710</v>
      </c>
      <c r="C773" t="str">
        <f>'Data Cleaning'!C773</f>
        <v>Skechers</v>
      </c>
      <c r="D773" t="str">
        <f>'Data Cleaning'!D773</f>
        <v>Boots</v>
      </c>
      <c r="E773" t="str">
        <f>'Data Cleaning'!E773</f>
        <v>Grey</v>
      </c>
      <c r="F773" t="str">
        <f>'Data Cleaning'!F773</f>
        <v>Saudi Arabia</v>
      </c>
      <c r="G773" t="str">
        <f>'Data Cleaning'!G773</f>
        <v>Online</v>
      </c>
      <c r="H773" s="2">
        <f>'Data Cleaning'!H773</f>
        <v>155.38</v>
      </c>
      <c r="I773">
        <f>'Data Cleaning'!I773</f>
        <v>20</v>
      </c>
      <c r="J773" s="2">
        <f>'Data Cleaning'!J773</f>
        <v>3107.6</v>
      </c>
    </row>
    <row r="774" spans="1:10" x14ac:dyDescent="0.25">
      <c r="A774" t="str">
        <f>'Data Cleaning'!A774</f>
        <v>S767</v>
      </c>
      <c r="B774" s="113">
        <f>'Data Cleaning'!B774</f>
        <v>45989</v>
      </c>
      <c r="C774" t="str">
        <f>'Data Cleaning'!C774</f>
        <v>Reebok</v>
      </c>
      <c r="D774" t="str">
        <f>'Data Cleaning'!D774</f>
        <v>Casual</v>
      </c>
      <c r="E774" t="str">
        <f>'Data Cleaning'!E774</f>
        <v>Grey</v>
      </c>
      <c r="F774" t="str">
        <f>'Data Cleaning'!F774</f>
        <v>Saudi Arabia</v>
      </c>
      <c r="G774" t="str">
        <f>'Data Cleaning'!G774</f>
        <v>Mall</v>
      </c>
      <c r="H774" s="2">
        <f>'Data Cleaning'!H774</f>
        <v>197.74</v>
      </c>
      <c r="I774">
        <f>'Data Cleaning'!I774</f>
        <v>18</v>
      </c>
      <c r="J774" s="2">
        <f>'Data Cleaning'!J774</f>
        <v>3559.32</v>
      </c>
    </row>
    <row r="775" spans="1:10" x14ac:dyDescent="0.25">
      <c r="A775" t="str">
        <f>'Data Cleaning'!A775</f>
        <v>S768</v>
      </c>
      <c r="B775" s="113">
        <f>'Data Cleaning'!B775</f>
        <v>45805</v>
      </c>
      <c r="C775" t="str">
        <f>'Data Cleaning'!C775</f>
        <v>Reebok</v>
      </c>
      <c r="D775" t="str">
        <f>'Data Cleaning'!D775</f>
        <v>Formal</v>
      </c>
      <c r="E775" t="str">
        <f>'Data Cleaning'!E775</f>
        <v>Red</v>
      </c>
      <c r="F775" t="str">
        <f>'Data Cleaning'!F775</f>
        <v>Saudi Arabia</v>
      </c>
      <c r="G775" t="str">
        <f>'Data Cleaning'!G775</f>
        <v>Mall</v>
      </c>
      <c r="H775" s="2">
        <f>'Data Cleaning'!H775</f>
        <v>222.89</v>
      </c>
      <c r="I775">
        <f>'Data Cleaning'!I775</f>
        <v>2</v>
      </c>
      <c r="J775" s="2">
        <f>'Data Cleaning'!J775</f>
        <v>445.78</v>
      </c>
    </row>
    <row r="776" spans="1:10" x14ac:dyDescent="0.25">
      <c r="A776" t="str">
        <f>'Data Cleaning'!A776</f>
        <v>S769</v>
      </c>
      <c r="B776" s="113">
        <f>'Data Cleaning'!B776</f>
        <v>45818</v>
      </c>
      <c r="C776" t="str">
        <f>'Data Cleaning'!C776</f>
        <v>Nike</v>
      </c>
      <c r="D776" t="str">
        <f>'Data Cleaning'!D776</f>
        <v>Running</v>
      </c>
      <c r="E776" t="str">
        <f>'Data Cleaning'!E776</f>
        <v>Green</v>
      </c>
      <c r="F776" t="str">
        <f>'Data Cleaning'!F776</f>
        <v>France</v>
      </c>
      <c r="G776" t="str">
        <f>'Data Cleaning'!G776</f>
        <v>Online</v>
      </c>
      <c r="H776" s="2">
        <f>'Data Cleaning'!H776</f>
        <v>105.26</v>
      </c>
      <c r="I776">
        <f>'Data Cleaning'!I776</f>
        <v>18</v>
      </c>
      <c r="J776" s="2">
        <f>'Data Cleaning'!J776</f>
        <v>1894.68</v>
      </c>
    </row>
    <row r="777" spans="1:10" x14ac:dyDescent="0.25">
      <c r="A777" t="str">
        <f>'Data Cleaning'!A777</f>
        <v>S770</v>
      </c>
      <c r="B777" s="113">
        <f>'Data Cleaning'!B777</f>
        <v>45975</v>
      </c>
      <c r="C777" t="str">
        <f>'Data Cleaning'!C777</f>
        <v>Adidas</v>
      </c>
      <c r="D777" t="str">
        <f>'Data Cleaning'!D777</f>
        <v>Boots</v>
      </c>
      <c r="E777" t="str">
        <f>'Data Cleaning'!E777</f>
        <v>Green</v>
      </c>
      <c r="F777" t="str">
        <f>'Data Cleaning'!F777</f>
        <v>UAE</v>
      </c>
      <c r="G777" t="str">
        <f>'Data Cleaning'!G777</f>
        <v>Mall</v>
      </c>
      <c r="H777" s="2">
        <f>'Data Cleaning'!H777</f>
        <v>210.68</v>
      </c>
      <c r="I777">
        <f>'Data Cleaning'!I777</f>
        <v>15</v>
      </c>
      <c r="J777" s="2">
        <f>'Data Cleaning'!J777</f>
        <v>3160.2</v>
      </c>
    </row>
    <row r="778" spans="1:10" x14ac:dyDescent="0.25">
      <c r="A778" t="str">
        <f>'Data Cleaning'!A778</f>
        <v>S771</v>
      </c>
      <c r="B778" s="113">
        <f>'Data Cleaning'!B778</f>
        <v>45846</v>
      </c>
      <c r="C778" t="str">
        <f>'Data Cleaning'!C778</f>
        <v>New Balance</v>
      </c>
      <c r="D778" t="str">
        <f>'Data Cleaning'!D778</f>
        <v>Boots</v>
      </c>
      <c r="E778" t="str">
        <f>'Data Cleaning'!E778</f>
        <v>Grey</v>
      </c>
      <c r="F778" t="str">
        <f>'Data Cleaning'!F778</f>
        <v>UK</v>
      </c>
      <c r="G778" t="str">
        <f>'Data Cleaning'!G778</f>
        <v>Mall</v>
      </c>
      <c r="H778" s="2">
        <f>'Data Cleaning'!H778</f>
        <v>54.34</v>
      </c>
      <c r="I778">
        <f>'Data Cleaning'!I778</f>
        <v>19</v>
      </c>
      <c r="J778" s="2">
        <f>'Data Cleaning'!J778</f>
        <v>1032.46</v>
      </c>
    </row>
    <row r="779" spans="1:10" x14ac:dyDescent="0.25">
      <c r="A779" t="str">
        <f>'Data Cleaning'!A779</f>
        <v>S772</v>
      </c>
      <c r="B779" s="113">
        <f>'Data Cleaning'!B779</f>
        <v>45757</v>
      </c>
      <c r="C779" t="str">
        <f>'Data Cleaning'!C779</f>
        <v>Reebok</v>
      </c>
      <c r="D779" t="str">
        <f>'Data Cleaning'!D779</f>
        <v>Casual</v>
      </c>
      <c r="E779" t="str">
        <f>'Data Cleaning'!E779</f>
        <v>Green</v>
      </c>
      <c r="F779" t="str">
        <f>'Data Cleaning'!F779</f>
        <v>USA</v>
      </c>
      <c r="G779" t="str">
        <f>'Data Cleaning'!G779</f>
        <v>Online</v>
      </c>
      <c r="H779" s="2">
        <f>'Data Cleaning'!H779</f>
        <v>216.22</v>
      </c>
      <c r="I779">
        <f>'Data Cleaning'!I779</f>
        <v>10</v>
      </c>
      <c r="J779" s="2">
        <f>'Data Cleaning'!J779</f>
        <v>2162.1999999999998</v>
      </c>
    </row>
    <row r="780" spans="1:10" x14ac:dyDescent="0.25">
      <c r="A780" t="str">
        <f>'Data Cleaning'!A780</f>
        <v>S773</v>
      </c>
      <c r="B780" s="113">
        <f>'Data Cleaning'!B780</f>
        <v>45746</v>
      </c>
      <c r="C780" t="str">
        <f>'Data Cleaning'!C780</f>
        <v>Nike</v>
      </c>
      <c r="D780" t="str">
        <f>'Data Cleaning'!D780</f>
        <v>Formal</v>
      </c>
      <c r="E780" t="str">
        <f>'Data Cleaning'!E780</f>
        <v>Black</v>
      </c>
      <c r="F780" t="str">
        <f>'Data Cleaning'!F780</f>
        <v>Germany</v>
      </c>
      <c r="G780" t="str">
        <f>'Data Cleaning'!G780</f>
        <v>Retail Store</v>
      </c>
      <c r="H780" s="2">
        <f>'Data Cleaning'!H780</f>
        <v>58.05</v>
      </c>
      <c r="I780">
        <f>'Data Cleaning'!I780</f>
        <v>17</v>
      </c>
      <c r="J780" s="2">
        <f>'Data Cleaning'!J780</f>
        <v>986.85</v>
      </c>
    </row>
    <row r="781" spans="1:10" x14ac:dyDescent="0.25">
      <c r="A781" t="str">
        <f>'Data Cleaning'!A781</f>
        <v>S774</v>
      </c>
      <c r="B781" s="113">
        <f>'Data Cleaning'!B781</f>
        <v>45942</v>
      </c>
      <c r="C781" t="str">
        <f>'Data Cleaning'!C781</f>
        <v>Adidas</v>
      </c>
      <c r="D781" t="str">
        <f>'Data Cleaning'!D781</f>
        <v>Casual</v>
      </c>
      <c r="E781" t="str">
        <f>'Data Cleaning'!E781</f>
        <v>Grey</v>
      </c>
      <c r="F781" t="str">
        <f>'Data Cleaning'!F781</f>
        <v>Saudi Arabia</v>
      </c>
      <c r="G781" t="str">
        <f>'Data Cleaning'!G781</f>
        <v>Retail Store</v>
      </c>
      <c r="H781" s="2">
        <f>'Data Cleaning'!H781</f>
        <v>117.4</v>
      </c>
      <c r="I781">
        <f>'Data Cleaning'!I781</f>
        <v>9</v>
      </c>
      <c r="J781" s="2">
        <f>'Data Cleaning'!J781</f>
        <v>1056.5999999999999</v>
      </c>
    </row>
    <row r="782" spans="1:10" x14ac:dyDescent="0.25">
      <c r="A782" t="str">
        <f>'Data Cleaning'!A782</f>
        <v>S775</v>
      </c>
      <c r="B782" s="113">
        <f>'Data Cleaning'!B782</f>
        <v>45660</v>
      </c>
      <c r="C782" t="str">
        <f>'Data Cleaning'!C782</f>
        <v>Reebok</v>
      </c>
      <c r="D782" t="str">
        <f>'Data Cleaning'!D782</f>
        <v>Boots</v>
      </c>
      <c r="E782" t="str">
        <f>'Data Cleaning'!E782</f>
        <v>White</v>
      </c>
      <c r="F782" t="str">
        <f>'Data Cleaning'!F782</f>
        <v>USA</v>
      </c>
      <c r="G782" t="str">
        <f>'Data Cleaning'!G782</f>
        <v>Online</v>
      </c>
      <c r="H782" s="2">
        <f>'Data Cleaning'!H782</f>
        <v>205.4</v>
      </c>
      <c r="I782">
        <f>'Data Cleaning'!I782</f>
        <v>11</v>
      </c>
      <c r="J782" s="2">
        <f>'Data Cleaning'!J782</f>
        <v>2259.4</v>
      </c>
    </row>
    <row r="783" spans="1:10" x14ac:dyDescent="0.25">
      <c r="A783" t="str">
        <f>'Data Cleaning'!A783</f>
        <v>S776</v>
      </c>
      <c r="B783" s="113">
        <f>'Data Cleaning'!B783</f>
        <v>45823</v>
      </c>
      <c r="C783" t="str">
        <f>'Data Cleaning'!C783</f>
        <v>Nike</v>
      </c>
      <c r="D783" t="str">
        <f>'Data Cleaning'!D783</f>
        <v>Boots</v>
      </c>
      <c r="E783" t="str">
        <f>'Data Cleaning'!E783</f>
        <v>Grey</v>
      </c>
      <c r="F783" t="str">
        <f>'Data Cleaning'!F783</f>
        <v>Saudi Arabia</v>
      </c>
      <c r="G783" t="str">
        <f>'Data Cleaning'!G783</f>
        <v>Mall</v>
      </c>
      <c r="H783" s="2">
        <f>'Data Cleaning'!H783</f>
        <v>62.98</v>
      </c>
      <c r="I783">
        <f>'Data Cleaning'!I783</f>
        <v>20</v>
      </c>
      <c r="J783" s="2">
        <f>'Data Cleaning'!J783</f>
        <v>1259.5999999999999</v>
      </c>
    </row>
    <row r="784" spans="1:10" x14ac:dyDescent="0.25">
      <c r="A784" t="str">
        <f>'Data Cleaning'!A784</f>
        <v>S777</v>
      </c>
      <c r="B784" s="113">
        <f>'Data Cleaning'!B784</f>
        <v>45812</v>
      </c>
      <c r="C784" t="str">
        <f>'Data Cleaning'!C784</f>
        <v>New Balance</v>
      </c>
      <c r="D784" t="str">
        <f>'Data Cleaning'!D784</f>
        <v>Sneakers</v>
      </c>
      <c r="E784" t="str">
        <f>'Data Cleaning'!E784</f>
        <v>Blue</v>
      </c>
      <c r="F784" t="str">
        <f>'Data Cleaning'!F784</f>
        <v>USA</v>
      </c>
      <c r="G784" t="str">
        <f>'Data Cleaning'!G784</f>
        <v>Mall</v>
      </c>
      <c r="H784" s="2">
        <f>'Data Cleaning'!H784</f>
        <v>80.44</v>
      </c>
      <c r="I784">
        <f>'Data Cleaning'!I784</f>
        <v>16</v>
      </c>
      <c r="J784" s="2">
        <f>'Data Cleaning'!J784</f>
        <v>1287.04</v>
      </c>
    </row>
    <row r="785" spans="1:10" x14ac:dyDescent="0.25">
      <c r="A785" t="str">
        <f>'Data Cleaning'!A785</f>
        <v>S778</v>
      </c>
      <c r="B785" s="113">
        <f>'Data Cleaning'!B785</f>
        <v>45820</v>
      </c>
      <c r="C785" t="str">
        <f>'Data Cleaning'!C785</f>
        <v>Adidas</v>
      </c>
      <c r="D785" t="str">
        <f>'Data Cleaning'!D785</f>
        <v>Casual</v>
      </c>
      <c r="E785" t="str">
        <f>'Data Cleaning'!E785</f>
        <v>Grey</v>
      </c>
      <c r="F785" t="str">
        <f>'Data Cleaning'!F785</f>
        <v>USA</v>
      </c>
      <c r="G785" t="str">
        <f>'Data Cleaning'!G785</f>
        <v>Mall</v>
      </c>
      <c r="H785" s="2">
        <f>'Data Cleaning'!H785</f>
        <v>188.9</v>
      </c>
      <c r="I785">
        <f>'Data Cleaning'!I785</f>
        <v>17</v>
      </c>
      <c r="J785" s="2">
        <f>'Data Cleaning'!J785</f>
        <v>3211.3</v>
      </c>
    </row>
    <row r="786" spans="1:10" x14ac:dyDescent="0.25">
      <c r="A786" t="str">
        <f>'Data Cleaning'!A786</f>
        <v>S779</v>
      </c>
      <c r="B786" s="113">
        <f>'Data Cleaning'!B786</f>
        <v>45739</v>
      </c>
      <c r="C786" t="str">
        <f>'Data Cleaning'!C786</f>
        <v>New Balance</v>
      </c>
      <c r="D786" t="str">
        <f>'Data Cleaning'!D786</f>
        <v>Sneakers</v>
      </c>
      <c r="E786" t="str">
        <f>'Data Cleaning'!E786</f>
        <v>Red</v>
      </c>
      <c r="F786" t="str">
        <f>'Data Cleaning'!F786</f>
        <v>USA</v>
      </c>
      <c r="G786" t="str">
        <f>'Data Cleaning'!G786</f>
        <v>Retail Store</v>
      </c>
      <c r="H786" s="2">
        <f>'Data Cleaning'!H786</f>
        <v>188.41</v>
      </c>
      <c r="I786">
        <f>'Data Cleaning'!I786</f>
        <v>14</v>
      </c>
      <c r="J786" s="2">
        <f>'Data Cleaning'!J786</f>
        <v>2637.74</v>
      </c>
    </row>
    <row r="787" spans="1:10" x14ac:dyDescent="0.25">
      <c r="A787" t="str">
        <f>'Data Cleaning'!A787</f>
        <v>S780</v>
      </c>
      <c r="B787" s="113">
        <f>'Data Cleaning'!B787</f>
        <v>45771</v>
      </c>
      <c r="C787" t="str">
        <f>'Data Cleaning'!C787</f>
        <v>Skechers</v>
      </c>
      <c r="D787" t="str">
        <f>'Data Cleaning'!D787</f>
        <v>Sports</v>
      </c>
      <c r="E787" t="str">
        <f>'Data Cleaning'!E787</f>
        <v>Blue</v>
      </c>
      <c r="F787" t="str">
        <f>'Data Cleaning'!F787</f>
        <v>France</v>
      </c>
      <c r="G787" t="str">
        <f>'Data Cleaning'!G787</f>
        <v>Retail Store</v>
      </c>
      <c r="H787" s="2">
        <f>'Data Cleaning'!H787</f>
        <v>171.05</v>
      </c>
      <c r="I787">
        <f>'Data Cleaning'!I787</f>
        <v>7</v>
      </c>
      <c r="J787" s="2">
        <f>'Data Cleaning'!J787</f>
        <v>1197.3499999999999</v>
      </c>
    </row>
    <row r="788" spans="1:10" x14ac:dyDescent="0.25">
      <c r="A788" t="str">
        <f>'Data Cleaning'!A788</f>
        <v>S781</v>
      </c>
      <c r="B788" s="113">
        <f>'Data Cleaning'!B788</f>
        <v>45769</v>
      </c>
      <c r="C788" t="str">
        <f>'Data Cleaning'!C788</f>
        <v>New Balance</v>
      </c>
      <c r="D788" t="str">
        <f>'Data Cleaning'!D788</f>
        <v>Formal</v>
      </c>
      <c r="E788" t="str">
        <f>'Data Cleaning'!E788</f>
        <v>Grey</v>
      </c>
      <c r="F788" t="str">
        <f>'Data Cleaning'!F788</f>
        <v>Saudi Arabia</v>
      </c>
      <c r="G788" t="str">
        <f>'Data Cleaning'!G788</f>
        <v>Mall</v>
      </c>
      <c r="H788" s="2">
        <f>'Data Cleaning'!H788</f>
        <v>182.67</v>
      </c>
      <c r="I788">
        <f>'Data Cleaning'!I788</f>
        <v>20</v>
      </c>
      <c r="J788" s="2">
        <f>'Data Cleaning'!J788</f>
        <v>3653.4</v>
      </c>
    </row>
    <row r="789" spans="1:10" x14ac:dyDescent="0.25">
      <c r="A789" t="str">
        <f>'Data Cleaning'!A789</f>
        <v>S782</v>
      </c>
      <c r="B789" s="113">
        <f>'Data Cleaning'!B789</f>
        <v>45662</v>
      </c>
      <c r="C789" t="str">
        <f>'Data Cleaning'!C789</f>
        <v>Skechers</v>
      </c>
      <c r="D789" t="str">
        <f>'Data Cleaning'!D789</f>
        <v>Sports</v>
      </c>
      <c r="E789" t="str">
        <f>'Data Cleaning'!E789</f>
        <v>Red</v>
      </c>
      <c r="F789" t="str">
        <f>'Data Cleaning'!F789</f>
        <v>UK</v>
      </c>
      <c r="G789" t="str">
        <f>'Data Cleaning'!G789</f>
        <v>Mall</v>
      </c>
      <c r="H789" s="2">
        <f>'Data Cleaning'!H789</f>
        <v>149.4</v>
      </c>
      <c r="I789">
        <f>'Data Cleaning'!I789</f>
        <v>4</v>
      </c>
      <c r="J789" s="2">
        <f>'Data Cleaning'!J789</f>
        <v>597.6</v>
      </c>
    </row>
    <row r="790" spans="1:10" x14ac:dyDescent="0.25">
      <c r="A790" t="str">
        <f>'Data Cleaning'!A790</f>
        <v>S783</v>
      </c>
      <c r="B790" s="113">
        <f>'Data Cleaning'!B790</f>
        <v>45972</v>
      </c>
      <c r="C790" t="str">
        <f>'Data Cleaning'!C790</f>
        <v>Adidas</v>
      </c>
      <c r="D790" t="str">
        <f>'Data Cleaning'!D790</f>
        <v>Running</v>
      </c>
      <c r="E790" t="str">
        <f>'Data Cleaning'!E790</f>
        <v>Green</v>
      </c>
      <c r="F790" t="str">
        <f>'Data Cleaning'!F790</f>
        <v>France</v>
      </c>
      <c r="G790" t="str">
        <f>'Data Cleaning'!G790</f>
        <v>Retail Store</v>
      </c>
      <c r="H790" s="2">
        <f>'Data Cleaning'!H790</f>
        <v>85.4</v>
      </c>
      <c r="I790">
        <f>'Data Cleaning'!I790</f>
        <v>20</v>
      </c>
      <c r="J790" s="2">
        <f>'Data Cleaning'!J790</f>
        <v>1708</v>
      </c>
    </row>
    <row r="791" spans="1:10" x14ac:dyDescent="0.25">
      <c r="A791" t="str">
        <f>'Data Cleaning'!A791</f>
        <v>S784</v>
      </c>
      <c r="B791" s="113">
        <f>'Data Cleaning'!B791</f>
        <v>45716</v>
      </c>
      <c r="C791" t="str">
        <f>'Data Cleaning'!C791</f>
        <v>Puma</v>
      </c>
      <c r="D791" t="str">
        <f>'Data Cleaning'!D791</f>
        <v>Sneakers</v>
      </c>
      <c r="E791" t="str">
        <f>'Data Cleaning'!E791</f>
        <v>Green</v>
      </c>
      <c r="F791" t="str">
        <f>'Data Cleaning'!F791</f>
        <v>France</v>
      </c>
      <c r="G791" t="str">
        <f>'Data Cleaning'!G791</f>
        <v>Online</v>
      </c>
      <c r="H791" s="2">
        <f>'Data Cleaning'!H791</f>
        <v>106.05</v>
      </c>
      <c r="I791">
        <f>'Data Cleaning'!I791</f>
        <v>13</v>
      </c>
      <c r="J791" s="2">
        <f>'Data Cleaning'!J791</f>
        <v>1378.65</v>
      </c>
    </row>
    <row r="792" spans="1:10" x14ac:dyDescent="0.25">
      <c r="A792" t="str">
        <f>'Data Cleaning'!A792</f>
        <v>S785</v>
      </c>
      <c r="B792" s="113">
        <f>'Data Cleaning'!B792</f>
        <v>45922</v>
      </c>
      <c r="C792" t="str">
        <f>'Data Cleaning'!C792</f>
        <v>New Balance</v>
      </c>
      <c r="D792" t="str">
        <f>'Data Cleaning'!D792</f>
        <v>Sneakers</v>
      </c>
      <c r="E792" t="str">
        <f>'Data Cleaning'!E792</f>
        <v>Red</v>
      </c>
      <c r="F792" t="str">
        <f>'Data Cleaning'!F792</f>
        <v>Germany</v>
      </c>
      <c r="G792" t="str">
        <f>'Data Cleaning'!G792</f>
        <v>Online</v>
      </c>
      <c r="H792" s="2">
        <f>'Data Cleaning'!H792</f>
        <v>69.95</v>
      </c>
      <c r="I792">
        <f>'Data Cleaning'!I792</f>
        <v>12</v>
      </c>
      <c r="J792" s="2">
        <f>'Data Cleaning'!J792</f>
        <v>839.4</v>
      </c>
    </row>
    <row r="793" spans="1:10" x14ac:dyDescent="0.25">
      <c r="A793" t="str">
        <f>'Data Cleaning'!A793</f>
        <v>S786</v>
      </c>
      <c r="B793" s="113">
        <f>'Data Cleaning'!B793</f>
        <v>45809</v>
      </c>
      <c r="C793" t="str">
        <f>'Data Cleaning'!C793</f>
        <v>Puma</v>
      </c>
      <c r="D793" t="str">
        <f>'Data Cleaning'!D793</f>
        <v>Sneakers</v>
      </c>
      <c r="E793" t="str">
        <f>'Data Cleaning'!E793</f>
        <v>Black</v>
      </c>
      <c r="F793" t="str">
        <f>'Data Cleaning'!F793</f>
        <v>USA</v>
      </c>
      <c r="G793" t="str">
        <f>'Data Cleaning'!G793</f>
        <v>Online</v>
      </c>
      <c r="H793" s="2">
        <f>'Data Cleaning'!H793</f>
        <v>229.86</v>
      </c>
      <c r="I793">
        <f>'Data Cleaning'!I793</f>
        <v>7</v>
      </c>
      <c r="J793" s="2">
        <f>'Data Cleaning'!J793</f>
        <v>1609.02</v>
      </c>
    </row>
    <row r="794" spans="1:10" x14ac:dyDescent="0.25">
      <c r="A794" t="str">
        <f>'Data Cleaning'!A794</f>
        <v>S787</v>
      </c>
      <c r="B794" s="113">
        <f>'Data Cleaning'!B794</f>
        <v>45933</v>
      </c>
      <c r="C794" t="str">
        <f>'Data Cleaning'!C794</f>
        <v>Nike</v>
      </c>
      <c r="D794" t="str">
        <f>'Data Cleaning'!D794</f>
        <v>Boots</v>
      </c>
      <c r="E794" t="str">
        <f>'Data Cleaning'!E794</f>
        <v>Black</v>
      </c>
      <c r="F794" t="str">
        <f>'Data Cleaning'!F794</f>
        <v>UK</v>
      </c>
      <c r="G794" t="str">
        <f>'Data Cleaning'!G794</f>
        <v>Mall</v>
      </c>
      <c r="H794" s="2">
        <f>'Data Cleaning'!H794</f>
        <v>158.35</v>
      </c>
      <c r="I794">
        <f>'Data Cleaning'!I794</f>
        <v>18</v>
      </c>
      <c r="J794" s="2">
        <f>'Data Cleaning'!J794</f>
        <v>2850.3</v>
      </c>
    </row>
    <row r="795" spans="1:10" x14ac:dyDescent="0.25">
      <c r="A795" t="str">
        <f>'Data Cleaning'!A795</f>
        <v>S788</v>
      </c>
      <c r="B795" s="113">
        <f>'Data Cleaning'!B795</f>
        <v>45980</v>
      </c>
      <c r="C795" t="str">
        <f>'Data Cleaning'!C795</f>
        <v>Skechers</v>
      </c>
      <c r="D795" t="str">
        <f>'Data Cleaning'!D795</f>
        <v>Formal</v>
      </c>
      <c r="E795" t="str">
        <f>'Data Cleaning'!E795</f>
        <v>Black</v>
      </c>
      <c r="F795" t="str">
        <f>'Data Cleaning'!F795</f>
        <v>UK</v>
      </c>
      <c r="G795" t="str">
        <f>'Data Cleaning'!G795</f>
        <v>Mall</v>
      </c>
      <c r="H795" s="2">
        <f>'Data Cleaning'!H795</f>
        <v>118.19</v>
      </c>
      <c r="I795">
        <f>'Data Cleaning'!I795</f>
        <v>7</v>
      </c>
      <c r="J795" s="2">
        <f>'Data Cleaning'!J795</f>
        <v>827.33</v>
      </c>
    </row>
    <row r="796" spans="1:10" x14ac:dyDescent="0.25">
      <c r="A796" t="str">
        <f>'Data Cleaning'!A796</f>
        <v>S789</v>
      </c>
      <c r="B796" s="113">
        <f>'Data Cleaning'!B796</f>
        <v>46017</v>
      </c>
      <c r="C796" t="str">
        <f>'Data Cleaning'!C796</f>
        <v>Skechers</v>
      </c>
      <c r="D796" t="str">
        <f>'Data Cleaning'!D796</f>
        <v>Running</v>
      </c>
      <c r="E796" t="str">
        <f>'Data Cleaning'!E796</f>
        <v>Green</v>
      </c>
      <c r="F796" t="str">
        <f>'Data Cleaning'!F796</f>
        <v>UAE</v>
      </c>
      <c r="G796" t="str">
        <f>'Data Cleaning'!G796</f>
        <v>Online</v>
      </c>
      <c r="H796" s="2">
        <f>'Data Cleaning'!H796</f>
        <v>131.63999999999999</v>
      </c>
      <c r="I796">
        <f>'Data Cleaning'!I796</f>
        <v>14</v>
      </c>
      <c r="J796" s="2">
        <f>'Data Cleaning'!J796</f>
        <v>1842.96</v>
      </c>
    </row>
    <row r="797" spans="1:10" x14ac:dyDescent="0.25">
      <c r="A797" t="str">
        <f>'Data Cleaning'!A797</f>
        <v>S790</v>
      </c>
      <c r="B797" s="113">
        <f>'Data Cleaning'!B797</f>
        <v>45670</v>
      </c>
      <c r="C797" t="str">
        <f>'Data Cleaning'!C797</f>
        <v>Skechers</v>
      </c>
      <c r="D797" t="str">
        <f>'Data Cleaning'!D797</f>
        <v>Sports</v>
      </c>
      <c r="E797" t="str">
        <f>'Data Cleaning'!E797</f>
        <v>Black</v>
      </c>
      <c r="F797" t="str">
        <f>'Data Cleaning'!F797</f>
        <v>USA</v>
      </c>
      <c r="G797" t="str">
        <f>'Data Cleaning'!G797</f>
        <v>Online</v>
      </c>
      <c r="H797" s="2">
        <f>'Data Cleaning'!H797</f>
        <v>238.4</v>
      </c>
      <c r="I797">
        <f>'Data Cleaning'!I797</f>
        <v>15</v>
      </c>
      <c r="J797" s="2">
        <f>'Data Cleaning'!J797</f>
        <v>3576</v>
      </c>
    </row>
    <row r="798" spans="1:10" x14ac:dyDescent="0.25">
      <c r="A798" t="str">
        <f>'Data Cleaning'!A798</f>
        <v>S791</v>
      </c>
      <c r="B798" s="113">
        <f>'Data Cleaning'!B798</f>
        <v>45685</v>
      </c>
      <c r="C798" t="str">
        <f>'Data Cleaning'!C798</f>
        <v>Puma</v>
      </c>
      <c r="D798" t="str">
        <f>'Data Cleaning'!D798</f>
        <v>Sneakers</v>
      </c>
      <c r="E798" t="str">
        <f>'Data Cleaning'!E798</f>
        <v>Black</v>
      </c>
      <c r="F798" t="str">
        <f>'Data Cleaning'!F798</f>
        <v>India</v>
      </c>
      <c r="G798" t="str">
        <f>'Data Cleaning'!G798</f>
        <v>Online</v>
      </c>
      <c r="H798" s="2">
        <f>'Data Cleaning'!H798</f>
        <v>63.74</v>
      </c>
      <c r="I798">
        <f>'Data Cleaning'!I798</f>
        <v>6</v>
      </c>
      <c r="J798" s="2">
        <f>'Data Cleaning'!J798</f>
        <v>382.44</v>
      </c>
    </row>
    <row r="799" spans="1:10" x14ac:dyDescent="0.25">
      <c r="A799" t="str">
        <f>'Data Cleaning'!A799</f>
        <v>S792</v>
      </c>
      <c r="B799" s="113">
        <f>'Data Cleaning'!B799</f>
        <v>45790</v>
      </c>
      <c r="C799" t="str">
        <f>'Data Cleaning'!C799</f>
        <v>Reebok</v>
      </c>
      <c r="D799" t="str">
        <f>'Data Cleaning'!D799</f>
        <v>Formal</v>
      </c>
      <c r="E799" t="str">
        <f>'Data Cleaning'!E799</f>
        <v>Green</v>
      </c>
      <c r="F799" t="str">
        <f>'Data Cleaning'!F799</f>
        <v>Germany</v>
      </c>
      <c r="G799" t="str">
        <f>'Data Cleaning'!G799</f>
        <v>Retail Store</v>
      </c>
      <c r="H799" s="2">
        <f>'Data Cleaning'!H799</f>
        <v>158.97</v>
      </c>
      <c r="I799">
        <f>'Data Cleaning'!I799</f>
        <v>14</v>
      </c>
      <c r="J799" s="2">
        <f>'Data Cleaning'!J799</f>
        <v>2225.58</v>
      </c>
    </row>
    <row r="800" spans="1:10" x14ac:dyDescent="0.25">
      <c r="A800" t="str">
        <f>'Data Cleaning'!A800</f>
        <v>S793</v>
      </c>
      <c r="B800" s="113">
        <f>'Data Cleaning'!B800</f>
        <v>45819</v>
      </c>
      <c r="C800" t="str">
        <f>'Data Cleaning'!C800</f>
        <v>Reebok</v>
      </c>
      <c r="D800" t="str">
        <f>'Data Cleaning'!D800</f>
        <v>Boots</v>
      </c>
      <c r="E800" t="str">
        <f>'Data Cleaning'!E800</f>
        <v>Black</v>
      </c>
      <c r="F800" t="str">
        <f>'Data Cleaning'!F800</f>
        <v>India</v>
      </c>
      <c r="G800" t="str">
        <f>'Data Cleaning'!G800</f>
        <v>Online</v>
      </c>
      <c r="H800" s="2">
        <f>'Data Cleaning'!H800</f>
        <v>141.30000000000001</v>
      </c>
      <c r="I800">
        <f>'Data Cleaning'!I800</f>
        <v>1</v>
      </c>
      <c r="J800" s="2">
        <f>'Data Cleaning'!J800</f>
        <v>141.30000000000001</v>
      </c>
    </row>
    <row r="801" spans="1:10" x14ac:dyDescent="0.25">
      <c r="A801" t="str">
        <f>'Data Cleaning'!A801</f>
        <v>S794</v>
      </c>
      <c r="B801" s="113">
        <f>'Data Cleaning'!B801</f>
        <v>45986</v>
      </c>
      <c r="C801" t="str">
        <f>'Data Cleaning'!C801</f>
        <v>Nike</v>
      </c>
      <c r="D801" t="str">
        <f>'Data Cleaning'!D801</f>
        <v>Boots</v>
      </c>
      <c r="E801" t="str">
        <f>'Data Cleaning'!E801</f>
        <v>Grey</v>
      </c>
      <c r="F801" t="str">
        <f>'Data Cleaning'!F801</f>
        <v>USA</v>
      </c>
      <c r="G801" t="str">
        <f>'Data Cleaning'!G801</f>
        <v>Mall</v>
      </c>
      <c r="H801" s="2">
        <f>'Data Cleaning'!H801</f>
        <v>164.52</v>
      </c>
      <c r="I801">
        <f>'Data Cleaning'!I801</f>
        <v>20</v>
      </c>
      <c r="J801" s="2">
        <f>'Data Cleaning'!J801</f>
        <v>3290.4</v>
      </c>
    </row>
    <row r="802" spans="1:10" x14ac:dyDescent="0.25">
      <c r="A802" t="str">
        <f>'Data Cleaning'!A802</f>
        <v>S795</v>
      </c>
      <c r="B802" s="113">
        <f>'Data Cleaning'!B802</f>
        <v>45695</v>
      </c>
      <c r="C802" t="str">
        <f>'Data Cleaning'!C802</f>
        <v>New Balance</v>
      </c>
      <c r="D802" t="str">
        <f>'Data Cleaning'!D802</f>
        <v>Running</v>
      </c>
      <c r="E802" t="str">
        <f>'Data Cleaning'!E802</f>
        <v>Blue</v>
      </c>
      <c r="F802" t="str">
        <f>'Data Cleaning'!F802</f>
        <v>Saudi Arabia</v>
      </c>
      <c r="G802" t="str">
        <f>'Data Cleaning'!G802</f>
        <v>Mall</v>
      </c>
      <c r="H802" s="2">
        <f>'Data Cleaning'!H802</f>
        <v>33.979999999999997</v>
      </c>
      <c r="I802">
        <f>'Data Cleaning'!I802</f>
        <v>12</v>
      </c>
      <c r="J802" s="2">
        <f>'Data Cleaning'!J802</f>
        <v>407.76</v>
      </c>
    </row>
    <row r="803" spans="1:10" x14ac:dyDescent="0.25">
      <c r="A803" t="str">
        <f>'Data Cleaning'!A803</f>
        <v>S796</v>
      </c>
      <c r="B803" s="113">
        <f>'Data Cleaning'!B803</f>
        <v>45812</v>
      </c>
      <c r="C803" t="str">
        <f>'Data Cleaning'!C803</f>
        <v>Nike</v>
      </c>
      <c r="D803" t="str">
        <f>'Data Cleaning'!D803</f>
        <v>Sports</v>
      </c>
      <c r="E803" t="str">
        <f>'Data Cleaning'!E803</f>
        <v>Red</v>
      </c>
      <c r="F803" t="str">
        <f>'Data Cleaning'!F803</f>
        <v>Germany</v>
      </c>
      <c r="G803" t="str">
        <f>'Data Cleaning'!G803</f>
        <v>Retail Store</v>
      </c>
      <c r="H803" s="2">
        <f>'Data Cleaning'!H803</f>
        <v>221.87</v>
      </c>
      <c r="I803">
        <f>'Data Cleaning'!I803</f>
        <v>20</v>
      </c>
      <c r="J803" s="2">
        <f>'Data Cleaning'!J803</f>
        <v>4437.3999999999996</v>
      </c>
    </row>
    <row r="804" spans="1:10" x14ac:dyDescent="0.25">
      <c r="A804" t="str">
        <f>'Data Cleaning'!A804</f>
        <v>S797</v>
      </c>
      <c r="B804" s="113">
        <f>'Data Cleaning'!B804</f>
        <v>45996</v>
      </c>
      <c r="C804" t="str">
        <f>'Data Cleaning'!C804</f>
        <v>Reebok</v>
      </c>
      <c r="D804" t="str">
        <f>'Data Cleaning'!D804</f>
        <v>Casual</v>
      </c>
      <c r="E804" t="str">
        <f>'Data Cleaning'!E804</f>
        <v>Grey</v>
      </c>
      <c r="F804" t="str">
        <f>'Data Cleaning'!F804</f>
        <v>UK</v>
      </c>
      <c r="G804" t="str">
        <f>'Data Cleaning'!G804</f>
        <v>Online</v>
      </c>
      <c r="H804" s="2">
        <f>'Data Cleaning'!H804</f>
        <v>235.07</v>
      </c>
      <c r="I804">
        <f>'Data Cleaning'!I804</f>
        <v>1</v>
      </c>
      <c r="J804" s="2">
        <f>'Data Cleaning'!J804</f>
        <v>235.07</v>
      </c>
    </row>
    <row r="805" spans="1:10" x14ac:dyDescent="0.25">
      <c r="A805" t="str">
        <f>'Data Cleaning'!A805</f>
        <v>S798</v>
      </c>
      <c r="B805" s="113">
        <f>'Data Cleaning'!B805</f>
        <v>45858</v>
      </c>
      <c r="C805" t="str">
        <f>'Data Cleaning'!C805</f>
        <v>Puma</v>
      </c>
      <c r="D805" t="str">
        <f>'Data Cleaning'!D805</f>
        <v>Boots</v>
      </c>
      <c r="E805" t="str">
        <f>'Data Cleaning'!E805</f>
        <v>White</v>
      </c>
      <c r="F805" t="str">
        <f>'Data Cleaning'!F805</f>
        <v>France</v>
      </c>
      <c r="G805" t="str">
        <f>'Data Cleaning'!G805</f>
        <v>Mall</v>
      </c>
      <c r="H805" s="2">
        <f>'Data Cleaning'!H805</f>
        <v>154.33000000000001</v>
      </c>
      <c r="I805">
        <f>'Data Cleaning'!I805</f>
        <v>18</v>
      </c>
      <c r="J805" s="2">
        <f>'Data Cleaning'!J805</f>
        <v>2777.94</v>
      </c>
    </row>
    <row r="806" spans="1:10" x14ac:dyDescent="0.25">
      <c r="A806" t="str">
        <f>'Data Cleaning'!A806</f>
        <v>S799</v>
      </c>
      <c r="B806" s="113">
        <f>'Data Cleaning'!B806</f>
        <v>45989</v>
      </c>
      <c r="C806" t="str">
        <f>'Data Cleaning'!C806</f>
        <v>Nike</v>
      </c>
      <c r="D806" t="str">
        <f>'Data Cleaning'!D806</f>
        <v>Sneakers</v>
      </c>
      <c r="E806" t="str">
        <f>'Data Cleaning'!E806</f>
        <v>Grey</v>
      </c>
      <c r="F806" t="str">
        <f>'Data Cleaning'!F806</f>
        <v>UK</v>
      </c>
      <c r="G806" t="str">
        <f>'Data Cleaning'!G806</f>
        <v>Online</v>
      </c>
      <c r="H806" s="2">
        <f>'Data Cleaning'!H806</f>
        <v>183.26</v>
      </c>
      <c r="I806">
        <f>'Data Cleaning'!I806</f>
        <v>12</v>
      </c>
      <c r="J806" s="2">
        <f>'Data Cleaning'!J806</f>
        <v>2199.12</v>
      </c>
    </row>
    <row r="807" spans="1:10" x14ac:dyDescent="0.25">
      <c r="A807" t="str">
        <f>'Data Cleaning'!A807</f>
        <v>S800</v>
      </c>
      <c r="B807" s="113">
        <f>'Data Cleaning'!B807</f>
        <v>45679</v>
      </c>
      <c r="C807" t="str">
        <f>'Data Cleaning'!C807</f>
        <v>New Balance</v>
      </c>
      <c r="D807" t="str">
        <f>'Data Cleaning'!D807</f>
        <v>Sneakers</v>
      </c>
      <c r="E807" t="str">
        <f>'Data Cleaning'!E807</f>
        <v>Red</v>
      </c>
      <c r="F807" t="str">
        <f>'Data Cleaning'!F807</f>
        <v>India</v>
      </c>
      <c r="G807" t="str">
        <f>'Data Cleaning'!G807</f>
        <v>Mall</v>
      </c>
      <c r="H807" s="2">
        <f>'Data Cleaning'!H807</f>
        <v>232.95</v>
      </c>
      <c r="I807">
        <f>'Data Cleaning'!I807</f>
        <v>1</v>
      </c>
      <c r="J807" s="2">
        <f>'Data Cleaning'!J807</f>
        <v>232.95</v>
      </c>
    </row>
    <row r="808" spans="1:10" x14ac:dyDescent="0.25">
      <c r="A808" t="str">
        <f>'Data Cleaning'!A808</f>
        <v>S801</v>
      </c>
      <c r="B808" s="113">
        <f>'Data Cleaning'!B808</f>
        <v>45701</v>
      </c>
      <c r="C808" t="str">
        <f>'Data Cleaning'!C808</f>
        <v>Adidas</v>
      </c>
      <c r="D808" t="str">
        <f>'Data Cleaning'!D808</f>
        <v>Boots</v>
      </c>
      <c r="E808" t="str">
        <f>'Data Cleaning'!E808</f>
        <v>Green</v>
      </c>
      <c r="F808" t="str">
        <f>'Data Cleaning'!F808</f>
        <v>UAE</v>
      </c>
      <c r="G808" t="str">
        <f>'Data Cleaning'!G808</f>
        <v>Retail Store</v>
      </c>
      <c r="H808" s="2">
        <f>'Data Cleaning'!H808</f>
        <v>185.59</v>
      </c>
      <c r="I808">
        <f>'Data Cleaning'!I808</f>
        <v>10</v>
      </c>
      <c r="J808" s="2">
        <f>'Data Cleaning'!J808</f>
        <v>1855.9</v>
      </c>
    </row>
    <row r="809" spans="1:10" x14ac:dyDescent="0.25">
      <c r="A809" t="str">
        <f>'Data Cleaning'!A809</f>
        <v>S802</v>
      </c>
      <c r="B809" s="113">
        <f>'Data Cleaning'!B809</f>
        <v>45766</v>
      </c>
      <c r="C809" t="str">
        <f>'Data Cleaning'!C809</f>
        <v>Skechers</v>
      </c>
      <c r="D809" t="str">
        <f>'Data Cleaning'!D809</f>
        <v>Sneakers</v>
      </c>
      <c r="E809" t="str">
        <f>'Data Cleaning'!E809</f>
        <v>White</v>
      </c>
      <c r="F809" t="str">
        <f>'Data Cleaning'!F809</f>
        <v>UK</v>
      </c>
      <c r="G809" t="str">
        <f>'Data Cleaning'!G809</f>
        <v>Online</v>
      </c>
      <c r="H809" s="2">
        <f>'Data Cleaning'!H809</f>
        <v>63.56</v>
      </c>
      <c r="I809">
        <f>'Data Cleaning'!I809</f>
        <v>14</v>
      </c>
      <c r="J809" s="2">
        <f>'Data Cleaning'!J809</f>
        <v>889.84</v>
      </c>
    </row>
    <row r="810" spans="1:10" x14ac:dyDescent="0.25">
      <c r="A810" t="str">
        <f>'Data Cleaning'!A810</f>
        <v>S803</v>
      </c>
      <c r="B810" s="113">
        <f>'Data Cleaning'!B810</f>
        <v>45771</v>
      </c>
      <c r="C810" t="str">
        <f>'Data Cleaning'!C810</f>
        <v>Puma</v>
      </c>
      <c r="D810" t="str">
        <f>'Data Cleaning'!D810</f>
        <v>Casual</v>
      </c>
      <c r="E810" t="str">
        <f>'Data Cleaning'!E810</f>
        <v>Black</v>
      </c>
      <c r="F810" t="str">
        <f>'Data Cleaning'!F810</f>
        <v>UK</v>
      </c>
      <c r="G810" t="str">
        <f>'Data Cleaning'!G810</f>
        <v>Mall</v>
      </c>
      <c r="H810" s="2">
        <f>'Data Cleaning'!H810</f>
        <v>156.78</v>
      </c>
      <c r="I810">
        <f>'Data Cleaning'!I810</f>
        <v>20</v>
      </c>
      <c r="J810" s="2">
        <f>'Data Cleaning'!J810</f>
        <v>3135.6</v>
      </c>
    </row>
    <row r="811" spans="1:10" x14ac:dyDescent="0.25">
      <c r="A811" t="str">
        <f>'Data Cleaning'!A811</f>
        <v>S804</v>
      </c>
      <c r="B811" s="113">
        <f>'Data Cleaning'!B811</f>
        <v>45948</v>
      </c>
      <c r="C811" t="str">
        <f>'Data Cleaning'!C811</f>
        <v>New Balance</v>
      </c>
      <c r="D811" t="str">
        <f>'Data Cleaning'!D811</f>
        <v>Formal</v>
      </c>
      <c r="E811" t="str">
        <f>'Data Cleaning'!E811</f>
        <v>Green</v>
      </c>
      <c r="F811" t="str">
        <f>'Data Cleaning'!F811</f>
        <v>India</v>
      </c>
      <c r="G811" t="str">
        <f>'Data Cleaning'!G811</f>
        <v>Online</v>
      </c>
      <c r="H811" s="2">
        <f>'Data Cleaning'!H811</f>
        <v>163.47999999999999</v>
      </c>
      <c r="I811">
        <f>'Data Cleaning'!I811</f>
        <v>2</v>
      </c>
      <c r="J811" s="2">
        <f>'Data Cleaning'!J811</f>
        <v>326.95999999999998</v>
      </c>
    </row>
    <row r="812" spans="1:10" x14ac:dyDescent="0.25">
      <c r="A812" t="str">
        <f>'Data Cleaning'!A812</f>
        <v>S805</v>
      </c>
      <c r="B812" s="113">
        <f>'Data Cleaning'!B812</f>
        <v>45806</v>
      </c>
      <c r="C812" t="str">
        <f>'Data Cleaning'!C812</f>
        <v>Puma</v>
      </c>
      <c r="D812" t="str">
        <f>'Data Cleaning'!D812</f>
        <v>Running</v>
      </c>
      <c r="E812" t="str">
        <f>'Data Cleaning'!E812</f>
        <v>White</v>
      </c>
      <c r="F812" t="str">
        <f>'Data Cleaning'!F812</f>
        <v>UAE</v>
      </c>
      <c r="G812" t="str">
        <f>'Data Cleaning'!G812</f>
        <v>Mall</v>
      </c>
      <c r="H812" s="2">
        <f>'Data Cleaning'!H812</f>
        <v>123.31</v>
      </c>
      <c r="I812">
        <f>'Data Cleaning'!I812</f>
        <v>3</v>
      </c>
      <c r="J812" s="2">
        <f>'Data Cleaning'!J812</f>
        <v>369.93</v>
      </c>
    </row>
    <row r="813" spans="1:10" x14ac:dyDescent="0.25">
      <c r="A813" t="str">
        <f>'Data Cleaning'!A813</f>
        <v>S806</v>
      </c>
      <c r="B813" s="113">
        <f>'Data Cleaning'!B813</f>
        <v>45907</v>
      </c>
      <c r="C813" t="str">
        <f>'Data Cleaning'!C813</f>
        <v>Puma</v>
      </c>
      <c r="D813" t="str">
        <f>'Data Cleaning'!D813</f>
        <v>Casual</v>
      </c>
      <c r="E813" t="str">
        <f>'Data Cleaning'!E813</f>
        <v>Green</v>
      </c>
      <c r="F813" t="str">
        <f>'Data Cleaning'!F813</f>
        <v>UAE</v>
      </c>
      <c r="G813" t="str">
        <f>'Data Cleaning'!G813</f>
        <v>Online</v>
      </c>
      <c r="H813" s="2">
        <f>'Data Cleaning'!H813</f>
        <v>192.02</v>
      </c>
      <c r="I813">
        <f>'Data Cleaning'!I813</f>
        <v>11</v>
      </c>
      <c r="J813" s="2">
        <f>'Data Cleaning'!J813</f>
        <v>2112.2199999999998</v>
      </c>
    </row>
    <row r="814" spans="1:10" x14ac:dyDescent="0.25">
      <c r="A814" t="str">
        <f>'Data Cleaning'!A814</f>
        <v>S807</v>
      </c>
      <c r="B814" s="113">
        <f>'Data Cleaning'!B814</f>
        <v>45709</v>
      </c>
      <c r="C814" t="str">
        <f>'Data Cleaning'!C814</f>
        <v>New Balance</v>
      </c>
      <c r="D814" t="str">
        <f>'Data Cleaning'!D814</f>
        <v>Running</v>
      </c>
      <c r="E814" t="str">
        <f>'Data Cleaning'!E814</f>
        <v>White</v>
      </c>
      <c r="F814" t="str">
        <f>'Data Cleaning'!F814</f>
        <v>France</v>
      </c>
      <c r="G814" t="str">
        <f>'Data Cleaning'!G814</f>
        <v>Retail Store</v>
      </c>
      <c r="H814" s="2">
        <f>'Data Cleaning'!H814</f>
        <v>235.56</v>
      </c>
      <c r="I814">
        <f>'Data Cleaning'!I814</f>
        <v>10</v>
      </c>
      <c r="J814" s="2">
        <f>'Data Cleaning'!J814</f>
        <v>2355.6</v>
      </c>
    </row>
    <row r="815" spans="1:10" x14ac:dyDescent="0.25">
      <c r="A815" t="str">
        <f>'Data Cleaning'!A815</f>
        <v>S808</v>
      </c>
      <c r="B815" s="113">
        <f>'Data Cleaning'!B815</f>
        <v>45888</v>
      </c>
      <c r="C815" t="str">
        <f>'Data Cleaning'!C815</f>
        <v>New Balance</v>
      </c>
      <c r="D815" t="str">
        <f>'Data Cleaning'!D815</f>
        <v>Boots</v>
      </c>
      <c r="E815" t="str">
        <f>'Data Cleaning'!E815</f>
        <v>Blue</v>
      </c>
      <c r="F815" t="str">
        <f>'Data Cleaning'!F815</f>
        <v>UAE</v>
      </c>
      <c r="G815" t="str">
        <f>'Data Cleaning'!G815</f>
        <v>Mall</v>
      </c>
      <c r="H815" s="2">
        <f>'Data Cleaning'!H815</f>
        <v>233.63</v>
      </c>
      <c r="I815">
        <f>'Data Cleaning'!I815</f>
        <v>11</v>
      </c>
      <c r="J815" s="2">
        <f>'Data Cleaning'!J815</f>
        <v>2569.9299999999998</v>
      </c>
    </row>
    <row r="816" spans="1:10" x14ac:dyDescent="0.25">
      <c r="A816" t="str">
        <f>'Data Cleaning'!A816</f>
        <v>S809</v>
      </c>
      <c r="B816" s="113">
        <f>'Data Cleaning'!B816</f>
        <v>45736</v>
      </c>
      <c r="C816" t="str">
        <f>'Data Cleaning'!C816</f>
        <v>New Balance</v>
      </c>
      <c r="D816" t="str">
        <f>'Data Cleaning'!D816</f>
        <v>Sports</v>
      </c>
      <c r="E816" t="str">
        <f>'Data Cleaning'!E816</f>
        <v>Blue</v>
      </c>
      <c r="F816" t="str">
        <f>'Data Cleaning'!F816</f>
        <v>Germany</v>
      </c>
      <c r="G816" t="str">
        <f>'Data Cleaning'!G816</f>
        <v>Online</v>
      </c>
      <c r="H816" s="2">
        <f>'Data Cleaning'!H816</f>
        <v>129.18</v>
      </c>
      <c r="I816">
        <f>'Data Cleaning'!I816</f>
        <v>19</v>
      </c>
      <c r="J816" s="2">
        <f>'Data Cleaning'!J816</f>
        <v>2454.42</v>
      </c>
    </row>
    <row r="817" spans="1:10" x14ac:dyDescent="0.25">
      <c r="A817" t="str">
        <f>'Data Cleaning'!A817</f>
        <v>S810</v>
      </c>
      <c r="B817" s="113">
        <f>'Data Cleaning'!B817</f>
        <v>45660</v>
      </c>
      <c r="C817" t="str">
        <f>'Data Cleaning'!C817</f>
        <v>Adidas</v>
      </c>
      <c r="D817" t="str">
        <f>'Data Cleaning'!D817</f>
        <v>Casual</v>
      </c>
      <c r="E817" t="str">
        <f>'Data Cleaning'!E817</f>
        <v>Green</v>
      </c>
      <c r="F817" t="str">
        <f>'Data Cleaning'!F817</f>
        <v>UAE</v>
      </c>
      <c r="G817" t="str">
        <f>'Data Cleaning'!G817</f>
        <v>Mall</v>
      </c>
      <c r="H817" s="2">
        <f>'Data Cleaning'!H817</f>
        <v>54.91</v>
      </c>
      <c r="I817">
        <f>'Data Cleaning'!I817</f>
        <v>11</v>
      </c>
      <c r="J817" s="2">
        <f>'Data Cleaning'!J817</f>
        <v>604.01</v>
      </c>
    </row>
    <row r="818" spans="1:10" x14ac:dyDescent="0.25">
      <c r="A818" t="str">
        <f>'Data Cleaning'!A818</f>
        <v>S811</v>
      </c>
      <c r="B818" s="113">
        <f>'Data Cleaning'!B818</f>
        <v>45881</v>
      </c>
      <c r="C818" t="str">
        <f>'Data Cleaning'!C818</f>
        <v>Puma</v>
      </c>
      <c r="D818" t="str">
        <f>'Data Cleaning'!D818</f>
        <v>Casual</v>
      </c>
      <c r="E818" t="str">
        <f>'Data Cleaning'!E818</f>
        <v>Green</v>
      </c>
      <c r="F818" t="str">
        <f>'Data Cleaning'!F818</f>
        <v>UAE</v>
      </c>
      <c r="G818" t="str">
        <f>'Data Cleaning'!G818</f>
        <v>Retail Store</v>
      </c>
      <c r="H818" s="2">
        <f>'Data Cleaning'!H818</f>
        <v>246.67</v>
      </c>
      <c r="I818">
        <f>'Data Cleaning'!I818</f>
        <v>9</v>
      </c>
      <c r="J818" s="2">
        <f>'Data Cleaning'!J818</f>
        <v>2220.0300000000002</v>
      </c>
    </row>
    <row r="819" spans="1:10" x14ac:dyDescent="0.25">
      <c r="A819" t="str">
        <f>'Data Cleaning'!A819</f>
        <v>S812</v>
      </c>
      <c r="B819" s="113">
        <f>'Data Cleaning'!B819</f>
        <v>45903</v>
      </c>
      <c r="C819" t="str">
        <f>'Data Cleaning'!C819</f>
        <v>Reebok</v>
      </c>
      <c r="D819" t="str">
        <f>'Data Cleaning'!D819</f>
        <v>Sports</v>
      </c>
      <c r="E819" t="str">
        <f>'Data Cleaning'!E819</f>
        <v>Blue</v>
      </c>
      <c r="F819" t="str">
        <f>'Data Cleaning'!F819</f>
        <v>Germany</v>
      </c>
      <c r="G819" t="str">
        <f>'Data Cleaning'!G819</f>
        <v>Mall</v>
      </c>
      <c r="H819" s="2">
        <f>'Data Cleaning'!H819</f>
        <v>214.56</v>
      </c>
      <c r="I819">
        <f>'Data Cleaning'!I819</f>
        <v>15</v>
      </c>
      <c r="J819" s="2">
        <f>'Data Cleaning'!J819</f>
        <v>3218.4</v>
      </c>
    </row>
    <row r="820" spans="1:10" x14ac:dyDescent="0.25">
      <c r="A820" t="str">
        <f>'Data Cleaning'!A820</f>
        <v>S813</v>
      </c>
      <c r="B820" s="113">
        <f>'Data Cleaning'!B820</f>
        <v>45713</v>
      </c>
      <c r="C820" t="str">
        <f>'Data Cleaning'!C820</f>
        <v>Skechers</v>
      </c>
      <c r="D820" t="str">
        <f>'Data Cleaning'!D820</f>
        <v>Sneakers</v>
      </c>
      <c r="E820" t="str">
        <f>'Data Cleaning'!E820</f>
        <v>Black</v>
      </c>
      <c r="F820" t="str">
        <f>'Data Cleaning'!F820</f>
        <v>Saudi Arabia</v>
      </c>
      <c r="G820" t="str">
        <f>'Data Cleaning'!G820</f>
        <v>Retail Store</v>
      </c>
      <c r="H820" s="2">
        <f>'Data Cleaning'!H820</f>
        <v>57.43</v>
      </c>
      <c r="I820">
        <f>'Data Cleaning'!I820</f>
        <v>6</v>
      </c>
      <c r="J820" s="2">
        <f>'Data Cleaning'!J820</f>
        <v>344.58</v>
      </c>
    </row>
    <row r="821" spans="1:10" x14ac:dyDescent="0.25">
      <c r="A821" t="str">
        <f>'Data Cleaning'!A821</f>
        <v>S814</v>
      </c>
      <c r="B821" s="113">
        <f>'Data Cleaning'!B821</f>
        <v>45729</v>
      </c>
      <c r="C821" t="str">
        <f>'Data Cleaning'!C821</f>
        <v>Adidas</v>
      </c>
      <c r="D821" t="str">
        <f>'Data Cleaning'!D821</f>
        <v>Sports</v>
      </c>
      <c r="E821" t="str">
        <f>'Data Cleaning'!E821</f>
        <v>Green</v>
      </c>
      <c r="F821" t="str">
        <f>'Data Cleaning'!F821</f>
        <v>UAE</v>
      </c>
      <c r="G821" t="str">
        <f>'Data Cleaning'!G821</f>
        <v>Online</v>
      </c>
      <c r="H821" s="2">
        <f>'Data Cleaning'!H821</f>
        <v>232.59</v>
      </c>
      <c r="I821">
        <f>'Data Cleaning'!I821</f>
        <v>18</v>
      </c>
      <c r="J821" s="2">
        <f>'Data Cleaning'!J821</f>
        <v>4186.62</v>
      </c>
    </row>
    <row r="822" spans="1:10" x14ac:dyDescent="0.25">
      <c r="A822" t="str">
        <f>'Data Cleaning'!A822</f>
        <v>S815</v>
      </c>
      <c r="B822" s="113">
        <f>'Data Cleaning'!B822</f>
        <v>45696</v>
      </c>
      <c r="C822" t="str">
        <f>'Data Cleaning'!C822</f>
        <v>New Balance</v>
      </c>
      <c r="D822" t="str">
        <f>'Data Cleaning'!D822</f>
        <v>Boots</v>
      </c>
      <c r="E822" t="str">
        <f>'Data Cleaning'!E822</f>
        <v>Black</v>
      </c>
      <c r="F822" t="str">
        <f>'Data Cleaning'!F822</f>
        <v>Saudi Arabia</v>
      </c>
      <c r="G822" t="str">
        <f>'Data Cleaning'!G822</f>
        <v>Mall</v>
      </c>
      <c r="H822" s="2">
        <f>'Data Cleaning'!H822</f>
        <v>221.38</v>
      </c>
      <c r="I822">
        <f>'Data Cleaning'!I822</f>
        <v>1</v>
      </c>
      <c r="J822" s="2">
        <f>'Data Cleaning'!J822</f>
        <v>221.38</v>
      </c>
    </row>
    <row r="823" spans="1:10" x14ac:dyDescent="0.25">
      <c r="A823" t="str">
        <f>'Data Cleaning'!A823</f>
        <v>S816</v>
      </c>
      <c r="B823" s="113">
        <f>'Data Cleaning'!B823</f>
        <v>45954</v>
      </c>
      <c r="C823" t="str">
        <f>'Data Cleaning'!C823</f>
        <v>New Balance</v>
      </c>
      <c r="D823" t="str">
        <f>'Data Cleaning'!D823</f>
        <v>Casual</v>
      </c>
      <c r="E823" t="str">
        <f>'Data Cleaning'!E823</f>
        <v>Black</v>
      </c>
      <c r="F823" t="str">
        <f>'Data Cleaning'!F823</f>
        <v>India</v>
      </c>
      <c r="G823" t="str">
        <f>'Data Cleaning'!G823</f>
        <v>Retail Store</v>
      </c>
      <c r="H823" s="2">
        <f>'Data Cleaning'!H823</f>
        <v>144.13999999999999</v>
      </c>
      <c r="I823">
        <f>'Data Cleaning'!I823</f>
        <v>13</v>
      </c>
      <c r="J823" s="2">
        <f>'Data Cleaning'!J823</f>
        <v>1873.82</v>
      </c>
    </row>
    <row r="824" spans="1:10" x14ac:dyDescent="0.25">
      <c r="A824" t="str">
        <f>'Data Cleaning'!A824</f>
        <v>S817</v>
      </c>
      <c r="B824" s="113">
        <f>'Data Cleaning'!B824</f>
        <v>45936</v>
      </c>
      <c r="C824" t="str">
        <f>'Data Cleaning'!C824</f>
        <v>Reebok</v>
      </c>
      <c r="D824" t="str">
        <f>'Data Cleaning'!D824</f>
        <v>Boots</v>
      </c>
      <c r="E824" t="str">
        <f>'Data Cleaning'!E824</f>
        <v>White</v>
      </c>
      <c r="F824" t="str">
        <f>'Data Cleaning'!F824</f>
        <v>France</v>
      </c>
      <c r="G824" t="str">
        <f>'Data Cleaning'!G824</f>
        <v>Retail Store</v>
      </c>
      <c r="H824" s="2">
        <f>'Data Cleaning'!H824</f>
        <v>160.08000000000001</v>
      </c>
      <c r="I824">
        <f>'Data Cleaning'!I824</f>
        <v>18</v>
      </c>
      <c r="J824" s="2">
        <f>'Data Cleaning'!J824</f>
        <v>2881.44</v>
      </c>
    </row>
    <row r="825" spans="1:10" x14ac:dyDescent="0.25">
      <c r="A825" t="str">
        <f>'Data Cleaning'!A825</f>
        <v>S818</v>
      </c>
      <c r="B825" s="113">
        <f>'Data Cleaning'!B825</f>
        <v>45772</v>
      </c>
      <c r="C825" t="str">
        <f>'Data Cleaning'!C825</f>
        <v>Skechers</v>
      </c>
      <c r="D825" t="str">
        <f>'Data Cleaning'!D825</f>
        <v>Sports</v>
      </c>
      <c r="E825" t="str">
        <f>'Data Cleaning'!E825</f>
        <v>White</v>
      </c>
      <c r="F825" t="str">
        <f>'Data Cleaning'!F825</f>
        <v>Germany</v>
      </c>
      <c r="G825" t="str">
        <f>'Data Cleaning'!G825</f>
        <v>Mall</v>
      </c>
      <c r="H825" s="2">
        <f>'Data Cleaning'!H825</f>
        <v>117.78</v>
      </c>
      <c r="I825">
        <f>'Data Cleaning'!I825</f>
        <v>19</v>
      </c>
      <c r="J825" s="2">
        <f>'Data Cleaning'!J825</f>
        <v>2237.8200000000002</v>
      </c>
    </row>
    <row r="826" spans="1:10" x14ac:dyDescent="0.25">
      <c r="A826" t="str">
        <f>'Data Cleaning'!A826</f>
        <v>S819</v>
      </c>
      <c r="B826" s="113">
        <f>'Data Cleaning'!B826</f>
        <v>45919</v>
      </c>
      <c r="C826" t="str">
        <f>'Data Cleaning'!C826</f>
        <v>Reebok</v>
      </c>
      <c r="D826" t="str">
        <f>'Data Cleaning'!D826</f>
        <v>Sports</v>
      </c>
      <c r="E826" t="str">
        <f>'Data Cleaning'!E826</f>
        <v>Grey</v>
      </c>
      <c r="F826" t="str">
        <f>'Data Cleaning'!F826</f>
        <v>USA</v>
      </c>
      <c r="G826" t="str">
        <f>'Data Cleaning'!G826</f>
        <v>Mall</v>
      </c>
      <c r="H826" s="2">
        <f>'Data Cleaning'!H826</f>
        <v>42.05</v>
      </c>
      <c r="I826">
        <f>'Data Cleaning'!I826</f>
        <v>3</v>
      </c>
      <c r="J826" s="2">
        <f>'Data Cleaning'!J826</f>
        <v>126.15</v>
      </c>
    </row>
    <row r="827" spans="1:10" x14ac:dyDescent="0.25">
      <c r="A827" t="str">
        <f>'Data Cleaning'!A827</f>
        <v>S820</v>
      </c>
      <c r="B827" s="113">
        <f>'Data Cleaning'!B827</f>
        <v>45780</v>
      </c>
      <c r="C827" t="str">
        <f>'Data Cleaning'!C827</f>
        <v>Skechers</v>
      </c>
      <c r="D827" t="str">
        <f>'Data Cleaning'!D827</f>
        <v>Casual</v>
      </c>
      <c r="E827" t="str">
        <f>'Data Cleaning'!E827</f>
        <v>Grey</v>
      </c>
      <c r="F827" t="str">
        <f>'Data Cleaning'!F827</f>
        <v>UK</v>
      </c>
      <c r="G827" t="str">
        <f>'Data Cleaning'!G827</f>
        <v>Retail Store</v>
      </c>
      <c r="H827" s="2">
        <f>'Data Cleaning'!H827</f>
        <v>103.74</v>
      </c>
      <c r="I827">
        <f>'Data Cleaning'!I827</f>
        <v>20</v>
      </c>
      <c r="J827" s="2">
        <f>'Data Cleaning'!J827</f>
        <v>2074.8000000000002</v>
      </c>
    </row>
    <row r="828" spans="1:10" x14ac:dyDescent="0.25">
      <c r="A828" t="str">
        <f>'Data Cleaning'!A828</f>
        <v>S821</v>
      </c>
      <c r="B828" s="113">
        <f>'Data Cleaning'!B828</f>
        <v>45739</v>
      </c>
      <c r="C828" t="str">
        <f>'Data Cleaning'!C828</f>
        <v>New Balance</v>
      </c>
      <c r="D828" t="str">
        <f>'Data Cleaning'!D828</f>
        <v>Sneakers</v>
      </c>
      <c r="E828" t="str">
        <f>'Data Cleaning'!E828</f>
        <v>Green</v>
      </c>
      <c r="F828" t="str">
        <f>'Data Cleaning'!F828</f>
        <v>Saudi Arabia</v>
      </c>
      <c r="G828" t="str">
        <f>'Data Cleaning'!G828</f>
        <v>Online</v>
      </c>
      <c r="H828" s="2">
        <f>'Data Cleaning'!H828</f>
        <v>206.63</v>
      </c>
      <c r="I828">
        <f>'Data Cleaning'!I828</f>
        <v>6</v>
      </c>
      <c r="J828" s="2">
        <f>'Data Cleaning'!J828</f>
        <v>1239.78</v>
      </c>
    </row>
    <row r="829" spans="1:10" x14ac:dyDescent="0.25">
      <c r="A829" t="str">
        <f>'Data Cleaning'!A829</f>
        <v>S822</v>
      </c>
      <c r="B829" s="113">
        <f>'Data Cleaning'!B829</f>
        <v>45905</v>
      </c>
      <c r="C829" t="str">
        <f>'Data Cleaning'!C829</f>
        <v>Nike</v>
      </c>
      <c r="D829" t="str">
        <f>'Data Cleaning'!D829</f>
        <v>Casual</v>
      </c>
      <c r="E829" t="str">
        <f>'Data Cleaning'!E829</f>
        <v>Red</v>
      </c>
      <c r="F829" t="str">
        <f>'Data Cleaning'!F829</f>
        <v>UK</v>
      </c>
      <c r="G829" t="str">
        <f>'Data Cleaning'!G829</f>
        <v>Online</v>
      </c>
      <c r="H829" s="2">
        <f>'Data Cleaning'!H829</f>
        <v>31.02</v>
      </c>
      <c r="I829">
        <f>'Data Cleaning'!I829</f>
        <v>12</v>
      </c>
      <c r="J829" s="2">
        <f>'Data Cleaning'!J829</f>
        <v>372.24</v>
      </c>
    </row>
    <row r="830" spans="1:10" x14ac:dyDescent="0.25">
      <c r="A830" t="str">
        <f>'Data Cleaning'!A830</f>
        <v>S823</v>
      </c>
      <c r="B830" s="113">
        <f>'Data Cleaning'!B830</f>
        <v>45793</v>
      </c>
      <c r="C830" t="str">
        <f>'Data Cleaning'!C830</f>
        <v>Adidas</v>
      </c>
      <c r="D830" t="str">
        <f>'Data Cleaning'!D830</f>
        <v>Running</v>
      </c>
      <c r="E830" t="str">
        <f>'Data Cleaning'!E830</f>
        <v>Green</v>
      </c>
      <c r="F830" t="str">
        <f>'Data Cleaning'!F830</f>
        <v>UK</v>
      </c>
      <c r="G830" t="str">
        <f>'Data Cleaning'!G830</f>
        <v>Mall</v>
      </c>
      <c r="H830" s="2">
        <f>'Data Cleaning'!H830</f>
        <v>103.37</v>
      </c>
      <c r="I830">
        <f>'Data Cleaning'!I830</f>
        <v>12</v>
      </c>
      <c r="J830" s="2">
        <f>'Data Cleaning'!J830</f>
        <v>1240.44</v>
      </c>
    </row>
    <row r="831" spans="1:10" x14ac:dyDescent="0.25">
      <c r="A831" t="str">
        <f>'Data Cleaning'!A831</f>
        <v>S824</v>
      </c>
      <c r="B831" s="113">
        <f>'Data Cleaning'!B831</f>
        <v>45842</v>
      </c>
      <c r="C831" t="str">
        <f>'Data Cleaning'!C831</f>
        <v>Reebok</v>
      </c>
      <c r="D831" t="str">
        <f>'Data Cleaning'!D831</f>
        <v>Formal</v>
      </c>
      <c r="E831" t="str">
        <f>'Data Cleaning'!E831</f>
        <v>Black</v>
      </c>
      <c r="F831" t="str">
        <f>'Data Cleaning'!F831</f>
        <v>USA</v>
      </c>
      <c r="G831" t="str">
        <f>'Data Cleaning'!G831</f>
        <v>Mall</v>
      </c>
      <c r="H831" s="2">
        <f>'Data Cleaning'!H831</f>
        <v>117.6</v>
      </c>
      <c r="I831">
        <f>'Data Cleaning'!I831</f>
        <v>13</v>
      </c>
      <c r="J831" s="2">
        <f>'Data Cleaning'!J831</f>
        <v>1528.8</v>
      </c>
    </row>
    <row r="832" spans="1:10" x14ac:dyDescent="0.25">
      <c r="A832" t="str">
        <f>'Data Cleaning'!A832</f>
        <v>S825</v>
      </c>
      <c r="B832" s="113">
        <f>'Data Cleaning'!B832</f>
        <v>45823</v>
      </c>
      <c r="C832" t="str">
        <f>'Data Cleaning'!C832</f>
        <v>Skechers</v>
      </c>
      <c r="D832" t="str">
        <f>'Data Cleaning'!D832</f>
        <v>Sneakers</v>
      </c>
      <c r="E832" t="str">
        <f>'Data Cleaning'!E832</f>
        <v>Green</v>
      </c>
      <c r="F832" t="str">
        <f>'Data Cleaning'!F832</f>
        <v>Saudi Arabia</v>
      </c>
      <c r="G832" t="str">
        <f>'Data Cleaning'!G832</f>
        <v>Retail Store</v>
      </c>
      <c r="H832" s="2">
        <f>'Data Cleaning'!H832</f>
        <v>148.22999999999999</v>
      </c>
      <c r="I832">
        <f>'Data Cleaning'!I832</f>
        <v>4</v>
      </c>
      <c r="J832" s="2">
        <f>'Data Cleaning'!J832</f>
        <v>592.91999999999996</v>
      </c>
    </row>
    <row r="833" spans="1:10" x14ac:dyDescent="0.25">
      <c r="A833" t="str">
        <f>'Data Cleaning'!A833</f>
        <v>S826</v>
      </c>
      <c r="B833" s="113">
        <f>'Data Cleaning'!B833</f>
        <v>45792</v>
      </c>
      <c r="C833" t="str">
        <f>'Data Cleaning'!C833</f>
        <v>New Balance</v>
      </c>
      <c r="D833" t="str">
        <f>'Data Cleaning'!D833</f>
        <v>Sneakers</v>
      </c>
      <c r="E833" t="str">
        <f>'Data Cleaning'!E833</f>
        <v>White</v>
      </c>
      <c r="F833" t="str">
        <f>'Data Cleaning'!F833</f>
        <v>Germany</v>
      </c>
      <c r="G833" t="str">
        <f>'Data Cleaning'!G833</f>
        <v>Mall</v>
      </c>
      <c r="H833" s="2">
        <f>'Data Cleaning'!H833</f>
        <v>232.37</v>
      </c>
      <c r="I833">
        <f>'Data Cleaning'!I833</f>
        <v>19</v>
      </c>
      <c r="J833" s="2">
        <f>'Data Cleaning'!J833</f>
        <v>4415.03</v>
      </c>
    </row>
    <row r="834" spans="1:10" x14ac:dyDescent="0.25">
      <c r="A834" t="str">
        <f>'Data Cleaning'!A834</f>
        <v>S827</v>
      </c>
      <c r="B834" s="113">
        <f>'Data Cleaning'!B834</f>
        <v>45851</v>
      </c>
      <c r="C834" t="str">
        <f>'Data Cleaning'!C834</f>
        <v>New Balance</v>
      </c>
      <c r="D834" t="str">
        <f>'Data Cleaning'!D834</f>
        <v>Boots</v>
      </c>
      <c r="E834" t="str">
        <f>'Data Cleaning'!E834</f>
        <v>Black</v>
      </c>
      <c r="F834" t="str">
        <f>'Data Cleaning'!F834</f>
        <v>India</v>
      </c>
      <c r="G834" t="str">
        <f>'Data Cleaning'!G834</f>
        <v>Retail Store</v>
      </c>
      <c r="H834" s="2">
        <f>'Data Cleaning'!H834</f>
        <v>106.2</v>
      </c>
      <c r="I834">
        <f>'Data Cleaning'!I834</f>
        <v>12</v>
      </c>
      <c r="J834" s="2">
        <f>'Data Cleaning'!J834</f>
        <v>1274.4000000000001</v>
      </c>
    </row>
    <row r="835" spans="1:10" x14ac:dyDescent="0.25">
      <c r="A835" t="str">
        <f>'Data Cleaning'!A835</f>
        <v>S828</v>
      </c>
      <c r="B835" s="113">
        <f>'Data Cleaning'!B835</f>
        <v>45850</v>
      </c>
      <c r="C835" t="str">
        <f>'Data Cleaning'!C835</f>
        <v>New Balance</v>
      </c>
      <c r="D835" t="str">
        <f>'Data Cleaning'!D835</f>
        <v>Formal</v>
      </c>
      <c r="E835" t="str">
        <f>'Data Cleaning'!E835</f>
        <v>Blue</v>
      </c>
      <c r="F835" t="str">
        <f>'Data Cleaning'!F835</f>
        <v>Saudi Arabia</v>
      </c>
      <c r="G835" t="str">
        <f>'Data Cleaning'!G835</f>
        <v>Retail Store</v>
      </c>
      <c r="H835" s="2">
        <f>'Data Cleaning'!H835</f>
        <v>106.33</v>
      </c>
      <c r="I835">
        <f>'Data Cleaning'!I835</f>
        <v>8</v>
      </c>
      <c r="J835" s="2">
        <f>'Data Cleaning'!J835</f>
        <v>850.64</v>
      </c>
    </row>
    <row r="836" spans="1:10" x14ac:dyDescent="0.25">
      <c r="A836" t="str">
        <f>'Data Cleaning'!A836</f>
        <v>S829</v>
      </c>
      <c r="B836" s="113">
        <f>'Data Cleaning'!B836</f>
        <v>45907</v>
      </c>
      <c r="C836" t="str">
        <f>'Data Cleaning'!C836</f>
        <v>New Balance</v>
      </c>
      <c r="D836" t="str">
        <f>'Data Cleaning'!D836</f>
        <v>Running</v>
      </c>
      <c r="E836" t="str">
        <f>'Data Cleaning'!E836</f>
        <v>Grey</v>
      </c>
      <c r="F836" t="str">
        <f>'Data Cleaning'!F836</f>
        <v>UK</v>
      </c>
      <c r="G836" t="str">
        <f>'Data Cleaning'!G836</f>
        <v>Retail Store</v>
      </c>
      <c r="H836" s="2">
        <f>'Data Cleaning'!H836</f>
        <v>192.25</v>
      </c>
      <c r="I836">
        <f>'Data Cleaning'!I836</f>
        <v>16</v>
      </c>
      <c r="J836" s="2">
        <f>'Data Cleaning'!J836</f>
        <v>3076</v>
      </c>
    </row>
    <row r="837" spans="1:10" x14ac:dyDescent="0.25">
      <c r="A837" t="str">
        <f>'Data Cleaning'!A837</f>
        <v>S830</v>
      </c>
      <c r="B837" s="113">
        <f>'Data Cleaning'!B837</f>
        <v>45742</v>
      </c>
      <c r="C837" t="str">
        <f>'Data Cleaning'!C837</f>
        <v>Nike</v>
      </c>
      <c r="D837" t="str">
        <f>'Data Cleaning'!D837</f>
        <v>Sneakers</v>
      </c>
      <c r="E837" t="str">
        <f>'Data Cleaning'!E837</f>
        <v>Green</v>
      </c>
      <c r="F837" t="str">
        <f>'Data Cleaning'!F837</f>
        <v>France</v>
      </c>
      <c r="G837" t="str">
        <f>'Data Cleaning'!G837</f>
        <v>Online</v>
      </c>
      <c r="H837" s="2">
        <f>'Data Cleaning'!H837</f>
        <v>129.49</v>
      </c>
      <c r="I837">
        <f>'Data Cleaning'!I837</f>
        <v>8</v>
      </c>
      <c r="J837" s="2">
        <f>'Data Cleaning'!J837</f>
        <v>1035.92</v>
      </c>
    </row>
    <row r="838" spans="1:10" x14ac:dyDescent="0.25">
      <c r="A838" t="str">
        <f>'Data Cleaning'!A838</f>
        <v>S831</v>
      </c>
      <c r="B838" s="113">
        <f>'Data Cleaning'!B838</f>
        <v>45734</v>
      </c>
      <c r="C838" t="str">
        <f>'Data Cleaning'!C838</f>
        <v>Adidas</v>
      </c>
      <c r="D838" t="str">
        <f>'Data Cleaning'!D838</f>
        <v>Sports</v>
      </c>
      <c r="E838" t="str">
        <f>'Data Cleaning'!E838</f>
        <v>Grey</v>
      </c>
      <c r="F838" t="str">
        <f>'Data Cleaning'!F838</f>
        <v>UAE</v>
      </c>
      <c r="G838" t="str">
        <f>'Data Cleaning'!G838</f>
        <v>Online</v>
      </c>
      <c r="H838" s="2">
        <f>'Data Cleaning'!H838</f>
        <v>79.41</v>
      </c>
      <c r="I838">
        <f>'Data Cleaning'!I838</f>
        <v>6</v>
      </c>
      <c r="J838" s="2">
        <f>'Data Cleaning'!J838</f>
        <v>476.46</v>
      </c>
    </row>
    <row r="839" spans="1:10" x14ac:dyDescent="0.25">
      <c r="A839" t="str">
        <f>'Data Cleaning'!A839</f>
        <v>S832</v>
      </c>
      <c r="B839" s="113">
        <f>'Data Cleaning'!B839</f>
        <v>45996</v>
      </c>
      <c r="C839" t="str">
        <f>'Data Cleaning'!C839</f>
        <v>Reebok</v>
      </c>
      <c r="D839" t="str">
        <f>'Data Cleaning'!D839</f>
        <v>Sports</v>
      </c>
      <c r="E839" t="str">
        <f>'Data Cleaning'!E839</f>
        <v>Green</v>
      </c>
      <c r="F839" t="str">
        <f>'Data Cleaning'!F839</f>
        <v>USA</v>
      </c>
      <c r="G839" t="str">
        <f>'Data Cleaning'!G839</f>
        <v>Retail Store</v>
      </c>
      <c r="H839" s="2">
        <f>'Data Cleaning'!H839</f>
        <v>129.54</v>
      </c>
      <c r="I839">
        <f>'Data Cleaning'!I839</f>
        <v>8</v>
      </c>
      <c r="J839" s="2">
        <f>'Data Cleaning'!J839</f>
        <v>1036.32</v>
      </c>
    </row>
    <row r="840" spans="1:10" x14ac:dyDescent="0.25">
      <c r="A840" t="str">
        <f>'Data Cleaning'!A840</f>
        <v>S833</v>
      </c>
      <c r="B840" s="113">
        <f>'Data Cleaning'!B840</f>
        <v>46003</v>
      </c>
      <c r="C840" t="str">
        <f>'Data Cleaning'!C840</f>
        <v>Reebok</v>
      </c>
      <c r="D840" t="str">
        <f>'Data Cleaning'!D840</f>
        <v>Casual</v>
      </c>
      <c r="E840" t="str">
        <f>'Data Cleaning'!E840</f>
        <v>Grey</v>
      </c>
      <c r="F840" t="str">
        <f>'Data Cleaning'!F840</f>
        <v>UK</v>
      </c>
      <c r="G840" t="str">
        <f>'Data Cleaning'!G840</f>
        <v>Mall</v>
      </c>
      <c r="H840" s="2">
        <f>'Data Cleaning'!H840</f>
        <v>60.99</v>
      </c>
      <c r="I840">
        <f>'Data Cleaning'!I840</f>
        <v>16</v>
      </c>
      <c r="J840" s="2">
        <f>'Data Cleaning'!J840</f>
        <v>975.84</v>
      </c>
    </row>
    <row r="841" spans="1:10" x14ac:dyDescent="0.25">
      <c r="A841" t="str">
        <f>'Data Cleaning'!A841</f>
        <v>S834</v>
      </c>
      <c r="B841" s="113">
        <f>'Data Cleaning'!B841</f>
        <v>45868</v>
      </c>
      <c r="C841" t="str">
        <f>'Data Cleaning'!C841</f>
        <v>Adidas</v>
      </c>
      <c r="D841" t="str">
        <f>'Data Cleaning'!D841</f>
        <v>Running</v>
      </c>
      <c r="E841" t="str">
        <f>'Data Cleaning'!E841</f>
        <v>White</v>
      </c>
      <c r="F841" t="str">
        <f>'Data Cleaning'!F841</f>
        <v>India</v>
      </c>
      <c r="G841" t="str">
        <f>'Data Cleaning'!G841</f>
        <v>Mall</v>
      </c>
      <c r="H841" s="2">
        <f>'Data Cleaning'!H841</f>
        <v>68.81</v>
      </c>
      <c r="I841">
        <f>'Data Cleaning'!I841</f>
        <v>1</v>
      </c>
      <c r="J841" s="2">
        <f>'Data Cleaning'!J841</f>
        <v>68.81</v>
      </c>
    </row>
    <row r="842" spans="1:10" x14ac:dyDescent="0.25">
      <c r="A842" t="str">
        <f>'Data Cleaning'!A842</f>
        <v>S835</v>
      </c>
      <c r="B842" s="113">
        <f>'Data Cleaning'!B842</f>
        <v>45740</v>
      </c>
      <c r="C842" t="str">
        <f>'Data Cleaning'!C842</f>
        <v>Skechers</v>
      </c>
      <c r="D842" t="str">
        <f>'Data Cleaning'!D842</f>
        <v>Sneakers</v>
      </c>
      <c r="E842" t="str">
        <f>'Data Cleaning'!E842</f>
        <v>Black</v>
      </c>
      <c r="F842" t="str">
        <f>'Data Cleaning'!F842</f>
        <v>India</v>
      </c>
      <c r="G842" t="str">
        <f>'Data Cleaning'!G842</f>
        <v>Online</v>
      </c>
      <c r="H842" s="2">
        <f>'Data Cleaning'!H842</f>
        <v>139.63999999999999</v>
      </c>
      <c r="I842">
        <f>'Data Cleaning'!I842</f>
        <v>5</v>
      </c>
      <c r="J842" s="2">
        <f>'Data Cleaning'!J842</f>
        <v>698.2</v>
      </c>
    </row>
    <row r="843" spans="1:10" x14ac:dyDescent="0.25">
      <c r="A843" t="str">
        <f>'Data Cleaning'!A843</f>
        <v>S836</v>
      </c>
      <c r="B843" s="113">
        <f>'Data Cleaning'!B843</f>
        <v>45686</v>
      </c>
      <c r="C843" t="str">
        <f>'Data Cleaning'!C843</f>
        <v>Puma</v>
      </c>
      <c r="D843" t="str">
        <f>'Data Cleaning'!D843</f>
        <v>Casual</v>
      </c>
      <c r="E843" t="str">
        <f>'Data Cleaning'!E843</f>
        <v>Grey</v>
      </c>
      <c r="F843" t="str">
        <f>'Data Cleaning'!F843</f>
        <v>Germany</v>
      </c>
      <c r="G843" t="str">
        <f>'Data Cleaning'!G843</f>
        <v>Mall</v>
      </c>
      <c r="H843" s="2">
        <f>'Data Cleaning'!H843</f>
        <v>122.16</v>
      </c>
      <c r="I843">
        <f>'Data Cleaning'!I843</f>
        <v>6</v>
      </c>
      <c r="J843" s="2">
        <f>'Data Cleaning'!J843</f>
        <v>732.96</v>
      </c>
    </row>
    <row r="844" spans="1:10" x14ac:dyDescent="0.25">
      <c r="A844" t="str">
        <f>'Data Cleaning'!A844</f>
        <v>S837</v>
      </c>
      <c r="B844" s="113">
        <f>'Data Cleaning'!B844</f>
        <v>45946</v>
      </c>
      <c r="C844" t="str">
        <f>'Data Cleaning'!C844</f>
        <v>Skechers</v>
      </c>
      <c r="D844" t="str">
        <f>'Data Cleaning'!D844</f>
        <v>Boots</v>
      </c>
      <c r="E844" t="str">
        <f>'Data Cleaning'!E844</f>
        <v>Green</v>
      </c>
      <c r="F844" t="str">
        <f>'Data Cleaning'!F844</f>
        <v>Saudi Arabia</v>
      </c>
      <c r="G844" t="str">
        <f>'Data Cleaning'!G844</f>
        <v>Retail Store</v>
      </c>
      <c r="H844" s="2">
        <f>'Data Cleaning'!H844</f>
        <v>231.27</v>
      </c>
      <c r="I844">
        <f>'Data Cleaning'!I844</f>
        <v>1</v>
      </c>
      <c r="J844" s="2">
        <f>'Data Cleaning'!J844</f>
        <v>231.27</v>
      </c>
    </row>
    <row r="845" spans="1:10" x14ac:dyDescent="0.25">
      <c r="A845" t="str">
        <f>'Data Cleaning'!A845</f>
        <v>S838</v>
      </c>
      <c r="B845" s="113">
        <f>'Data Cleaning'!B845</f>
        <v>45701</v>
      </c>
      <c r="C845" t="str">
        <f>'Data Cleaning'!C845</f>
        <v>Reebok</v>
      </c>
      <c r="D845" t="str">
        <f>'Data Cleaning'!D845</f>
        <v>Sneakers</v>
      </c>
      <c r="E845" t="str">
        <f>'Data Cleaning'!E845</f>
        <v>Red</v>
      </c>
      <c r="F845" t="str">
        <f>'Data Cleaning'!F845</f>
        <v>Saudi Arabia</v>
      </c>
      <c r="G845" t="str">
        <f>'Data Cleaning'!G845</f>
        <v>Retail Store</v>
      </c>
      <c r="H845" s="2">
        <f>'Data Cleaning'!H845</f>
        <v>109.73</v>
      </c>
      <c r="I845">
        <f>'Data Cleaning'!I845</f>
        <v>7</v>
      </c>
      <c r="J845" s="2">
        <f>'Data Cleaning'!J845</f>
        <v>768.11</v>
      </c>
    </row>
    <row r="846" spans="1:10" x14ac:dyDescent="0.25">
      <c r="A846" t="str">
        <f>'Data Cleaning'!A846</f>
        <v>S839</v>
      </c>
      <c r="B846" s="113">
        <f>'Data Cleaning'!B846</f>
        <v>45745</v>
      </c>
      <c r="C846" t="str">
        <f>'Data Cleaning'!C846</f>
        <v>Reebok</v>
      </c>
      <c r="D846" t="str">
        <f>'Data Cleaning'!D846</f>
        <v>Sneakers</v>
      </c>
      <c r="E846" t="str">
        <f>'Data Cleaning'!E846</f>
        <v>White</v>
      </c>
      <c r="F846" t="str">
        <f>'Data Cleaning'!F846</f>
        <v>Saudi Arabia</v>
      </c>
      <c r="G846" t="str">
        <f>'Data Cleaning'!G846</f>
        <v>Mall</v>
      </c>
      <c r="H846" s="2">
        <f>'Data Cleaning'!H846</f>
        <v>157.72999999999999</v>
      </c>
      <c r="I846">
        <f>'Data Cleaning'!I846</f>
        <v>8</v>
      </c>
      <c r="J846" s="2">
        <f>'Data Cleaning'!J846</f>
        <v>1261.8399999999999</v>
      </c>
    </row>
    <row r="847" spans="1:10" x14ac:dyDescent="0.25">
      <c r="A847" t="str">
        <f>'Data Cleaning'!A847</f>
        <v>S840</v>
      </c>
      <c r="B847" s="113">
        <f>'Data Cleaning'!B847</f>
        <v>45751</v>
      </c>
      <c r="C847" t="str">
        <f>'Data Cleaning'!C847</f>
        <v>Skechers</v>
      </c>
      <c r="D847" t="str">
        <f>'Data Cleaning'!D847</f>
        <v>Sneakers</v>
      </c>
      <c r="E847" t="str">
        <f>'Data Cleaning'!E847</f>
        <v>Blue</v>
      </c>
      <c r="F847" t="str">
        <f>'Data Cleaning'!F847</f>
        <v>UK</v>
      </c>
      <c r="G847" t="str">
        <f>'Data Cleaning'!G847</f>
        <v>Mall</v>
      </c>
      <c r="H847" s="2">
        <f>'Data Cleaning'!H847</f>
        <v>169.1</v>
      </c>
      <c r="I847">
        <f>'Data Cleaning'!I847</f>
        <v>20</v>
      </c>
      <c r="J847" s="2">
        <f>'Data Cleaning'!J847</f>
        <v>3382</v>
      </c>
    </row>
    <row r="848" spans="1:10" x14ac:dyDescent="0.25">
      <c r="A848" t="str">
        <f>'Data Cleaning'!A848</f>
        <v>S841</v>
      </c>
      <c r="B848" s="113">
        <f>'Data Cleaning'!B848</f>
        <v>46009</v>
      </c>
      <c r="C848" t="str">
        <f>'Data Cleaning'!C848</f>
        <v>Reebok</v>
      </c>
      <c r="D848" t="str">
        <f>'Data Cleaning'!D848</f>
        <v>Sneakers</v>
      </c>
      <c r="E848" t="str">
        <f>'Data Cleaning'!E848</f>
        <v>Grey</v>
      </c>
      <c r="F848" t="str">
        <f>'Data Cleaning'!F848</f>
        <v>USA</v>
      </c>
      <c r="G848" t="str">
        <f>'Data Cleaning'!G848</f>
        <v>Online</v>
      </c>
      <c r="H848" s="2">
        <f>'Data Cleaning'!H848</f>
        <v>32.880000000000003</v>
      </c>
      <c r="I848">
        <f>'Data Cleaning'!I848</f>
        <v>11</v>
      </c>
      <c r="J848" s="2">
        <f>'Data Cleaning'!J848</f>
        <v>361.68</v>
      </c>
    </row>
    <row r="849" spans="1:10" x14ac:dyDescent="0.25">
      <c r="A849" t="str">
        <f>'Data Cleaning'!A849</f>
        <v>S842</v>
      </c>
      <c r="B849" s="113">
        <f>'Data Cleaning'!B849</f>
        <v>45851</v>
      </c>
      <c r="C849" t="str">
        <f>'Data Cleaning'!C849</f>
        <v>Adidas</v>
      </c>
      <c r="D849" t="str">
        <f>'Data Cleaning'!D849</f>
        <v>Running</v>
      </c>
      <c r="E849" t="str">
        <f>'Data Cleaning'!E849</f>
        <v>Black</v>
      </c>
      <c r="F849" t="str">
        <f>'Data Cleaning'!F849</f>
        <v>UK</v>
      </c>
      <c r="G849" t="str">
        <f>'Data Cleaning'!G849</f>
        <v>Mall</v>
      </c>
      <c r="H849" s="2">
        <f>'Data Cleaning'!H849</f>
        <v>175.98</v>
      </c>
      <c r="I849">
        <f>'Data Cleaning'!I849</f>
        <v>13</v>
      </c>
      <c r="J849" s="2">
        <f>'Data Cleaning'!J849</f>
        <v>2287.7399999999998</v>
      </c>
    </row>
    <row r="850" spans="1:10" x14ac:dyDescent="0.25">
      <c r="A850" t="str">
        <f>'Data Cleaning'!A850</f>
        <v>S843</v>
      </c>
      <c r="B850" s="113">
        <f>'Data Cleaning'!B850</f>
        <v>45916</v>
      </c>
      <c r="C850" t="str">
        <f>'Data Cleaning'!C850</f>
        <v>Adidas</v>
      </c>
      <c r="D850" t="str">
        <f>'Data Cleaning'!D850</f>
        <v>Sneakers</v>
      </c>
      <c r="E850" t="str">
        <f>'Data Cleaning'!E850</f>
        <v>Black</v>
      </c>
      <c r="F850" t="str">
        <f>'Data Cleaning'!F850</f>
        <v>UK</v>
      </c>
      <c r="G850" t="str">
        <f>'Data Cleaning'!G850</f>
        <v>Retail Store</v>
      </c>
      <c r="H850" s="2">
        <f>'Data Cleaning'!H850</f>
        <v>69.17</v>
      </c>
      <c r="I850">
        <f>'Data Cleaning'!I850</f>
        <v>14</v>
      </c>
      <c r="J850" s="2">
        <f>'Data Cleaning'!J850</f>
        <v>968.38</v>
      </c>
    </row>
    <row r="851" spans="1:10" x14ac:dyDescent="0.25">
      <c r="A851" t="str">
        <f>'Data Cleaning'!A851</f>
        <v>S844</v>
      </c>
      <c r="B851" s="113">
        <f>'Data Cleaning'!B851</f>
        <v>45972</v>
      </c>
      <c r="C851" t="str">
        <f>'Data Cleaning'!C851</f>
        <v>Nike</v>
      </c>
      <c r="D851" t="str">
        <f>'Data Cleaning'!D851</f>
        <v>Sneakers</v>
      </c>
      <c r="E851" t="str">
        <f>'Data Cleaning'!E851</f>
        <v>Grey</v>
      </c>
      <c r="F851" t="str">
        <f>'Data Cleaning'!F851</f>
        <v>Saudi Arabia</v>
      </c>
      <c r="G851" t="str">
        <f>'Data Cleaning'!G851</f>
        <v>Online</v>
      </c>
      <c r="H851" s="2">
        <f>'Data Cleaning'!H851</f>
        <v>241.44</v>
      </c>
      <c r="I851">
        <f>'Data Cleaning'!I851</f>
        <v>20</v>
      </c>
      <c r="J851" s="2">
        <f>'Data Cleaning'!J851</f>
        <v>4828.8</v>
      </c>
    </row>
    <row r="852" spans="1:10" x14ac:dyDescent="0.25">
      <c r="A852" t="str">
        <f>'Data Cleaning'!A852</f>
        <v>S845</v>
      </c>
      <c r="B852" s="113">
        <f>'Data Cleaning'!B852</f>
        <v>45705</v>
      </c>
      <c r="C852" t="str">
        <f>'Data Cleaning'!C852</f>
        <v>Skechers</v>
      </c>
      <c r="D852" t="str">
        <f>'Data Cleaning'!D852</f>
        <v>Casual</v>
      </c>
      <c r="E852" t="str">
        <f>'Data Cleaning'!E852</f>
        <v>Grey</v>
      </c>
      <c r="F852" t="str">
        <f>'Data Cleaning'!F852</f>
        <v>India</v>
      </c>
      <c r="G852" t="str">
        <f>'Data Cleaning'!G852</f>
        <v>Online</v>
      </c>
      <c r="H852" s="2">
        <f>'Data Cleaning'!H852</f>
        <v>62.71</v>
      </c>
      <c r="I852">
        <f>'Data Cleaning'!I852</f>
        <v>16</v>
      </c>
      <c r="J852" s="2">
        <f>'Data Cleaning'!J852</f>
        <v>1003.36</v>
      </c>
    </row>
    <row r="853" spans="1:10" x14ac:dyDescent="0.25">
      <c r="A853" t="str">
        <f>'Data Cleaning'!A853</f>
        <v>S846</v>
      </c>
      <c r="B853" s="113">
        <f>'Data Cleaning'!B853</f>
        <v>46005</v>
      </c>
      <c r="C853" t="str">
        <f>'Data Cleaning'!C853</f>
        <v>New Balance</v>
      </c>
      <c r="D853" t="str">
        <f>'Data Cleaning'!D853</f>
        <v>Formal</v>
      </c>
      <c r="E853" t="str">
        <f>'Data Cleaning'!E853</f>
        <v>Blue</v>
      </c>
      <c r="F853" t="str">
        <f>'Data Cleaning'!F853</f>
        <v>Saudi Arabia</v>
      </c>
      <c r="G853" t="str">
        <f>'Data Cleaning'!G853</f>
        <v>Online</v>
      </c>
      <c r="H853" s="2">
        <f>'Data Cleaning'!H853</f>
        <v>121.22</v>
      </c>
      <c r="I853">
        <f>'Data Cleaning'!I853</f>
        <v>14</v>
      </c>
      <c r="J853" s="2">
        <f>'Data Cleaning'!J853</f>
        <v>1697.08</v>
      </c>
    </row>
    <row r="854" spans="1:10" x14ac:dyDescent="0.25">
      <c r="A854" t="str">
        <f>'Data Cleaning'!A854</f>
        <v>S847</v>
      </c>
      <c r="B854" s="113">
        <f>'Data Cleaning'!B854</f>
        <v>46015</v>
      </c>
      <c r="C854" t="str">
        <f>'Data Cleaning'!C854</f>
        <v>Reebok</v>
      </c>
      <c r="D854" t="str">
        <f>'Data Cleaning'!D854</f>
        <v>Casual</v>
      </c>
      <c r="E854" t="str">
        <f>'Data Cleaning'!E854</f>
        <v>Red</v>
      </c>
      <c r="F854" t="str">
        <f>'Data Cleaning'!F854</f>
        <v>Saudi Arabia</v>
      </c>
      <c r="G854" t="str">
        <f>'Data Cleaning'!G854</f>
        <v>Retail Store</v>
      </c>
      <c r="H854" s="2">
        <f>'Data Cleaning'!H854</f>
        <v>48.78</v>
      </c>
      <c r="I854">
        <f>'Data Cleaning'!I854</f>
        <v>17</v>
      </c>
      <c r="J854" s="2">
        <f>'Data Cleaning'!J854</f>
        <v>829.26</v>
      </c>
    </row>
    <row r="855" spans="1:10" x14ac:dyDescent="0.25">
      <c r="A855" t="str">
        <f>'Data Cleaning'!A855</f>
        <v>S848</v>
      </c>
      <c r="B855" s="113">
        <f>'Data Cleaning'!B855</f>
        <v>45837</v>
      </c>
      <c r="C855" t="str">
        <f>'Data Cleaning'!C855</f>
        <v>Skechers</v>
      </c>
      <c r="D855" t="str">
        <f>'Data Cleaning'!D855</f>
        <v>Boots</v>
      </c>
      <c r="E855" t="str">
        <f>'Data Cleaning'!E855</f>
        <v>Grey</v>
      </c>
      <c r="F855" t="str">
        <f>'Data Cleaning'!F855</f>
        <v>USA</v>
      </c>
      <c r="G855" t="str">
        <f>'Data Cleaning'!G855</f>
        <v>Retail Store</v>
      </c>
      <c r="H855" s="2">
        <f>'Data Cleaning'!H855</f>
        <v>249.31</v>
      </c>
      <c r="I855">
        <f>'Data Cleaning'!I855</f>
        <v>19</v>
      </c>
      <c r="J855" s="2">
        <f>'Data Cleaning'!J855</f>
        <v>4736.8900000000003</v>
      </c>
    </row>
    <row r="856" spans="1:10" x14ac:dyDescent="0.25">
      <c r="A856" t="str">
        <f>'Data Cleaning'!A856</f>
        <v>S849</v>
      </c>
      <c r="B856" s="113">
        <f>'Data Cleaning'!B856</f>
        <v>45726</v>
      </c>
      <c r="C856" t="str">
        <f>'Data Cleaning'!C856</f>
        <v>Reebok</v>
      </c>
      <c r="D856" t="str">
        <f>'Data Cleaning'!D856</f>
        <v>Casual</v>
      </c>
      <c r="E856" t="str">
        <f>'Data Cleaning'!E856</f>
        <v>Black</v>
      </c>
      <c r="F856" t="str">
        <f>'Data Cleaning'!F856</f>
        <v>France</v>
      </c>
      <c r="G856" t="str">
        <f>'Data Cleaning'!G856</f>
        <v>Mall</v>
      </c>
      <c r="H856" s="2">
        <f>'Data Cleaning'!H856</f>
        <v>140.47999999999999</v>
      </c>
      <c r="I856">
        <f>'Data Cleaning'!I856</f>
        <v>9</v>
      </c>
      <c r="J856" s="2">
        <f>'Data Cleaning'!J856</f>
        <v>1264.32</v>
      </c>
    </row>
    <row r="857" spans="1:10" x14ac:dyDescent="0.25">
      <c r="A857" t="str">
        <f>'Data Cleaning'!A857</f>
        <v>S850</v>
      </c>
      <c r="B857" s="113">
        <f>'Data Cleaning'!B857</f>
        <v>45936</v>
      </c>
      <c r="C857" t="str">
        <f>'Data Cleaning'!C857</f>
        <v>Puma</v>
      </c>
      <c r="D857" t="str">
        <f>'Data Cleaning'!D857</f>
        <v>Casual</v>
      </c>
      <c r="E857" t="str">
        <f>'Data Cleaning'!E857</f>
        <v>Black</v>
      </c>
      <c r="F857" t="str">
        <f>'Data Cleaning'!F857</f>
        <v>UAE</v>
      </c>
      <c r="G857" t="str">
        <f>'Data Cleaning'!G857</f>
        <v>Mall</v>
      </c>
      <c r="H857" s="2">
        <f>'Data Cleaning'!H857</f>
        <v>160.97999999999999</v>
      </c>
      <c r="I857">
        <f>'Data Cleaning'!I857</f>
        <v>14</v>
      </c>
      <c r="J857" s="2">
        <f>'Data Cleaning'!J857</f>
        <v>2253.7199999999998</v>
      </c>
    </row>
    <row r="858" spans="1:10" x14ac:dyDescent="0.25">
      <c r="A858" t="str">
        <f>'Data Cleaning'!A858</f>
        <v>S851</v>
      </c>
      <c r="B858" s="113">
        <f>'Data Cleaning'!B858</f>
        <v>45661</v>
      </c>
      <c r="C858" t="str">
        <f>'Data Cleaning'!C858</f>
        <v>New Balance</v>
      </c>
      <c r="D858" t="str">
        <f>'Data Cleaning'!D858</f>
        <v>Running</v>
      </c>
      <c r="E858" t="str">
        <f>'Data Cleaning'!E858</f>
        <v>Grey</v>
      </c>
      <c r="F858" t="str">
        <f>'Data Cleaning'!F858</f>
        <v>USA</v>
      </c>
      <c r="G858" t="str">
        <f>'Data Cleaning'!G858</f>
        <v>Retail Store</v>
      </c>
      <c r="H858" s="2">
        <f>'Data Cleaning'!H858</f>
        <v>44.76</v>
      </c>
      <c r="I858">
        <f>'Data Cleaning'!I858</f>
        <v>19</v>
      </c>
      <c r="J858" s="2">
        <f>'Data Cleaning'!J858</f>
        <v>850.44</v>
      </c>
    </row>
    <row r="859" spans="1:10" x14ac:dyDescent="0.25">
      <c r="A859" t="str">
        <f>'Data Cleaning'!A859</f>
        <v>S852</v>
      </c>
      <c r="B859" s="113">
        <f>'Data Cleaning'!B859</f>
        <v>45993</v>
      </c>
      <c r="C859" t="str">
        <f>'Data Cleaning'!C859</f>
        <v>Skechers</v>
      </c>
      <c r="D859" t="str">
        <f>'Data Cleaning'!D859</f>
        <v>Sports</v>
      </c>
      <c r="E859" t="str">
        <f>'Data Cleaning'!E859</f>
        <v>Red</v>
      </c>
      <c r="F859" t="str">
        <f>'Data Cleaning'!F859</f>
        <v>France</v>
      </c>
      <c r="G859" t="str">
        <f>'Data Cleaning'!G859</f>
        <v>Online</v>
      </c>
      <c r="H859" s="2">
        <f>'Data Cleaning'!H859</f>
        <v>194.99</v>
      </c>
      <c r="I859">
        <f>'Data Cleaning'!I859</f>
        <v>7</v>
      </c>
      <c r="J859" s="2">
        <f>'Data Cleaning'!J859</f>
        <v>1364.93</v>
      </c>
    </row>
    <row r="860" spans="1:10" x14ac:dyDescent="0.25">
      <c r="A860" t="str">
        <f>'Data Cleaning'!A860</f>
        <v>S853</v>
      </c>
      <c r="B860" s="113">
        <f>'Data Cleaning'!B860</f>
        <v>45737</v>
      </c>
      <c r="C860" t="str">
        <f>'Data Cleaning'!C860</f>
        <v>Skechers</v>
      </c>
      <c r="D860" t="str">
        <f>'Data Cleaning'!D860</f>
        <v>Sneakers</v>
      </c>
      <c r="E860" t="str">
        <f>'Data Cleaning'!E860</f>
        <v>Blue</v>
      </c>
      <c r="F860" t="str">
        <f>'Data Cleaning'!F860</f>
        <v>France</v>
      </c>
      <c r="G860" t="str">
        <f>'Data Cleaning'!G860</f>
        <v>Mall</v>
      </c>
      <c r="H860" s="2">
        <f>'Data Cleaning'!H860</f>
        <v>76.180000000000007</v>
      </c>
      <c r="I860">
        <f>'Data Cleaning'!I860</f>
        <v>14</v>
      </c>
      <c r="J860" s="2">
        <f>'Data Cleaning'!J860</f>
        <v>1066.52</v>
      </c>
    </row>
    <row r="861" spans="1:10" x14ac:dyDescent="0.25">
      <c r="A861" t="str">
        <f>'Data Cleaning'!A861</f>
        <v>S854</v>
      </c>
      <c r="B861" s="113">
        <f>'Data Cleaning'!B861</f>
        <v>45874</v>
      </c>
      <c r="C861" t="str">
        <f>'Data Cleaning'!C861</f>
        <v>Puma</v>
      </c>
      <c r="D861" t="str">
        <f>'Data Cleaning'!D861</f>
        <v>Sneakers</v>
      </c>
      <c r="E861" t="str">
        <f>'Data Cleaning'!E861</f>
        <v>Blue</v>
      </c>
      <c r="F861" t="str">
        <f>'Data Cleaning'!F861</f>
        <v>UAE</v>
      </c>
      <c r="G861" t="str">
        <f>'Data Cleaning'!G861</f>
        <v>Retail Store</v>
      </c>
      <c r="H861" s="2">
        <f>'Data Cleaning'!H861</f>
        <v>227.57</v>
      </c>
      <c r="I861">
        <f>'Data Cleaning'!I861</f>
        <v>19</v>
      </c>
      <c r="J861" s="2">
        <f>'Data Cleaning'!J861</f>
        <v>4323.83</v>
      </c>
    </row>
    <row r="862" spans="1:10" x14ac:dyDescent="0.25">
      <c r="A862" t="str">
        <f>'Data Cleaning'!A862</f>
        <v>S855</v>
      </c>
      <c r="B862" s="113">
        <f>'Data Cleaning'!B862</f>
        <v>45762</v>
      </c>
      <c r="C862" t="str">
        <f>'Data Cleaning'!C862</f>
        <v>New Balance</v>
      </c>
      <c r="D862" t="str">
        <f>'Data Cleaning'!D862</f>
        <v>Sneakers</v>
      </c>
      <c r="E862" t="str">
        <f>'Data Cleaning'!E862</f>
        <v>Red</v>
      </c>
      <c r="F862" t="str">
        <f>'Data Cleaning'!F862</f>
        <v>UK</v>
      </c>
      <c r="G862" t="str">
        <f>'Data Cleaning'!G862</f>
        <v>Retail Store</v>
      </c>
      <c r="H862" s="2">
        <f>'Data Cleaning'!H862</f>
        <v>75.13</v>
      </c>
      <c r="I862">
        <f>'Data Cleaning'!I862</f>
        <v>14</v>
      </c>
      <c r="J862" s="2">
        <f>'Data Cleaning'!J862</f>
        <v>1051.82</v>
      </c>
    </row>
    <row r="863" spans="1:10" x14ac:dyDescent="0.25">
      <c r="A863" t="str">
        <f>'Data Cleaning'!A863</f>
        <v>S856</v>
      </c>
      <c r="B863" s="113">
        <f>'Data Cleaning'!B863</f>
        <v>45944</v>
      </c>
      <c r="C863" t="str">
        <f>'Data Cleaning'!C863</f>
        <v>Reebok</v>
      </c>
      <c r="D863" t="str">
        <f>'Data Cleaning'!D863</f>
        <v>Sports</v>
      </c>
      <c r="E863" t="str">
        <f>'Data Cleaning'!E863</f>
        <v>Blue</v>
      </c>
      <c r="F863" t="str">
        <f>'Data Cleaning'!F863</f>
        <v>India</v>
      </c>
      <c r="G863" t="str">
        <f>'Data Cleaning'!G863</f>
        <v>Retail Store</v>
      </c>
      <c r="H863" s="2">
        <f>'Data Cleaning'!H863</f>
        <v>71.95</v>
      </c>
      <c r="I863">
        <f>'Data Cleaning'!I863</f>
        <v>18</v>
      </c>
      <c r="J863" s="2">
        <f>'Data Cleaning'!J863</f>
        <v>1295.0999999999999</v>
      </c>
    </row>
    <row r="864" spans="1:10" x14ac:dyDescent="0.25">
      <c r="A864" t="str">
        <f>'Data Cleaning'!A864</f>
        <v>S857</v>
      </c>
      <c r="B864" s="113">
        <f>'Data Cleaning'!B864</f>
        <v>46019</v>
      </c>
      <c r="C864" t="str">
        <f>'Data Cleaning'!C864</f>
        <v>Skechers</v>
      </c>
      <c r="D864" t="str">
        <f>'Data Cleaning'!D864</f>
        <v>Casual</v>
      </c>
      <c r="E864" t="str">
        <f>'Data Cleaning'!E864</f>
        <v>Green</v>
      </c>
      <c r="F864" t="str">
        <f>'Data Cleaning'!F864</f>
        <v>USA</v>
      </c>
      <c r="G864" t="str">
        <f>'Data Cleaning'!G864</f>
        <v>Mall</v>
      </c>
      <c r="H864" s="2">
        <f>'Data Cleaning'!H864</f>
        <v>38.04</v>
      </c>
      <c r="I864">
        <f>'Data Cleaning'!I864</f>
        <v>13</v>
      </c>
      <c r="J864" s="2">
        <f>'Data Cleaning'!J864</f>
        <v>494.52</v>
      </c>
    </row>
    <row r="865" spans="1:10" x14ac:dyDescent="0.25">
      <c r="A865" t="str">
        <f>'Data Cleaning'!A865</f>
        <v>S858</v>
      </c>
      <c r="B865" s="113">
        <f>'Data Cleaning'!B865</f>
        <v>45775</v>
      </c>
      <c r="C865" t="str">
        <f>'Data Cleaning'!C865</f>
        <v>Skechers</v>
      </c>
      <c r="D865" t="str">
        <f>'Data Cleaning'!D865</f>
        <v>Casual</v>
      </c>
      <c r="E865" t="str">
        <f>'Data Cleaning'!E865</f>
        <v>Black</v>
      </c>
      <c r="F865" t="str">
        <f>'Data Cleaning'!F865</f>
        <v>UK</v>
      </c>
      <c r="G865" t="str">
        <f>'Data Cleaning'!G865</f>
        <v>Mall</v>
      </c>
      <c r="H865" s="2">
        <f>'Data Cleaning'!H865</f>
        <v>133.85</v>
      </c>
      <c r="I865">
        <f>'Data Cleaning'!I865</f>
        <v>15</v>
      </c>
      <c r="J865" s="2">
        <f>'Data Cleaning'!J865</f>
        <v>2007.75</v>
      </c>
    </row>
    <row r="866" spans="1:10" x14ac:dyDescent="0.25">
      <c r="A866" t="str">
        <f>'Data Cleaning'!A866</f>
        <v>S859</v>
      </c>
      <c r="B866" s="113">
        <f>'Data Cleaning'!B866</f>
        <v>45863</v>
      </c>
      <c r="C866" t="str">
        <f>'Data Cleaning'!C866</f>
        <v>New Balance</v>
      </c>
      <c r="D866" t="str">
        <f>'Data Cleaning'!D866</f>
        <v>Sneakers</v>
      </c>
      <c r="E866" t="str">
        <f>'Data Cleaning'!E866</f>
        <v>Green</v>
      </c>
      <c r="F866" t="str">
        <f>'Data Cleaning'!F866</f>
        <v>UAE</v>
      </c>
      <c r="G866" t="str">
        <f>'Data Cleaning'!G866</f>
        <v>Mall</v>
      </c>
      <c r="H866" s="2">
        <f>'Data Cleaning'!H866</f>
        <v>154.27000000000001</v>
      </c>
      <c r="I866">
        <f>'Data Cleaning'!I866</f>
        <v>11</v>
      </c>
      <c r="J866" s="2">
        <f>'Data Cleaning'!J866</f>
        <v>1696.97</v>
      </c>
    </row>
    <row r="867" spans="1:10" x14ac:dyDescent="0.25">
      <c r="A867" t="str">
        <f>'Data Cleaning'!A867</f>
        <v>S860</v>
      </c>
      <c r="B867" s="113">
        <f>'Data Cleaning'!B867</f>
        <v>45684</v>
      </c>
      <c r="C867" t="str">
        <f>'Data Cleaning'!C867</f>
        <v>Reebok</v>
      </c>
      <c r="D867" t="str">
        <f>'Data Cleaning'!D867</f>
        <v>Boots</v>
      </c>
      <c r="E867" t="str">
        <f>'Data Cleaning'!E867</f>
        <v>Black</v>
      </c>
      <c r="F867" t="str">
        <f>'Data Cleaning'!F867</f>
        <v>Saudi Arabia</v>
      </c>
      <c r="G867" t="str">
        <f>'Data Cleaning'!G867</f>
        <v>Online</v>
      </c>
      <c r="H867" s="2">
        <f>'Data Cleaning'!H867</f>
        <v>44.46</v>
      </c>
      <c r="I867">
        <f>'Data Cleaning'!I867</f>
        <v>6</v>
      </c>
      <c r="J867" s="2">
        <f>'Data Cleaning'!J867</f>
        <v>266.76</v>
      </c>
    </row>
    <row r="868" spans="1:10" x14ac:dyDescent="0.25">
      <c r="A868" t="str">
        <f>'Data Cleaning'!A868</f>
        <v>S861</v>
      </c>
      <c r="B868" s="113">
        <f>'Data Cleaning'!B868</f>
        <v>45732</v>
      </c>
      <c r="C868" t="str">
        <f>'Data Cleaning'!C868</f>
        <v>New Balance</v>
      </c>
      <c r="D868" t="str">
        <f>'Data Cleaning'!D868</f>
        <v>Formal</v>
      </c>
      <c r="E868" t="str">
        <f>'Data Cleaning'!E868</f>
        <v>Black</v>
      </c>
      <c r="F868" t="str">
        <f>'Data Cleaning'!F868</f>
        <v>USA</v>
      </c>
      <c r="G868" t="str">
        <f>'Data Cleaning'!G868</f>
        <v>Retail Store</v>
      </c>
      <c r="H868" s="2">
        <f>'Data Cleaning'!H868</f>
        <v>200.62</v>
      </c>
      <c r="I868">
        <f>'Data Cleaning'!I868</f>
        <v>16</v>
      </c>
      <c r="J868" s="2">
        <f>'Data Cleaning'!J868</f>
        <v>3209.92</v>
      </c>
    </row>
    <row r="869" spans="1:10" x14ac:dyDescent="0.25">
      <c r="A869" t="str">
        <f>'Data Cleaning'!A869</f>
        <v>S862</v>
      </c>
      <c r="B869" s="113">
        <f>'Data Cleaning'!B869</f>
        <v>45771</v>
      </c>
      <c r="C869" t="str">
        <f>'Data Cleaning'!C869</f>
        <v>Nike</v>
      </c>
      <c r="D869" t="str">
        <f>'Data Cleaning'!D869</f>
        <v>Sneakers</v>
      </c>
      <c r="E869" t="str">
        <f>'Data Cleaning'!E869</f>
        <v>Black</v>
      </c>
      <c r="F869" t="str">
        <f>'Data Cleaning'!F869</f>
        <v>UAE</v>
      </c>
      <c r="G869" t="str">
        <f>'Data Cleaning'!G869</f>
        <v>Retail Store</v>
      </c>
      <c r="H869" s="2">
        <f>'Data Cleaning'!H869</f>
        <v>129.72</v>
      </c>
      <c r="I869">
        <f>'Data Cleaning'!I869</f>
        <v>12</v>
      </c>
      <c r="J869" s="2">
        <f>'Data Cleaning'!J869</f>
        <v>1556.64</v>
      </c>
    </row>
    <row r="870" spans="1:10" x14ac:dyDescent="0.25">
      <c r="A870" t="str">
        <f>'Data Cleaning'!A870</f>
        <v>S863</v>
      </c>
      <c r="B870" s="113">
        <f>'Data Cleaning'!B870</f>
        <v>45863</v>
      </c>
      <c r="C870" t="str">
        <f>'Data Cleaning'!C870</f>
        <v>Skechers</v>
      </c>
      <c r="D870" t="str">
        <f>'Data Cleaning'!D870</f>
        <v>Sneakers</v>
      </c>
      <c r="E870" t="str">
        <f>'Data Cleaning'!E870</f>
        <v>Blue</v>
      </c>
      <c r="F870" t="str">
        <f>'Data Cleaning'!F870</f>
        <v>UAE</v>
      </c>
      <c r="G870" t="str">
        <f>'Data Cleaning'!G870</f>
        <v>Mall</v>
      </c>
      <c r="H870" s="2">
        <f>'Data Cleaning'!H870</f>
        <v>145.37</v>
      </c>
      <c r="I870">
        <f>'Data Cleaning'!I870</f>
        <v>20</v>
      </c>
      <c r="J870" s="2">
        <f>'Data Cleaning'!J870</f>
        <v>2907.4</v>
      </c>
    </row>
    <row r="871" spans="1:10" x14ac:dyDescent="0.25">
      <c r="A871" t="str">
        <f>'Data Cleaning'!A871</f>
        <v>S864</v>
      </c>
      <c r="B871" s="113">
        <f>'Data Cleaning'!B871</f>
        <v>45687</v>
      </c>
      <c r="C871" t="str">
        <f>'Data Cleaning'!C871</f>
        <v>Skechers</v>
      </c>
      <c r="D871" t="str">
        <f>'Data Cleaning'!D871</f>
        <v>Formal</v>
      </c>
      <c r="E871" t="str">
        <f>'Data Cleaning'!E871</f>
        <v>Red</v>
      </c>
      <c r="F871" t="str">
        <f>'Data Cleaning'!F871</f>
        <v>USA</v>
      </c>
      <c r="G871" t="str">
        <f>'Data Cleaning'!G871</f>
        <v>Online</v>
      </c>
      <c r="H871" s="2">
        <f>'Data Cleaning'!H871</f>
        <v>126.97</v>
      </c>
      <c r="I871">
        <f>'Data Cleaning'!I871</f>
        <v>6</v>
      </c>
      <c r="J871" s="2">
        <f>'Data Cleaning'!J871</f>
        <v>761.82</v>
      </c>
    </row>
    <row r="872" spans="1:10" x14ac:dyDescent="0.25">
      <c r="A872" t="str">
        <f>'Data Cleaning'!A872</f>
        <v>S865</v>
      </c>
      <c r="B872" s="113">
        <f>'Data Cleaning'!B872</f>
        <v>45994</v>
      </c>
      <c r="C872" t="str">
        <f>'Data Cleaning'!C872</f>
        <v>Puma</v>
      </c>
      <c r="D872" t="str">
        <f>'Data Cleaning'!D872</f>
        <v>Casual</v>
      </c>
      <c r="E872" t="str">
        <f>'Data Cleaning'!E872</f>
        <v>Black</v>
      </c>
      <c r="F872" t="str">
        <f>'Data Cleaning'!F872</f>
        <v>Saudi Arabia</v>
      </c>
      <c r="G872" t="str">
        <f>'Data Cleaning'!G872</f>
        <v>Mall</v>
      </c>
      <c r="H872" s="2">
        <f>'Data Cleaning'!H872</f>
        <v>118.17</v>
      </c>
      <c r="I872">
        <f>'Data Cleaning'!I872</f>
        <v>17</v>
      </c>
      <c r="J872" s="2">
        <f>'Data Cleaning'!J872</f>
        <v>2008.89</v>
      </c>
    </row>
    <row r="873" spans="1:10" x14ac:dyDescent="0.25">
      <c r="A873" t="str">
        <f>'Data Cleaning'!A873</f>
        <v>S866</v>
      </c>
      <c r="B873" s="113">
        <f>'Data Cleaning'!B873</f>
        <v>45919</v>
      </c>
      <c r="C873" t="str">
        <f>'Data Cleaning'!C873</f>
        <v>Skechers</v>
      </c>
      <c r="D873" t="str">
        <f>'Data Cleaning'!D873</f>
        <v>Casual</v>
      </c>
      <c r="E873" t="str">
        <f>'Data Cleaning'!E873</f>
        <v>Grey</v>
      </c>
      <c r="F873" t="str">
        <f>'Data Cleaning'!F873</f>
        <v>UK</v>
      </c>
      <c r="G873" t="str">
        <f>'Data Cleaning'!G873</f>
        <v>Mall</v>
      </c>
      <c r="H873" s="2">
        <f>'Data Cleaning'!H873</f>
        <v>153.12</v>
      </c>
      <c r="I873">
        <f>'Data Cleaning'!I873</f>
        <v>17</v>
      </c>
      <c r="J873" s="2">
        <f>'Data Cleaning'!J873</f>
        <v>2603.04</v>
      </c>
    </row>
    <row r="874" spans="1:10" x14ac:dyDescent="0.25">
      <c r="A874" t="str">
        <f>'Data Cleaning'!A874</f>
        <v>S867</v>
      </c>
      <c r="B874" s="113">
        <f>'Data Cleaning'!B874</f>
        <v>45676</v>
      </c>
      <c r="C874" t="str">
        <f>'Data Cleaning'!C874</f>
        <v>Adidas</v>
      </c>
      <c r="D874" t="str">
        <f>'Data Cleaning'!D874</f>
        <v>Boots</v>
      </c>
      <c r="E874" t="str">
        <f>'Data Cleaning'!E874</f>
        <v>Black</v>
      </c>
      <c r="F874" t="str">
        <f>'Data Cleaning'!F874</f>
        <v>UK</v>
      </c>
      <c r="G874" t="str">
        <f>'Data Cleaning'!G874</f>
        <v>Online</v>
      </c>
      <c r="H874" s="2">
        <f>'Data Cleaning'!H874</f>
        <v>64.150000000000006</v>
      </c>
      <c r="I874">
        <f>'Data Cleaning'!I874</f>
        <v>12</v>
      </c>
      <c r="J874" s="2">
        <f>'Data Cleaning'!J874</f>
        <v>769.8</v>
      </c>
    </row>
    <row r="875" spans="1:10" x14ac:dyDescent="0.25">
      <c r="A875" t="str">
        <f>'Data Cleaning'!A875</f>
        <v>S868</v>
      </c>
      <c r="B875" s="113">
        <f>'Data Cleaning'!B875</f>
        <v>45799</v>
      </c>
      <c r="C875" t="str">
        <f>'Data Cleaning'!C875</f>
        <v>Puma</v>
      </c>
      <c r="D875" t="str">
        <f>'Data Cleaning'!D875</f>
        <v>Boots</v>
      </c>
      <c r="E875" t="str">
        <f>'Data Cleaning'!E875</f>
        <v>Red</v>
      </c>
      <c r="F875" t="str">
        <f>'Data Cleaning'!F875</f>
        <v>Germany</v>
      </c>
      <c r="G875" t="str">
        <f>'Data Cleaning'!G875</f>
        <v>Mall</v>
      </c>
      <c r="H875" s="2">
        <f>'Data Cleaning'!H875</f>
        <v>70.02</v>
      </c>
      <c r="I875">
        <f>'Data Cleaning'!I875</f>
        <v>13</v>
      </c>
      <c r="J875" s="2">
        <f>'Data Cleaning'!J875</f>
        <v>910.26</v>
      </c>
    </row>
    <row r="876" spans="1:10" x14ac:dyDescent="0.25">
      <c r="A876" t="str">
        <f>'Data Cleaning'!A876</f>
        <v>S869</v>
      </c>
      <c r="B876" s="113">
        <f>'Data Cleaning'!B876</f>
        <v>45760</v>
      </c>
      <c r="C876" t="str">
        <f>'Data Cleaning'!C876</f>
        <v>Nike</v>
      </c>
      <c r="D876" t="str">
        <f>'Data Cleaning'!D876</f>
        <v>Boots</v>
      </c>
      <c r="E876" t="str">
        <f>'Data Cleaning'!E876</f>
        <v>Green</v>
      </c>
      <c r="F876" t="str">
        <f>'Data Cleaning'!F876</f>
        <v>USA</v>
      </c>
      <c r="G876" t="str">
        <f>'Data Cleaning'!G876</f>
        <v>Online</v>
      </c>
      <c r="H876" s="2">
        <f>'Data Cleaning'!H876</f>
        <v>219.59</v>
      </c>
      <c r="I876">
        <f>'Data Cleaning'!I876</f>
        <v>17</v>
      </c>
      <c r="J876" s="2">
        <f>'Data Cleaning'!J876</f>
        <v>3733.03</v>
      </c>
    </row>
    <row r="877" spans="1:10" x14ac:dyDescent="0.25">
      <c r="A877" t="str">
        <f>'Data Cleaning'!A877</f>
        <v>S870</v>
      </c>
      <c r="B877" s="113">
        <f>'Data Cleaning'!B877</f>
        <v>45939</v>
      </c>
      <c r="C877" t="str">
        <f>'Data Cleaning'!C877</f>
        <v>Skechers</v>
      </c>
      <c r="D877" t="str">
        <f>'Data Cleaning'!D877</f>
        <v>Sneakers</v>
      </c>
      <c r="E877" t="str">
        <f>'Data Cleaning'!E877</f>
        <v>Grey</v>
      </c>
      <c r="F877" t="str">
        <f>'Data Cleaning'!F877</f>
        <v>France</v>
      </c>
      <c r="G877" t="str">
        <f>'Data Cleaning'!G877</f>
        <v>Retail Store</v>
      </c>
      <c r="H877" s="2">
        <f>'Data Cleaning'!H877</f>
        <v>238.15</v>
      </c>
      <c r="I877">
        <f>'Data Cleaning'!I877</f>
        <v>10</v>
      </c>
      <c r="J877" s="2">
        <f>'Data Cleaning'!J877</f>
        <v>2381.5</v>
      </c>
    </row>
    <row r="878" spans="1:10" x14ac:dyDescent="0.25">
      <c r="A878" t="str">
        <f>'Data Cleaning'!A878</f>
        <v>S871</v>
      </c>
      <c r="B878" s="113">
        <f>'Data Cleaning'!B878</f>
        <v>45799</v>
      </c>
      <c r="C878" t="str">
        <f>'Data Cleaning'!C878</f>
        <v>New Balance</v>
      </c>
      <c r="D878" t="str">
        <f>'Data Cleaning'!D878</f>
        <v>Casual</v>
      </c>
      <c r="E878" t="str">
        <f>'Data Cleaning'!E878</f>
        <v>Red</v>
      </c>
      <c r="F878" t="str">
        <f>'Data Cleaning'!F878</f>
        <v>Germany</v>
      </c>
      <c r="G878" t="str">
        <f>'Data Cleaning'!G878</f>
        <v>Mall</v>
      </c>
      <c r="H878" s="2">
        <f>'Data Cleaning'!H878</f>
        <v>112.13</v>
      </c>
      <c r="I878">
        <f>'Data Cleaning'!I878</f>
        <v>8</v>
      </c>
      <c r="J878" s="2">
        <f>'Data Cleaning'!J878</f>
        <v>897.04</v>
      </c>
    </row>
    <row r="879" spans="1:10" x14ac:dyDescent="0.25">
      <c r="A879" t="str">
        <f>'Data Cleaning'!A879</f>
        <v>S872</v>
      </c>
      <c r="B879" s="113">
        <f>'Data Cleaning'!B879</f>
        <v>45660</v>
      </c>
      <c r="C879" t="str">
        <f>'Data Cleaning'!C879</f>
        <v>Adidas</v>
      </c>
      <c r="D879" t="str">
        <f>'Data Cleaning'!D879</f>
        <v>Formal</v>
      </c>
      <c r="E879" t="str">
        <f>'Data Cleaning'!E879</f>
        <v>Grey</v>
      </c>
      <c r="F879" t="str">
        <f>'Data Cleaning'!F879</f>
        <v>USA</v>
      </c>
      <c r="G879" t="str">
        <f>'Data Cleaning'!G879</f>
        <v>Mall</v>
      </c>
      <c r="H879" s="2">
        <f>'Data Cleaning'!H879</f>
        <v>89.56</v>
      </c>
      <c r="I879">
        <f>'Data Cleaning'!I879</f>
        <v>9</v>
      </c>
      <c r="J879" s="2">
        <f>'Data Cleaning'!J879</f>
        <v>806.04</v>
      </c>
    </row>
    <row r="880" spans="1:10" x14ac:dyDescent="0.25">
      <c r="A880" t="str">
        <f>'Data Cleaning'!A880</f>
        <v>S873</v>
      </c>
      <c r="B880" s="113">
        <f>'Data Cleaning'!B880</f>
        <v>45695</v>
      </c>
      <c r="C880" t="str">
        <f>'Data Cleaning'!C880</f>
        <v>Puma</v>
      </c>
      <c r="D880" t="str">
        <f>'Data Cleaning'!D880</f>
        <v>Sports</v>
      </c>
      <c r="E880" t="str">
        <f>'Data Cleaning'!E880</f>
        <v>Black</v>
      </c>
      <c r="F880" t="str">
        <f>'Data Cleaning'!F880</f>
        <v>Saudi Arabia</v>
      </c>
      <c r="G880" t="str">
        <f>'Data Cleaning'!G880</f>
        <v>Mall</v>
      </c>
      <c r="H880" s="2">
        <f>'Data Cleaning'!H880</f>
        <v>171.68</v>
      </c>
      <c r="I880">
        <f>'Data Cleaning'!I880</f>
        <v>17</v>
      </c>
      <c r="J880" s="2">
        <f>'Data Cleaning'!J880</f>
        <v>2918.56</v>
      </c>
    </row>
    <row r="881" spans="1:10" x14ac:dyDescent="0.25">
      <c r="A881" t="str">
        <f>'Data Cleaning'!A881</f>
        <v>S874</v>
      </c>
      <c r="B881" s="113">
        <f>'Data Cleaning'!B881</f>
        <v>45789</v>
      </c>
      <c r="C881" t="str">
        <f>'Data Cleaning'!C881</f>
        <v>New Balance</v>
      </c>
      <c r="D881" t="str">
        <f>'Data Cleaning'!D881</f>
        <v>Sports</v>
      </c>
      <c r="E881" t="str">
        <f>'Data Cleaning'!E881</f>
        <v>Green</v>
      </c>
      <c r="F881" t="str">
        <f>'Data Cleaning'!F881</f>
        <v>Germany</v>
      </c>
      <c r="G881" t="str">
        <f>'Data Cleaning'!G881</f>
        <v>Retail Store</v>
      </c>
      <c r="H881" s="2">
        <f>'Data Cleaning'!H881</f>
        <v>119.92</v>
      </c>
      <c r="I881">
        <f>'Data Cleaning'!I881</f>
        <v>18</v>
      </c>
      <c r="J881" s="2">
        <f>'Data Cleaning'!J881</f>
        <v>2158.56</v>
      </c>
    </row>
    <row r="882" spans="1:10" x14ac:dyDescent="0.25">
      <c r="A882" t="str">
        <f>'Data Cleaning'!A882</f>
        <v>S875</v>
      </c>
      <c r="B882" s="113">
        <f>'Data Cleaning'!B882</f>
        <v>45946</v>
      </c>
      <c r="C882" t="str">
        <f>'Data Cleaning'!C882</f>
        <v>Adidas</v>
      </c>
      <c r="D882" t="str">
        <f>'Data Cleaning'!D882</f>
        <v>Sports</v>
      </c>
      <c r="E882" t="str">
        <f>'Data Cleaning'!E882</f>
        <v>Red</v>
      </c>
      <c r="F882" t="str">
        <f>'Data Cleaning'!F882</f>
        <v>UAE</v>
      </c>
      <c r="G882" t="str">
        <f>'Data Cleaning'!G882</f>
        <v>Retail Store</v>
      </c>
      <c r="H882" s="2">
        <f>'Data Cleaning'!H882</f>
        <v>35.58</v>
      </c>
      <c r="I882">
        <f>'Data Cleaning'!I882</f>
        <v>16</v>
      </c>
      <c r="J882" s="2">
        <f>'Data Cleaning'!J882</f>
        <v>569.28</v>
      </c>
    </row>
    <row r="883" spans="1:10" x14ac:dyDescent="0.25">
      <c r="A883" t="str">
        <f>'Data Cleaning'!A883</f>
        <v>S876</v>
      </c>
      <c r="B883" s="113">
        <f>'Data Cleaning'!B883</f>
        <v>45958</v>
      </c>
      <c r="C883" t="str">
        <f>'Data Cleaning'!C883</f>
        <v>Reebok</v>
      </c>
      <c r="D883" t="str">
        <f>'Data Cleaning'!D883</f>
        <v>Running</v>
      </c>
      <c r="E883" t="str">
        <f>'Data Cleaning'!E883</f>
        <v>Blue</v>
      </c>
      <c r="F883" t="str">
        <f>'Data Cleaning'!F883</f>
        <v>USA</v>
      </c>
      <c r="G883" t="str">
        <f>'Data Cleaning'!G883</f>
        <v>Retail Store</v>
      </c>
      <c r="H883" s="2">
        <f>'Data Cleaning'!H883</f>
        <v>64.349999999999994</v>
      </c>
      <c r="I883">
        <f>'Data Cleaning'!I883</f>
        <v>1</v>
      </c>
      <c r="J883" s="2">
        <f>'Data Cleaning'!J883</f>
        <v>64.349999999999994</v>
      </c>
    </row>
    <row r="884" spans="1:10" x14ac:dyDescent="0.25">
      <c r="A884" t="str">
        <f>'Data Cleaning'!A884</f>
        <v>S877</v>
      </c>
      <c r="B884" s="113">
        <f>'Data Cleaning'!B884</f>
        <v>45982</v>
      </c>
      <c r="C884" t="str">
        <f>'Data Cleaning'!C884</f>
        <v>Skechers</v>
      </c>
      <c r="D884" t="str">
        <f>'Data Cleaning'!D884</f>
        <v>Boots</v>
      </c>
      <c r="E884" t="str">
        <f>'Data Cleaning'!E884</f>
        <v>White</v>
      </c>
      <c r="F884" t="str">
        <f>'Data Cleaning'!F884</f>
        <v>Saudi Arabia</v>
      </c>
      <c r="G884" t="str">
        <f>'Data Cleaning'!G884</f>
        <v>Retail Store</v>
      </c>
      <c r="H884" s="2">
        <f>'Data Cleaning'!H884</f>
        <v>187.51</v>
      </c>
      <c r="I884">
        <f>'Data Cleaning'!I884</f>
        <v>8</v>
      </c>
      <c r="J884" s="2">
        <f>'Data Cleaning'!J884</f>
        <v>1500.08</v>
      </c>
    </row>
    <row r="885" spans="1:10" x14ac:dyDescent="0.25">
      <c r="A885" t="str">
        <f>'Data Cleaning'!A885</f>
        <v>S878</v>
      </c>
      <c r="B885" s="113">
        <f>'Data Cleaning'!B885</f>
        <v>45869</v>
      </c>
      <c r="C885" t="str">
        <f>'Data Cleaning'!C885</f>
        <v>New Balance</v>
      </c>
      <c r="D885" t="str">
        <f>'Data Cleaning'!D885</f>
        <v>Sneakers</v>
      </c>
      <c r="E885" t="str">
        <f>'Data Cleaning'!E885</f>
        <v>Black</v>
      </c>
      <c r="F885" t="str">
        <f>'Data Cleaning'!F885</f>
        <v>UAE</v>
      </c>
      <c r="G885" t="str">
        <f>'Data Cleaning'!G885</f>
        <v>Retail Store</v>
      </c>
      <c r="H885" s="2">
        <f>'Data Cleaning'!H885</f>
        <v>174.96</v>
      </c>
      <c r="I885">
        <f>'Data Cleaning'!I885</f>
        <v>12</v>
      </c>
      <c r="J885" s="2">
        <f>'Data Cleaning'!J885</f>
        <v>2099.52</v>
      </c>
    </row>
    <row r="886" spans="1:10" x14ac:dyDescent="0.25">
      <c r="A886" t="str">
        <f>'Data Cleaning'!A886</f>
        <v>S879</v>
      </c>
      <c r="B886" s="113">
        <f>'Data Cleaning'!B886</f>
        <v>45785</v>
      </c>
      <c r="C886" t="str">
        <f>'Data Cleaning'!C886</f>
        <v>Nike</v>
      </c>
      <c r="D886" t="str">
        <f>'Data Cleaning'!D886</f>
        <v>Formal</v>
      </c>
      <c r="E886" t="str">
        <f>'Data Cleaning'!E886</f>
        <v>Green</v>
      </c>
      <c r="F886" t="str">
        <f>'Data Cleaning'!F886</f>
        <v>UAE</v>
      </c>
      <c r="G886" t="str">
        <f>'Data Cleaning'!G886</f>
        <v>Retail Store</v>
      </c>
      <c r="H886" s="2">
        <f>'Data Cleaning'!H886</f>
        <v>35.96</v>
      </c>
      <c r="I886">
        <f>'Data Cleaning'!I886</f>
        <v>10</v>
      </c>
      <c r="J886" s="2">
        <f>'Data Cleaning'!J886</f>
        <v>359.6</v>
      </c>
    </row>
    <row r="887" spans="1:10" x14ac:dyDescent="0.25">
      <c r="A887" t="str">
        <f>'Data Cleaning'!A887</f>
        <v>S880</v>
      </c>
      <c r="B887" s="113">
        <f>'Data Cleaning'!B887</f>
        <v>45696</v>
      </c>
      <c r="C887" t="str">
        <f>'Data Cleaning'!C887</f>
        <v>Adidas</v>
      </c>
      <c r="D887" t="str">
        <f>'Data Cleaning'!D887</f>
        <v>Formal</v>
      </c>
      <c r="E887" t="str">
        <f>'Data Cleaning'!E887</f>
        <v>Blue</v>
      </c>
      <c r="F887" t="str">
        <f>'Data Cleaning'!F887</f>
        <v>France</v>
      </c>
      <c r="G887" t="str">
        <f>'Data Cleaning'!G887</f>
        <v>Online</v>
      </c>
      <c r="H887" s="2">
        <f>'Data Cleaning'!H887</f>
        <v>78.83</v>
      </c>
      <c r="I887">
        <f>'Data Cleaning'!I887</f>
        <v>18</v>
      </c>
      <c r="J887" s="2">
        <f>'Data Cleaning'!J887</f>
        <v>1418.94</v>
      </c>
    </row>
    <row r="888" spans="1:10" x14ac:dyDescent="0.25">
      <c r="A888" t="str">
        <f>'Data Cleaning'!A888</f>
        <v>S881</v>
      </c>
      <c r="B888" s="113">
        <f>'Data Cleaning'!B888</f>
        <v>45951</v>
      </c>
      <c r="C888" t="str">
        <f>'Data Cleaning'!C888</f>
        <v>Adidas</v>
      </c>
      <c r="D888" t="str">
        <f>'Data Cleaning'!D888</f>
        <v>Boots</v>
      </c>
      <c r="E888" t="str">
        <f>'Data Cleaning'!E888</f>
        <v>Green</v>
      </c>
      <c r="F888" t="str">
        <f>'Data Cleaning'!F888</f>
        <v>UK</v>
      </c>
      <c r="G888" t="str">
        <f>'Data Cleaning'!G888</f>
        <v>Retail Store</v>
      </c>
      <c r="H888" s="2">
        <f>'Data Cleaning'!H888</f>
        <v>80.84</v>
      </c>
      <c r="I888">
        <f>'Data Cleaning'!I888</f>
        <v>9</v>
      </c>
      <c r="J888" s="2">
        <f>'Data Cleaning'!J888</f>
        <v>727.56</v>
      </c>
    </row>
    <row r="889" spans="1:10" x14ac:dyDescent="0.25">
      <c r="A889" t="str">
        <f>'Data Cleaning'!A889</f>
        <v>S882</v>
      </c>
      <c r="B889" s="113">
        <f>'Data Cleaning'!B889</f>
        <v>45760</v>
      </c>
      <c r="C889" t="str">
        <f>'Data Cleaning'!C889</f>
        <v>Skechers</v>
      </c>
      <c r="D889" t="str">
        <f>'Data Cleaning'!D889</f>
        <v>Casual</v>
      </c>
      <c r="E889" t="str">
        <f>'Data Cleaning'!E889</f>
        <v>Blue</v>
      </c>
      <c r="F889" t="str">
        <f>'Data Cleaning'!F889</f>
        <v>UK</v>
      </c>
      <c r="G889" t="str">
        <f>'Data Cleaning'!G889</f>
        <v>Online</v>
      </c>
      <c r="H889" s="2">
        <f>'Data Cleaning'!H889</f>
        <v>177.82</v>
      </c>
      <c r="I889">
        <f>'Data Cleaning'!I889</f>
        <v>8</v>
      </c>
      <c r="J889" s="2">
        <f>'Data Cleaning'!J889</f>
        <v>1422.56</v>
      </c>
    </row>
    <row r="890" spans="1:10" x14ac:dyDescent="0.25">
      <c r="A890" t="str">
        <f>'Data Cleaning'!A890</f>
        <v>S883</v>
      </c>
      <c r="B890" s="113">
        <f>'Data Cleaning'!B890</f>
        <v>45761</v>
      </c>
      <c r="C890" t="str">
        <f>'Data Cleaning'!C890</f>
        <v>New Balance</v>
      </c>
      <c r="D890" t="str">
        <f>'Data Cleaning'!D890</f>
        <v>Sports</v>
      </c>
      <c r="E890" t="str">
        <f>'Data Cleaning'!E890</f>
        <v>White</v>
      </c>
      <c r="F890" t="str">
        <f>'Data Cleaning'!F890</f>
        <v>Saudi Arabia</v>
      </c>
      <c r="G890" t="str">
        <f>'Data Cleaning'!G890</f>
        <v>Online</v>
      </c>
      <c r="H890" s="2">
        <f>'Data Cleaning'!H890</f>
        <v>34.340000000000003</v>
      </c>
      <c r="I890">
        <f>'Data Cleaning'!I890</f>
        <v>8</v>
      </c>
      <c r="J890" s="2">
        <f>'Data Cleaning'!J890</f>
        <v>274.72000000000003</v>
      </c>
    </row>
    <row r="891" spans="1:10" x14ac:dyDescent="0.25">
      <c r="A891" t="str">
        <f>'Data Cleaning'!A891</f>
        <v>S884</v>
      </c>
      <c r="B891" s="113">
        <f>'Data Cleaning'!B891</f>
        <v>45719</v>
      </c>
      <c r="C891" t="str">
        <f>'Data Cleaning'!C891</f>
        <v>Skechers</v>
      </c>
      <c r="D891" t="str">
        <f>'Data Cleaning'!D891</f>
        <v>Boots</v>
      </c>
      <c r="E891" t="str">
        <f>'Data Cleaning'!E891</f>
        <v>Red</v>
      </c>
      <c r="F891" t="str">
        <f>'Data Cleaning'!F891</f>
        <v>India</v>
      </c>
      <c r="G891" t="str">
        <f>'Data Cleaning'!G891</f>
        <v>Online</v>
      </c>
      <c r="H891" s="2">
        <f>'Data Cleaning'!H891</f>
        <v>52.9</v>
      </c>
      <c r="I891">
        <f>'Data Cleaning'!I891</f>
        <v>3</v>
      </c>
      <c r="J891" s="2">
        <f>'Data Cleaning'!J891</f>
        <v>158.69999999999999</v>
      </c>
    </row>
    <row r="892" spans="1:10" x14ac:dyDescent="0.25">
      <c r="A892" t="str">
        <f>'Data Cleaning'!A892</f>
        <v>S885</v>
      </c>
      <c r="B892" s="113">
        <f>'Data Cleaning'!B892</f>
        <v>45935</v>
      </c>
      <c r="C892" t="str">
        <f>'Data Cleaning'!C892</f>
        <v>Reebok</v>
      </c>
      <c r="D892" t="str">
        <f>'Data Cleaning'!D892</f>
        <v>Sports</v>
      </c>
      <c r="E892" t="str">
        <f>'Data Cleaning'!E892</f>
        <v>Grey</v>
      </c>
      <c r="F892" t="str">
        <f>'Data Cleaning'!F892</f>
        <v>France</v>
      </c>
      <c r="G892" t="str">
        <f>'Data Cleaning'!G892</f>
        <v>Retail Store</v>
      </c>
      <c r="H892" s="2">
        <f>'Data Cleaning'!H892</f>
        <v>205.98</v>
      </c>
      <c r="I892">
        <f>'Data Cleaning'!I892</f>
        <v>2</v>
      </c>
      <c r="J892" s="2">
        <f>'Data Cleaning'!J892</f>
        <v>411.96</v>
      </c>
    </row>
    <row r="893" spans="1:10" x14ac:dyDescent="0.25">
      <c r="A893" t="str">
        <f>'Data Cleaning'!A893</f>
        <v>S886</v>
      </c>
      <c r="B893" s="113">
        <f>'Data Cleaning'!B893</f>
        <v>45952</v>
      </c>
      <c r="C893" t="str">
        <f>'Data Cleaning'!C893</f>
        <v>Reebok</v>
      </c>
      <c r="D893" t="str">
        <f>'Data Cleaning'!D893</f>
        <v>Casual</v>
      </c>
      <c r="E893" t="str">
        <f>'Data Cleaning'!E893</f>
        <v>Grey</v>
      </c>
      <c r="F893" t="str">
        <f>'Data Cleaning'!F893</f>
        <v>France</v>
      </c>
      <c r="G893" t="str">
        <f>'Data Cleaning'!G893</f>
        <v>Retail Store</v>
      </c>
      <c r="H893" s="2">
        <f>'Data Cleaning'!H893</f>
        <v>69.28</v>
      </c>
      <c r="I893">
        <f>'Data Cleaning'!I893</f>
        <v>9</v>
      </c>
      <c r="J893" s="2">
        <f>'Data Cleaning'!J893</f>
        <v>623.52</v>
      </c>
    </row>
    <row r="894" spans="1:10" x14ac:dyDescent="0.25">
      <c r="A894" t="str">
        <f>'Data Cleaning'!A894</f>
        <v>S887</v>
      </c>
      <c r="B894" s="113">
        <f>'Data Cleaning'!B894</f>
        <v>45771</v>
      </c>
      <c r="C894" t="str">
        <f>'Data Cleaning'!C894</f>
        <v>Adidas</v>
      </c>
      <c r="D894" t="str">
        <f>'Data Cleaning'!D894</f>
        <v>Running</v>
      </c>
      <c r="E894" t="str">
        <f>'Data Cleaning'!E894</f>
        <v>Grey</v>
      </c>
      <c r="F894" t="str">
        <f>'Data Cleaning'!F894</f>
        <v>Saudi Arabia</v>
      </c>
      <c r="G894" t="str">
        <f>'Data Cleaning'!G894</f>
        <v>Retail Store</v>
      </c>
      <c r="H894" s="2">
        <f>'Data Cleaning'!H894</f>
        <v>173.6</v>
      </c>
      <c r="I894">
        <f>'Data Cleaning'!I894</f>
        <v>19</v>
      </c>
      <c r="J894" s="2">
        <f>'Data Cleaning'!J894</f>
        <v>3298.4</v>
      </c>
    </row>
    <row r="895" spans="1:10" x14ac:dyDescent="0.25">
      <c r="A895" t="str">
        <f>'Data Cleaning'!A895</f>
        <v>S888</v>
      </c>
      <c r="B895" s="113">
        <f>'Data Cleaning'!B895</f>
        <v>45902</v>
      </c>
      <c r="C895" t="str">
        <f>'Data Cleaning'!C895</f>
        <v>Nike</v>
      </c>
      <c r="D895" t="str">
        <f>'Data Cleaning'!D895</f>
        <v>Sneakers</v>
      </c>
      <c r="E895" t="str">
        <f>'Data Cleaning'!E895</f>
        <v>Blue</v>
      </c>
      <c r="F895" t="str">
        <f>'Data Cleaning'!F895</f>
        <v>Germany</v>
      </c>
      <c r="G895" t="str">
        <f>'Data Cleaning'!G895</f>
        <v>Mall</v>
      </c>
      <c r="H895" s="2">
        <f>'Data Cleaning'!H895</f>
        <v>82.4</v>
      </c>
      <c r="I895">
        <f>'Data Cleaning'!I895</f>
        <v>18</v>
      </c>
      <c r="J895" s="2">
        <f>'Data Cleaning'!J895</f>
        <v>1483.2</v>
      </c>
    </row>
    <row r="896" spans="1:10" x14ac:dyDescent="0.25">
      <c r="A896" t="str">
        <f>'Data Cleaning'!A896</f>
        <v>S889</v>
      </c>
      <c r="B896" s="113">
        <f>'Data Cleaning'!B896</f>
        <v>45747</v>
      </c>
      <c r="C896" t="str">
        <f>'Data Cleaning'!C896</f>
        <v>Nike</v>
      </c>
      <c r="D896" t="str">
        <f>'Data Cleaning'!D896</f>
        <v>Boots</v>
      </c>
      <c r="E896" t="str">
        <f>'Data Cleaning'!E896</f>
        <v>Grey</v>
      </c>
      <c r="F896" t="str">
        <f>'Data Cleaning'!F896</f>
        <v>Germany</v>
      </c>
      <c r="G896" t="str">
        <f>'Data Cleaning'!G896</f>
        <v>Retail Store</v>
      </c>
      <c r="H896" s="2">
        <f>'Data Cleaning'!H896</f>
        <v>51.88</v>
      </c>
      <c r="I896">
        <f>'Data Cleaning'!I896</f>
        <v>15</v>
      </c>
      <c r="J896" s="2">
        <f>'Data Cleaning'!J896</f>
        <v>778.2</v>
      </c>
    </row>
    <row r="897" spans="1:10" x14ac:dyDescent="0.25">
      <c r="A897" t="str">
        <f>'Data Cleaning'!A897</f>
        <v>S890</v>
      </c>
      <c r="B897" s="113">
        <f>'Data Cleaning'!B897</f>
        <v>46010</v>
      </c>
      <c r="C897" t="str">
        <f>'Data Cleaning'!C897</f>
        <v>Nike</v>
      </c>
      <c r="D897" t="str">
        <f>'Data Cleaning'!D897</f>
        <v>Boots</v>
      </c>
      <c r="E897" t="str">
        <f>'Data Cleaning'!E897</f>
        <v>White</v>
      </c>
      <c r="F897" t="str">
        <f>'Data Cleaning'!F897</f>
        <v>Germany</v>
      </c>
      <c r="G897" t="str">
        <f>'Data Cleaning'!G897</f>
        <v>Mall</v>
      </c>
      <c r="H897" s="2">
        <f>'Data Cleaning'!H897</f>
        <v>83.5</v>
      </c>
      <c r="I897">
        <f>'Data Cleaning'!I897</f>
        <v>1</v>
      </c>
      <c r="J897" s="2">
        <f>'Data Cleaning'!J897</f>
        <v>83.5</v>
      </c>
    </row>
    <row r="898" spans="1:10" x14ac:dyDescent="0.25">
      <c r="A898" t="str">
        <f>'Data Cleaning'!A898</f>
        <v>S891</v>
      </c>
      <c r="B898" s="113">
        <f>'Data Cleaning'!B898</f>
        <v>45709</v>
      </c>
      <c r="C898" t="str">
        <f>'Data Cleaning'!C898</f>
        <v>Puma</v>
      </c>
      <c r="D898" t="str">
        <f>'Data Cleaning'!D898</f>
        <v>Sneakers</v>
      </c>
      <c r="E898" t="str">
        <f>'Data Cleaning'!E898</f>
        <v>Blue</v>
      </c>
      <c r="F898" t="str">
        <f>'Data Cleaning'!F898</f>
        <v>UK</v>
      </c>
      <c r="G898" t="str">
        <f>'Data Cleaning'!G898</f>
        <v>Mall</v>
      </c>
      <c r="H898" s="2">
        <f>'Data Cleaning'!H898</f>
        <v>188.9</v>
      </c>
      <c r="I898">
        <f>'Data Cleaning'!I898</f>
        <v>11</v>
      </c>
      <c r="J898" s="2">
        <f>'Data Cleaning'!J898</f>
        <v>2077.9</v>
      </c>
    </row>
    <row r="899" spans="1:10" x14ac:dyDescent="0.25">
      <c r="A899" t="str">
        <f>'Data Cleaning'!A899</f>
        <v>S892</v>
      </c>
      <c r="B899" s="113">
        <f>'Data Cleaning'!B899</f>
        <v>45792</v>
      </c>
      <c r="C899" t="str">
        <f>'Data Cleaning'!C899</f>
        <v>Puma</v>
      </c>
      <c r="D899" t="str">
        <f>'Data Cleaning'!D899</f>
        <v>Formal</v>
      </c>
      <c r="E899" t="str">
        <f>'Data Cleaning'!E899</f>
        <v>Grey</v>
      </c>
      <c r="F899" t="str">
        <f>'Data Cleaning'!F899</f>
        <v>France</v>
      </c>
      <c r="G899" t="str">
        <f>'Data Cleaning'!G899</f>
        <v>Retail Store</v>
      </c>
      <c r="H899" s="2">
        <f>'Data Cleaning'!H899</f>
        <v>218.25</v>
      </c>
      <c r="I899">
        <f>'Data Cleaning'!I899</f>
        <v>8</v>
      </c>
      <c r="J899" s="2">
        <f>'Data Cleaning'!J899</f>
        <v>1746</v>
      </c>
    </row>
    <row r="900" spans="1:10" x14ac:dyDescent="0.25">
      <c r="A900" t="str">
        <f>'Data Cleaning'!A900</f>
        <v>S893</v>
      </c>
      <c r="B900" s="113">
        <f>'Data Cleaning'!B900</f>
        <v>45752</v>
      </c>
      <c r="C900" t="str">
        <f>'Data Cleaning'!C900</f>
        <v>Reebok</v>
      </c>
      <c r="D900" t="str">
        <f>'Data Cleaning'!D900</f>
        <v>Casual</v>
      </c>
      <c r="E900" t="str">
        <f>'Data Cleaning'!E900</f>
        <v>Red</v>
      </c>
      <c r="F900" t="str">
        <f>'Data Cleaning'!F900</f>
        <v>UAE</v>
      </c>
      <c r="G900" t="str">
        <f>'Data Cleaning'!G900</f>
        <v>Retail Store</v>
      </c>
      <c r="H900" s="2">
        <f>'Data Cleaning'!H900</f>
        <v>212.65</v>
      </c>
      <c r="I900">
        <f>'Data Cleaning'!I900</f>
        <v>16</v>
      </c>
      <c r="J900" s="2">
        <f>'Data Cleaning'!J900</f>
        <v>3402.4</v>
      </c>
    </row>
    <row r="901" spans="1:10" x14ac:dyDescent="0.25">
      <c r="A901" t="str">
        <f>'Data Cleaning'!A901</f>
        <v>S894</v>
      </c>
      <c r="B901" s="113">
        <f>'Data Cleaning'!B901</f>
        <v>45844</v>
      </c>
      <c r="C901" t="str">
        <f>'Data Cleaning'!C901</f>
        <v>Puma</v>
      </c>
      <c r="D901" t="str">
        <f>'Data Cleaning'!D901</f>
        <v>Formal</v>
      </c>
      <c r="E901" t="str">
        <f>'Data Cleaning'!E901</f>
        <v>White</v>
      </c>
      <c r="F901" t="str">
        <f>'Data Cleaning'!F901</f>
        <v>India</v>
      </c>
      <c r="G901" t="str">
        <f>'Data Cleaning'!G901</f>
        <v>Online</v>
      </c>
      <c r="H901" s="2">
        <f>'Data Cleaning'!H901</f>
        <v>117.38</v>
      </c>
      <c r="I901">
        <f>'Data Cleaning'!I901</f>
        <v>13</v>
      </c>
      <c r="J901" s="2">
        <f>'Data Cleaning'!J901</f>
        <v>1525.94</v>
      </c>
    </row>
    <row r="902" spans="1:10" x14ac:dyDescent="0.25">
      <c r="A902" t="str">
        <f>'Data Cleaning'!A902</f>
        <v>S895</v>
      </c>
      <c r="B902" s="113">
        <f>'Data Cleaning'!B902</f>
        <v>45952</v>
      </c>
      <c r="C902" t="str">
        <f>'Data Cleaning'!C902</f>
        <v>Nike</v>
      </c>
      <c r="D902" t="str">
        <f>'Data Cleaning'!D902</f>
        <v>Boots</v>
      </c>
      <c r="E902" t="str">
        <f>'Data Cleaning'!E902</f>
        <v>Blue</v>
      </c>
      <c r="F902" t="str">
        <f>'Data Cleaning'!F902</f>
        <v>Saudi Arabia</v>
      </c>
      <c r="G902" t="str">
        <f>'Data Cleaning'!G902</f>
        <v>Online</v>
      </c>
      <c r="H902" s="2">
        <f>'Data Cleaning'!H902</f>
        <v>176.98</v>
      </c>
      <c r="I902">
        <f>'Data Cleaning'!I902</f>
        <v>8</v>
      </c>
      <c r="J902" s="2">
        <f>'Data Cleaning'!J902</f>
        <v>1415.84</v>
      </c>
    </row>
    <row r="903" spans="1:10" x14ac:dyDescent="0.25">
      <c r="A903" t="str">
        <f>'Data Cleaning'!A903</f>
        <v>S896</v>
      </c>
      <c r="B903" s="113">
        <f>'Data Cleaning'!B903</f>
        <v>45942</v>
      </c>
      <c r="C903" t="str">
        <f>'Data Cleaning'!C903</f>
        <v>Reebok</v>
      </c>
      <c r="D903" t="str">
        <f>'Data Cleaning'!D903</f>
        <v>Casual</v>
      </c>
      <c r="E903" t="str">
        <f>'Data Cleaning'!E903</f>
        <v>White</v>
      </c>
      <c r="F903" t="str">
        <f>'Data Cleaning'!F903</f>
        <v>Saudi Arabia</v>
      </c>
      <c r="G903" t="str">
        <f>'Data Cleaning'!G903</f>
        <v>Mall</v>
      </c>
      <c r="H903" s="2">
        <f>'Data Cleaning'!H903</f>
        <v>75.099999999999994</v>
      </c>
      <c r="I903">
        <f>'Data Cleaning'!I903</f>
        <v>14</v>
      </c>
      <c r="J903" s="2">
        <f>'Data Cleaning'!J903</f>
        <v>1051.4000000000001</v>
      </c>
    </row>
    <row r="904" spans="1:10" x14ac:dyDescent="0.25">
      <c r="A904" t="str">
        <f>'Data Cleaning'!A904</f>
        <v>S897</v>
      </c>
      <c r="B904" s="113">
        <f>'Data Cleaning'!B904</f>
        <v>45734</v>
      </c>
      <c r="C904" t="str">
        <f>'Data Cleaning'!C904</f>
        <v>Nike</v>
      </c>
      <c r="D904" t="str">
        <f>'Data Cleaning'!D904</f>
        <v>Casual</v>
      </c>
      <c r="E904" t="str">
        <f>'Data Cleaning'!E904</f>
        <v>Red</v>
      </c>
      <c r="F904" t="str">
        <f>'Data Cleaning'!F904</f>
        <v>Germany</v>
      </c>
      <c r="G904" t="str">
        <f>'Data Cleaning'!G904</f>
        <v>Online</v>
      </c>
      <c r="H904" s="2">
        <f>'Data Cleaning'!H904</f>
        <v>94.49</v>
      </c>
      <c r="I904">
        <f>'Data Cleaning'!I904</f>
        <v>16</v>
      </c>
      <c r="J904" s="2">
        <f>'Data Cleaning'!J904</f>
        <v>1511.84</v>
      </c>
    </row>
    <row r="905" spans="1:10" x14ac:dyDescent="0.25">
      <c r="A905" t="str">
        <f>'Data Cleaning'!A905</f>
        <v>S898</v>
      </c>
      <c r="B905" s="113">
        <f>'Data Cleaning'!B905</f>
        <v>45980</v>
      </c>
      <c r="C905" t="str">
        <f>'Data Cleaning'!C905</f>
        <v>New Balance</v>
      </c>
      <c r="D905" t="str">
        <f>'Data Cleaning'!D905</f>
        <v>Boots</v>
      </c>
      <c r="E905" t="str">
        <f>'Data Cleaning'!E905</f>
        <v>Blue</v>
      </c>
      <c r="F905" t="str">
        <f>'Data Cleaning'!F905</f>
        <v>Saudi Arabia</v>
      </c>
      <c r="G905" t="str">
        <f>'Data Cleaning'!G905</f>
        <v>Retail Store</v>
      </c>
      <c r="H905" s="2">
        <f>'Data Cleaning'!H905</f>
        <v>227.19</v>
      </c>
      <c r="I905">
        <f>'Data Cleaning'!I905</f>
        <v>17</v>
      </c>
      <c r="J905" s="2">
        <f>'Data Cleaning'!J905</f>
        <v>3862.23</v>
      </c>
    </row>
    <row r="906" spans="1:10" x14ac:dyDescent="0.25">
      <c r="A906" t="str">
        <f>'Data Cleaning'!A906</f>
        <v>S899</v>
      </c>
      <c r="B906" s="113">
        <f>'Data Cleaning'!B906</f>
        <v>45811</v>
      </c>
      <c r="C906" t="str">
        <f>'Data Cleaning'!C906</f>
        <v>New Balance</v>
      </c>
      <c r="D906" t="str">
        <f>'Data Cleaning'!D906</f>
        <v>Sneakers</v>
      </c>
      <c r="E906" t="str">
        <f>'Data Cleaning'!E906</f>
        <v>Black</v>
      </c>
      <c r="F906" t="str">
        <f>'Data Cleaning'!F906</f>
        <v>Germany</v>
      </c>
      <c r="G906" t="str">
        <f>'Data Cleaning'!G906</f>
        <v>Online</v>
      </c>
      <c r="H906" s="2">
        <f>'Data Cleaning'!H906</f>
        <v>32.86</v>
      </c>
      <c r="I906">
        <f>'Data Cleaning'!I906</f>
        <v>9</v>
      </c>
      <c r="J906" s="2">
        <f>'Data Cleaning'!J906</f>
        <v>295.74</v>
      </c>
    </row>
    <row r="907" spans="1:10" x14ac:dyDescent="0.25">
      <c r="A907" t="str">
        <f>'Data Cleaning'!A907</f>
        <v>S900</v>
      </c>
      <c r="B907" s="113">
        <f>'Data Cleaning'!B907</f>
        <v>46011</v>
      </c>
      <c r="C907" t="str">
        <f>'Data Cleaning'!C907</f>
        <v>Nike</v>
      </c>
      <c r="D907" t="str">
        <f>'Data Cleaning'!D907</f>
        <v>Casual</v>
      </c>
      <c r="E907" t="str">
        <f>'Data Cleaning'!E907</f>
        <v>Blue</v>
      </c>
      <c r="F907" t="str">
        <f>'Data Cleaning'!F907</f>
        <v>Germany</v>
      </c>
      <c r="G907" t="str">
        <f>'Data Cleaning'!G907</f>
        <v>Mall</v>
      </c>
      <c r="H907" s="2">
        <f>'Data Cleaning'!H907</f>
        <v>48.81</v>
      </c>
      <c r="I907">
        <f>'Data Cleaning'!I907</f>
        <v>6</v>
      </c>
      <c r="J907" s="2">
        <f>'Data Cleaning'!J907</f>
        <v>292.86</v>
      </c>
    </row>
    <row r="908" spans="1:10" x14ac:dyDescent="0.25">
      <c r="A908" t="str">
        <f>'Data Cleaning'!A908</f>
        <v>S901</v>
      </c>
      <c r="B908" s="113">
        <f>'Data Cleaning'!B908</f>
        <v>45707</v>
      </c>
      <c r="C908" t="str">
        <f>'Data Cleaning'!C908</f>
        <v>Skechers</v>
      </c>
      <c r="D908" t="str">
        <f>'Data Cleaning'!D908</f>
        <v>Sports</v>
      </c>
      <c r="E908" t="str">
        <f>'Data Cleaning'!E908</f>
        <v>Blue</v>
      </c>
      <c r="F908" t="str">
        <f>'Data Cleaning'!F908</f>
        <v>France</v>
      </c>
      <c r="G908" t="str">
        <f>'Data Cleaning'!G908</f>
        <v>Retail Store</v>
      </c>
      <c r="H908" s="2">
        <f>'Data Cleaning'!H908</f>
        <v>75.73</v>
      </c>
      <c r="I908">
        <f>'Data Cleaning'!I908</f>
        <v>15</v>
      </c>
      <c r="J908" s="2">
        <f>'Data Cleaning'!J908</f>
        <v>1135.95</v>
      </c>
    </row>
    <row r="909" spans="1:10" x14ac:dyDescent="0.25">
      <c r="A909" t="str">
        <f>'Data Cleaning'!A909</f>
        <v>S902</v>
      </c>
      <c r="B909" s="113">
        <f>'Data Cleaning'!B909</f>
        <v>45944</v>
      </c>
      <c r="C909" t="str">
        <f>'Data Cleaning'!C909</f>
        <v>Puma</v>
      </c>
      <c r="D909" t="str">
        <f>'Data Cleaning'!D909</f>
        <v>Sports</v>
      </c>
      <c r="E909" t="str">
        <f>'Data Cleaning'!E909</f>
        <v>Black</v>
      </c>
      <c r="F909" t="str">
        <f>'Data Cleaning'!F909</f>
        <v>Germany</v>
      </c>
      <c r="G909" t="str">
        <f>'Data Cleaning'!G909</f>
        <v>Online</v>
      </c>
      <c r="H909" s="2">
        <f>'Data Cleaning'!H909</f>
        <v>35.840000000000003</v>
      </c>
      <c r="I909">
        <f>'Data Cleaning'!I909</f>
        <v>18</v>
      </c>
      <c r="J909" s="2">
        <f>'Data Cleaning'!J909</f>
        <v>645.12</v>
      </c>
    </row>
    <row r="910" spans="1:10" x14ac:dyDescent="0.25">
      <c r="A910" t="str">
        <f>'Data Cleaning'!A910</f>
        <v>S903</v>
      </c>
      <c r="B910" s="113">
        <f>'Data Cleaning'!B910</f>
        <v>45837</v>
      </c>
      <c r="C910" t="str">
        <f>'Data Cleaning'!C910</f>
        <v>Adidas</v>
      </c>
      <c r="D910" t="str">
        <f>'Data Cleaning'!D910</f>
        <v>Sneakers</v>
      </c>
      <c r="E910" t="str">
        <f>'Data Cleaning'!E910</f>
        <v>Grey</v>
      </c>
      <c r="F910" t="str">
        <f>'Data Cleaning'!F910</f>
        <v>UAE</v>
      </c>
      <c r="G910" t="str">
        <f>'Data Cleaning'!G910</f>
        <v>Mall</v>
      </c>
      <c r="H910" s="2">
        <f>'Data Cleaning'!H910</f>
        <v>69.92</v>
      </c>
      <c r="I910">
        <f>'Data Cleaning'!I910</f>
        <v>20</v>
      </c>
      <c r="J910" s="2">
        <f>'Data Cleaning'!J910</f>
        <v>1398.4</v>
      </c>
    </row>
    <row r="911" spans="1:10" x14ac:dyDescent="0.25">
      <c r="A911" t="str">
        <f>'Data Cleaning'!A911</f>
        <v>S904</v>
      </c>
      <c r="B911" s="113">
        <f>'Data Cleaning'!B911</f>
        <v>45933</v>
      </c>
      <c r="C911" t="str">
        <f>'Data Cleaning'!C911</f>
        <v>Puma</v>
      </c>
      <c r="D911" t="str">
        <f>'Data Cleaning'!D911</f>
        <v>Sports</v>
      </c>
      <c r="E911" t="str">
        <f>'Data Cleaning'!E911</f>
        <v>Blue</v>
      </c>
      <c r="F911" t="str">
        <f>'Data Cleaning'!F911</f>
        <v>UAE</v>
      </c>
      <c r="G911" t="str">
        <f>'Data Cleaning'!G911</f>
        <v>Mall</v>
      </c>
      <c r="H911" s="2">
        <f>'Data Cleaning'!H911</f>
        <v>158.27000000000001</v>
      </c>
      <c r="I911">
        <f>'Data Cleaning'!I911</f>
        <v>6</v>
      </c>
      <c r="J911" s="2">
        <f>'Data Cleaning'!J911</f>
        <v>949.62</v>
      </c>
    </row>
    <row r="912" spans="1:10" x14ac:dyDescent="0.25">
      <c r="A912" t="str">
        <f>'Data Cleaning'!A912</f>
        <v>S905</v>
      </c>
      <c r="B912" s="113">
        <f>'Data Cleaning'!B912</f>
        <v>45907</v>
      </c>
      <c r="C912" t="str">
        <f>'Data Cleaning'!C912</f>
        <v>Nike</v>
      </c>
      <c r="D912" t="str">
        <f>'Data Cleaning'!D912</f>
        <v>Formal</v>
      </c>
      <c r="E912" t="str">
        <f>'Data Cleaning'!E912</f>
        <v>Grey</v>
      </c>
      <c r="F912" t="str">
        <f>'Data Cleaning'!F912</f>
        <v>France</v>
      </c>
      <c r="G912" t="str">
        <f>'Data Cleaning'!G912</f>
        <v>Retail Store</v>
      </c>
      <c r="H912" s="2">
        <f>'Data Cleaning'!H912</f>
        <v>122.71</v>
      </c>
      <c r="I912">
        <f>'Data Cleaning'!I912</f>
        <v>15</v>
      </c>
      <c r="J912" s="2">
        <f>'Data Cleaning'!J912</f>
        <v>1840.65</v>
      </c>
    </row>
    <row r="913" spans="1:10" x14ac:dyDescent="0.25">
      <c r="A913" t="str">
        <f>'Data Cleaning'!A913</f>
        <v>S906</v>
      </c>
      <c r="B913" s="113">
        <f>'Data Cleaning'!B913</f>
        <v>45981</v>
      </c>
      <c r="C913" t="str">
        <f>'Data Cleaning'!C913</f>
        <v>Adidas</v>
      </c>
      <c r="D913" t="str">
        <f>'Data Cleaning'!D913</f>
        <v>Boots</v>
      </c>
      <c r="E913" t="str">
        <f>'Data Cleaning'!E913</f>
        <v>Blue</v>
      </c>
      <c r="F913" t="str">
        <f>'Data Cleaning'!F913</f>
        <v>Germany</v>
      </c>
      <c r="G913" t="str">
        <f>'Data Cleaning'!G913</f>
        <v>Mall</v>
      </c>
      <c r="H913" s="2">
        <f>'Data Cleaning'!H913</f>
        <v>226.39</v>
      </c>
      <c r="I913">
        <f>'Data Cleaning'!I913</f>
        <v>5</v>
      </c>
      <c r="J913" s="2">
        <f>'Data Cleaning'!J913</f>
        <v>1131.95</v>
      </c>
    </row>
    <row r="914" spans="1:10" x14ac:dyDescent="0.25">
      <c r="A914" t="str">
        <f>'Data Cleaning'!A914</f>
        <v>S907</v>
      </c>
      <c r="B914" s="113">
        <f>'Data Cleaning'!B914</f>
        <v>45971</v>
      </c>
      <c r="C914" t="str">
        <f>'Data Cleaning'!C914</f>
        <v>Reebok</v>
      </c>
      <c r="D914" t="str">
        <f>'Data Cleaning'!D914</f>
        <v>Running</v>
      </c>
      <c r="E914" t="str">
        <f>'Data Cleaning'!E914</f>
        <v>Black</v>
      </c>
      <c r="F914" t="str">
        <f>'Data Cleaning'!F914</f>
        <v>UK</v>
      </c>
      <c r="G914" t="str">
        <f>'Data Cleaning'!G914</f>
        <v>Retail Store</v>
      </c>
      <c r="H914" s="2">
        <f>'Data Cleaning'!H914</f>
        <v>209.84</v>
      </c>
      <c r="I914">
        <f>'Data Cleaning'!I914</f>
        <v>19</v>
      </c>
      <c r="J914" s="2">
        <f>'Data Cleaning'!J914</f>
        <v>3986.96</v>
      </c>
    </row>
    <row r="915" spans="1:10" x14ac:dyDescent="0.25">
      <c r="A915" t="str">
        <f>'Data Cleaning'!A915</f>
        <v>S908</v>
      </c>
      <c r="B915" s="113">
        <f>'Data Cleaning'!B915</f>
        <v>45774</v>
      </c>
      <c r="C915" t="str">
        <f>'Data Cleaning'!C915</f>
        <v>Puma</v>
      </c>
      <c r="D915" t="str">
        <f>'Data Cleaning'!D915</f>
        <v>Boots</v>
      </c>
      <c r="E915" t="str">
        <f>'Data Cleaning'!E915</f>
        <v>Blue</v>
      </c>
      <c r="F915" t="str">
        <f>'Data Cleaning'!F915</f>
        <v>UAE</v>
      </c>
      <c r="G915" t="str">
        <f>'Data Cleaning'!G915</f>
        <v>Retail Store</v>
      </c>
      <c r="H915" s="2">
        <f>'Data Cleaning'!H915</f>
        <v>105.2</v>
      </c>
      <c r="I915">
        <f>'Data Cleaning'!I915</f>
        <v>11</v>
      </c>
      <c r="J915" s="2">
        <f>'Data Cleaning'!J915</f>
        <v>1157.2</v>
      </c>
    </row>
    <row r="916" spans="1:10" x14ac:dyDescent="0.25">
      <c r="A916" t="str">
        <f>'Data Cleaning'!A916</f>
        <v>S909</v>
      </c>
      <c r="B916" s="113">
        <f>'Data Cleaning'!B916</f>
        <v>45967</v>
      </c>
      <c r="C916" t="str">
        <f>'Data Cleaning'!C916</f>
        <v>Puma</v>
      </c>
      <c r="D916" t="str">
        <f>'Data Cleaning'!D916</f>
        <v>Formal</v>
      </c>
      <c r="E916" t="str">
        <f>'Data Cleaning'!E916</f>
        <v>Blue</v>
      </c>
      <c r="F916" t="str">
        <f>'Data Cleaning'!F916</f>
        <v>UAE</v>
      </c>
      <c r="G916" t="str">
        <f>'Data Cleaning'!G916</f>
        <v>Mall</v>
      </c>
      <c r="H916" s="2">
        <f>'Data Cleaning'!H916</f>
        <v>87.07</v>
      </c>
      <c r="I916">
        <f>'Data Cleaning'!I916</f>
        <v>13</v>
      </c>
      <c r="J916" s="2">
        <f>'Data Cleaning'!J916</f>
        <v>1131.9100000000001</v>
      </c>
    </row>
    <row r="917" spans="1:10" x14ac:dyDescent="0.25">
      <c r="A917" t="str">
        <f>'Data Cleaning'!A917</f>
        <v>S910</v>
      </c>
      <c r="B917" s="113">
        <f>'Data Cleaning'!B917</f>
        <v>45924</v>
      </c>
      <c r="C917" t="str">
        <f>'Data Cleaning'!C917</f>
        <v>Reebok</v>
      </c>
      <c r="D917" t="str">
        <f>'Data Cleaning'!D917</f>
        <v>Casual</v>
      </c>
      <c r="E917" t="str">
        <f>'Data Cleaning'!E917</f>
        <v>White</v>
      </c>
      <c r="F917" t="str">
        <f>'Data Cleaning'!F917</f>
        <v>Saudi Arabia</v>
      </c>
      <c r="G917" t="str">
        <f>'Data Cleaning'!G917</f>
        <v>Online</v>
      </c>
      <c r="H917" s="2">
        <f>'Data Cleaning'!H917</f>
        <v>113.53</v>
      </c>
      <c r="I917">
        <f>'Data Cleaning'!I917</f>
        <v>15</v>
      </c>
      <c r="J917" s="2">
        <f>'Data Cleaning'!J917</f>
        <v>1702.95</v>
      </c>
    </row>
    <row r="918" spans="1:10" x14ac:dyDescent="0.25">
      <c r="A918" t="str">
        <f>'Data Cleaning'!A918</f>
        <v>S911</v>
      </c>
      <c r="B918" s="113">
        <f>'Data Cleaning'!B918</f>
        <v>45722</v>
      </c>
      <c r="C918" t="str">
        <f>'Data Cleaning'!C918</f>
        <v>Skechers</v>
      </c>
      <c r="D918" t="str">
        <f>'Data Cleaning'!D918</f>
        <v>Sports</v>
      </c>
      <c r="E918" t="str">
        <f>'Data Cleaning'!E918</f>
        <v>Green</v>
      </c>
      <c r="F918" t="str">
        <f>'Data Cleaning'!F918</f>
        <v>UAE</v>
      </c>
      <c r="G918" t="str">
        <f>'Data Cleaning'!G918</f>
        <v>Mall</v>
      </c>
      <c r="H918" s="2">
        <f>'Data Cleaning'!H918</f>
        <v>159.86000000000001</v>
      </c>
      <c r="I918">
        <f>'Data Cleaning'!I918</f>
        <v>8</v>
      </c>
      <c r="J918" s="2">
        <f>'Data Cleaning'!J918</f>
        <v>1278.8800000000001</v>
      </c>
    </row>
    <row r="919" spans="1:10" x14ac:dyDescent="0.25">
      <c r="A919" t="str">
        <f>'Data Cleaning'!A919</f>
        <v>S912</v>
      </c>
      <c r="B919" s="113">
        <f>'Data Cleaning'!B919</f>
        <v>45698</v>
      </c>
      <c r="C919" t="str">
        <f>'Data Cleaning'!C919</f>
        <v>Adidas</v>
      </c>
      <c r="D919" t="str">
        <f>'Data Cleaning'!D919</f>
        <v>Formal</v>
      </c>
      <c r="E919" t="str">
        <f>'Data Cleaning'!E919</f>
        <v>Black</v>
      </c>
      <c r="F919" t="str">
        <f>'Data Cleaning'!F919</f>
        <v>USA</v>
      </c>
      <c r="G919" t="str">
        <f>'Data Cleaning'!G919</f>
        <v>Online</v>
      </c>
      <c r="H919" s="2">
        <f>'Data Cleaning'!H919</f>
        <v>88.97</v>
      </c>
      <c r="I919">
        <f>'Data Cleaning'!I919</f>
        <v>7</v>
      </c>
      <c r="J919" s="2">
        <f>'Data Cleaning'!J919</f>
        <v>622.79</v>
      </c>
    </row>
    <row r="920" spans="1:10" x14ac:dyDescent="0.25">
      <c r="A920" t="str">
        <f>'Data Cleaning'!A920</f>
        <v>S913</v>
      </c>
      <c r="B920" s="113">
        <f>'Data Cleaning'!B920</f>
        <v>45900</v>
      </c>
      <c r="C920" t="str">
        <f>'Data Cleaning'!C920</f>
        <v>Nike</v>
      </c>
      <c r="D920" t="str">
        <f>'Data Cleaning'!D920</f>
        <v>Running</v>
      </c>
      <c r="E920" t="str">
        <f>'Data Cleaning'!E920</f>
        <v>Red</v>
      </c>
      <c r="F920" t="str">
        <f>'Data Cleaning'!F920</f>
        <v>India</v>
      </c>
      <c r="G920" t="str">
        <f>'Data Cleaning'!G920</f>
        <v>Online</v>
      </c>
      <c r="H920" s="2">
        <f>'Data Cleaning'!H920</f>
        <v>167.31</v>
      </c>
      <c r="I920">
        <f>'Data Cleaning'!I920</f>
        <v>18</v>
      </c>
      <c r="J920" s="2">
        <f>'Data Cleaning'!J920</f>
        <v>3011.58</v>
      </c>
    </row>
    <row r="921" spans="1:10" x14ac:dyDescent="0.25">
      <c r="A921" t="str">
        <f>'Data Cleaning'!A921</f>
        <v>S914</v>
      </c>
      <c r="B921" s="113">
        <f>'Data Cleaning'!B921</f>
        <v>45711</v>
      </c>
      <c r="C921" t="str">
        <f>'Data Cleaning'!C921</f>
        <v>New Balance</v>
      </c>
      <c r="D921" t="str">
        <f>'Data Cleaning'!D921</f>
        <v>Casual</v>
      </c>
      <c r="E921" t="str">
        <f>'Data Cleaning'!E921</f>
        <v>Black</v>
      </c>
      <c r="F921" t="str">
        <f>'Data Cleaning'!F921</f>
        <v>UAE</v>
      </c>
      <c r="G921" t="str">
        <f>'Data Cleaning'!G921</f>
        <v>Retail Store</v>
      </c>
      <c r="H921" s="2">
        <f>'Data Cleaning'!H921</f>
        <v>120.07</v>
      </c>
      <c r="I921">
        <f>'Data Cleaning'!I921</f>
        <v>9</v>
      </c>
      <c r="J921" s="2">
        <f>'Data Cleaning'!J921</f>
        <v>1080.6300000000001</v>
      </c>
    </row>
    <row r="922" spans="1:10" x14ac:dyDescent="0.25">
      <c r="A922" t="str">
        <f>'Data Cleaning'!A922</f>
        <v>S915</v>
      </c>
      <c r="B922" s="113">
        <f>'Data Cleaning'!B922</f>
        <v>45816</v>
      </c>
      <c r="C922" t="str">
        <f>'Data Cleaning'!C922</f>
        <v>Adidas</v>
      </c>
      <c r="D922" t="str">
        <f>'Data Cleaning'!D922</f>
        <v>Boots</v>
      </c>
      <c r="E922" t="str">
        <f>'Data Cleaning'!E922</f>
        <v>Blue</v>
      </c>
      <c r="F922" t="str">
        <f>'Data Cleaning'!F922</f>
        <v>Germany</v>
      </c>
      <c r="G922" t="str">
        <f>'Data Cleaning'!G922</f>
        <v>Mall</v>
      </c>
      <c r="H922" s="2">
        <f>'Data Cleaning'!H922</f>
        <v>151.44999999999999</v>
      </c>
      <c r="I922">
        <f>'Data Cleaning'!I922</f>
        <v>8</v>
      </c>
      <c r="J922" s="2">
        <f>'Data Cleaning'!J922</f>
        <v>1211.5999999999999</v>
      </c>
    </row>
    <row r="923" spans="1:10" x14ac:dyDescent="0.25">
      <c r="A923" t="str">
        <f>'Data Cleaning'!A923</f>
        <v>S916</v>
      </c>
      <c r="B923" s="113">
        <f>'Data Cleaning'!B923</f>
        <v>45722</v>
      </c>
      <c r="C923" t="str">
        <f>'Data Cleaning'!C923</f>
        <v>New Balance</v>
      </c>
      <c r="D923" t="str">
        <f>'Data Cleaning'!D923</f>
        <v>Casual</v>
      </c>
      <c r="E923" t="str">
        <f>'Data Cleaning'!E923</f>
        <v>Black</v>
      </c>
      <c r="F923" t="str">
        <f>'Data Cleaning'!F923</f>
        <v>USA</v>
      </c>
      <c r="G923" t="str">
        <f>'Data Cleaning'!G923</f>
        <v>Mall</v>
      </c>
      <c r="H923" s="2">
        <f>'Data Cleaning'!H923</f>
        <v>125.95</v>
      </c>
      <c r="I923">
        <f>'Data Cleaning'!I923</f>
        <v>5</v>
      </c>
      <c r="J923" s="2">
        <f>'Data Cleaning'!J923</f>
        <v>629.75</v>
      </c>
    </row>
    <row r="924" spans="1:10" x14ac:dyDescent="0.25">
      <c r="A924" t="str">
        <f>'Data Cleaning'!A924</f>
        <v>S917</v>
      </c>
      <c r="B924" s="113">
        <f>'Data Cleaning'!B924</f>
        <v>45840</v>
      </c>
      <c r="C924" t="str">
        <f>'Data Cleaning'!C924</f>
        <v>Reebok</v>
      </c>
      <c r="D924" t="str">
        <f>'Data Cleaning'!D924</f>
        <v>Formal</v>
      </c>
      <c r="E924" t="str">
        <f>'Data Cleaning'!E924</f>
        <v>Grey</v>
      </c>
      <c r="F924" t="str">
        <f>'Data Cleaning'!F924</f>
        <v>France</v>
      </c>
      <c r="G924" t="str">
        <f>'Data Cleaning'!G924</f>
        <v>Mall</v>
      </c>
      <c r="H924" s="2">
        <f>'Data Cleaning'!H924</f>
        <v>94.78</v>
      </c>
      <c r="I924">
        <f>'Data Cleaning'!I924</f>
        <v>11</v>
      </c>
      <c r="J924" s="2">
        <f>'Data Cleaning'!J924</f>
        <v>1042.58</v>
      </c>
    </row>
    <row r="925" spans="1:10" x14ac:dyDescent="0.25">
      <c r="A925" t="str">
        <f>'Data Cleaning'!A925</f>
        <v>S918</v>
      </c>
      <c r="B925" s="113">
        <f>'Data Cleaning'!B925</f>
        <v>45885</v>
      </c>
      <c r="C925" t="str">
        <f>'Data Cleaning'!C925</f>
        <v>Skechers</v>
      </c>
      <c r="D925" t="str">
        <f>'Data Cleaning'!D925</f>
        <v>Sneakers</v>
      </c>
      <c r="E925" t="str">
        <f>'Data Cleaning'!E925</f>
        <v>White</v>
      </c>
      <c r="F925" t="str">
        <f>'Data Cleaning'!F925</f>
        <v>India</v>
      </c>
      <c r="G925" t="str">
        <f>'Data Cleaning'!G925</f>
        <v>Mall</v>
      </c>
      <c r="H925" s="2">
        <f>'Data Cleaning'!H925</f>
        <v>238.66</v>
      </c>
      <c r="I925">
        <f>'Data Cleaning'!I925</f>
        <v>5</v>
      </c>
      <c r="J925" s="2">
        <f>'Data Cleaning'!J925</f>
        <v>1193.3</v>
      </c>
    </row>
    <row r="926" spans="1:10" x14ac:dyDescent="0.25">
      <c r="A926" t="str">
        <f>'Data Cleaning'!A926</f>
        <v>S919</v>
      </c>
      <c r="B926" s="113">
        <f>'Data Cleaning'!B926</f>
        <v>45891</v>
      </c>
      <c r="C926" t="str">
        <f>'Data Cleaning'!C926</f>
        <v>Reebok</v>
      </c>
      <c r="D926" t="str">
        <f>'Data Cleaning'!D926</f>
        <v>Sneakers</v>
      </c>
      <c r="E926" t="str">
        <f>'Data Cleaning'!E926</f>
        <v>Green</v>
      </c>
      <c r="F926" t="str">
        <f>'Data Cleaning'!F926</f>
        <v>UAE</v>
      </c>
      <c r="G926" t="str">
        <f>'Data Cleaning'!G926</f>
        <v>Mall</v>
      </c>
      <c r="H926" s="2">
        <f>'Data Cleaning'!H926</f>
        <v>197.99</v>
      </c>
      <c r="I926">
        <f>'Data Cleaning'!I926</f>
        <v>19</v>
      </c>
      <c r="J926" s="2">
        <f>'Data Cleaning'!J926</f>
        <v>3761.81</v>
      </c>
    </row>
    <row r="927" spans="1:10" x14ac:dyDescent="0.25">
      <c r="A927" t="str">
        <f>'Data Cleaning'!A927</f>
        <v>S920</v>
      </c>
      <c r="B927" s="113">
        <f>'Data Cleaning'!B927</f>
        <v>45816</v>
      </c>
      <c r="C927" t="str">
        <f>'Data Cleaning'!C927</f>
        <v>Reebok</v>
      </c>
      <c r="D927" t="str">
        <f>'Data Cleaning'!D927</f>
        <v>Sneakers</v>
      </c>
      <c r="E927" t="str">
        <f>'Data Cleaning'!E927</f>
        <v>White</v>
      </c>
      <c r="F927" t="str">
        <f>'Data Cleaning'!F927</f>
        <v>Saudi Arabia</v>
      </c>
      <c r="G927" t="str">
        <f>'Data Cleaning'!G927</f>
        <v>Online</v>
      </c>
      <c r="H927" s="2">
        <f>'Data Cleaning'!H927</f>
        <v>60.82</v>
      </c>
      <c r="I927">
        <f>'Data Cleaning'!I927</f>
        <v>12</v>
      </c>
      <c r="J927" s="2">
        <f>'Data Cleaning'!J927</f>
        <v>729.84</v>
      </c>
    </row>
    <row r="928" spans="1:10" x14ac:dyDescent="0.25">
      <c r="A928" t="str">
        <f>'Data Cleaning'!A928</f>
        <v>S921</v>
      </c>
      <c r="B928" s="113">
        <f>'Data Cleaning'!B928</f>
        <v>45884</v>
      </c>
      <c r="C928" t="str">
        <f>'Data Cleaning'!C928</f>
        <v>Puma</v>
      </c>
      <c r="D928" t="str">
        <f>'Data Cleaning'!D928</f>
        <v>Formal</v>
      </c>
      <c r="E928" t="str">
        <f>'Data Cleaning'!E928</f>
        <v>Blue</v>
      </c>
      <c r="F928" t="str">
        <f>'Data Cleaning'!F928</f>
        <v>UK</v>
      </c>
      <c r="G928" t="str">
        <f>'Data Cleaning'!G928</f>
        <v>Retail Store</v>
      </c>
      <c r="H928" s="2">
        <f>'Data Cleaning'!H928</f>
        <v>221.06</v>
      </c>
      <c r="I928">
        <f>'Data Cleaning'!I928</f>
        <v>10</v>
      </c>
      <c r="J928" s="2">
        <f>'Data Cleaning'!J928</f>
        <v>2210.6</v>
      </c>
    </row>
    <row r="929" spans="1:10" x14ac:dyDescent="0.25">
      <c r="A929" t="str">
        <f>'Data Cleaning'!A929</f>
        <v>S922</v>
      </c>
      <c r="B929" s="113">
        <f>'Data Cleaning'!B929</f>
        <v>45663</v>
      </c>
      <c r="C929" t="str">
        <f>'Data Cleaning'!C929</f>
        <v>New Balance</v>
      </c>
      <c r="D929" t="str">
        <f>'Data Cleaning'!D929</f>
        <v>Casual</v>
      </c>
      <c r="E929" t="str">
        <f>'Data Cleaning'!E929</f>
        <v>Blue</v>
      </c>
      <c r="F929" t="str">
        <f>'Data Cleaning'!F929</f>
        <v>France</v>
      </c>
      <c r="G929" t="str">
        <f>'Data Cleaning'!G929</f>
        <v>Retail Store</v>
      </c>
      <c r="H929" s="2">
        <f>'Data Cleaning'!H929</f>
        <v>137.22999999999999</v>
      </c>
      <c r="I929">
        <f>'Data Cleaning'!I929</f>
        <v>1</v>
      </c>
      <c r="J929" s="2">
        <f>'Data Cleaning'!J929</f>
        <v>137.22999999999999</v>
      </c>
    </row>
    <row r="930" spans="1:10" x14ac:dyDescent="0.25">
      <c r="A930" t="str">
        <f>'Data Cleaning'!A930</f>
        <v>S923</v>
      </c>
      <c r="B930" s="113">
        <f>'Data Cleaning'!B930</f>
        <v>45931</v>
      </c>
      <c r="C930" t="str">
        <f>'Data Cleaning'!C930</f>
        <v>Skechers</v>
      </c>
      <c r="D930" t="str">
        <f>'Data Cleaning'!D930</f>
        <v>Formal</v>
      </c>
      <c r="E930" t="str">
        <f>'Data Cleaning'!E930</f>
        <v>Red</v>
      </c>
      <c r="F930" t="str">
        <f>'Data Cleaning'!F930</f>
        <v>France</v>
      </c>
      <c r="G930" t="str">
        <f>'Data Cleaning'!G930</f>
        <v>Online</v>
      </c>
      <c r="H930" s="2">
        <f>'Data Cleaning'!H930</f>
        <v>226.8</v>
      </c>
      <c r="I930">
        <f>'Data Cleaning'!I930</f>
        <v>1</v>
      </c>
      <c r="J930" s="2">
        <f>'Data Cleaning'!J930</f>
        <v>226.8</v>
      </c>
    </row>
    <row r="931" spans="1:10" x14ac:dyDescent="0.25">
      <c r="A931" t="str">
        <f>'Data Cleaning'!A931</f>
        <v>S924</v>
      </c>
      <c r="B931" s="113">
        <f>'Data Cleaning'!B931</f>
        <v>45878</v>
      </c>
      <c r="C931" t="str">
        <f>'Data Cleaning'!C931</f>
        <v>New Balance</v>
      </c>
      <c r="D931" t="str">
        <f>'Data Cleaning'!D931</f>
        <v>Casual</v>
      </c>
      <c r="E931" t="str">
        <f>'Data Cleaning'!E931</f>
        <v>Black</v>
      </c>
      <c r="F931" t="str">
        <f>'Data Cleaning'!F931</f>
        <v>India</v>
      </c>
      <c r="G931" t="str">
        <f>'Data Cleaning'!G931</f>
        <v>Retail Store</v>
      </c>
      <c r="H931" s="2">
        <f>'Data Cleaning'!H931</f>
        <v>205.97</v>
      </c>
      <c r="I931">
        <f>'Data Cleaning'!I931</f>
        <v>10</v>
      </c>
      <c r="J931" s="2">
        <f>'Data Cleaning'!J931</f>
        <v>2059.6999999999998</v>
      </c>
    </row>
    <row r="932" spans="1:10" x14ac:dyDescent="0.25">
      <c r="A932" t="str">
        <f>'Data Cleaning'!A932</f>
        <v>S925</v>
      </c>
      <c r="B932" s="113">
        <f>'Data Cleaning'!B932</f>
        <v>45754</v>
      </c>
      <c r="C932" t="str">
        <f>'Data Cleaning'!C932</f>
        <v>New Balance</v>
      </c>
      <c r="D932" t="str">
        <f>'Data Cleaning'!D932</f>
        <v>Formal</v>
      </c>
      <c r="E932" t="str">
        <f>'Data Cleaning'!E932</f>
        <v>Red</v>
      </c>
      <c r="F932" t="str">
        <f>'Data Cleaning'!F932</f>
        <v>UK</v>
      </c>
      <c r="G932" t="str">
        <f>'Data Cleaning'!G932</f>
        <v>Online</v>
      </c>
      <c r="H932" s="2">
        <f>'Data Cleaning'!H932</f>
        <v>123.55</v>
      </c>
      <c r="I932">
        <f>'Data Cleaning'!I932</f>
        <v>14</v>
      </c>
      <c r="J932" s="2">
        <f>'Data Cleaning'!J932</f>
        <v>1729.7</v>
      </c>
    </row>
    <row r="933" spans="1:10" x14ac:dyDescent="0.25">
      <c r="A933" t="str">
        <f>'Data Cleaning'!A933</f>
        <v>S926</v>
      </c>
      <c r="B933" s="113">
        <f>'Data Cleaning'!B933</f>
        <v>45988</v>
      </c>
      <c r="C933" t="str">
        <f>'Data Cleaning'!C933</f>
        <v>Reebok</v>
      </c>
      <c r="D933" t="str">
        <f>'Data Cleaning'!D933</f>
        <v>Casual</v>
      </c>
      <c r="E933" t="str">
        <f>'Data Cleaning'!E933</f>
        <v>Blue</v>
      </c>
      <c r="F933" t="str">
        <f>'Data Cleaning'!F933</f>
        <v>USA</v>
      </c>
      <c r="G933" t="str">
        <f>'Data Cleaning'!G933</f>
        <v>Retail Store</v>
      </c>
      <c r="H933" s="2">
        <f>'Data Cleaning'!H933</f>
        <v>34.94</v>
      </c>
      <c r="I933">
        <f>'Data Cleaning'!I933</f>
        <v>13</v>
      </c>
      <c r="J933" s="2">
        <f>'Data Cleaning'!J933</f>
        <v>454.22</v>
      </c>
    </row>
    <row r="934" spans="1:10" x14ac:dyDescent="0.25">
      <c r="A934" t="str">
        <f>'Data Cleaning'!A934</f>
        <v>S927</v>
      </c>
      <c r="B934" s="113">
        <f>'Data Cleaning'!B934</f>
        <v>45978</v>
      </c>
      <c r="C934" t="str">
        <f>'Data Cleaning'!C934</f>
        <v>New Balance</v>
      </c>
      <c r="D934" t="str">
        <f>'Data Cleaning'!D934</f>
        <v>Sneakers</v>
      </c>
      <c r="E934" t="str">
        <f>'Data Cleaning'!E934</f>
        <v>Green</v>
      </c>
      <c r="F934" t="str">
        <f>'Data Cleaning'!F934</f>
        <v>UAE</v>
      </c>
      <c r="G934" t="str">
        <f>'Data Cleaning'!G934</f>
        <v>Retail Store</v>
      </c>
      <c r="H934" s="2">
        <f>'Data Cleaning'!H934</f>
        <v>89.11</v>
      </c>
      <c r="I934">
        <f>'Data Cleaning'!I934</f>
        <v>8</v>
      </c>
      <c r="J934" s="2">
        <f>'Data Cleaning'!J934</f>
        <v>712.88</v>
      </c>
    </row>
    <row r="935" spans="1:10" x14ac:dyDescent="0.25">
      <c r="A935" t="str">
        <f>'Data Cleaning'!A935</f>
        <v>S928</v>
      </c>
      <c r="B935" s="113">
        <f>'Data Cleaning'!B935</f>
        <v>45803</v>
      </c>
      <c r="C935" t="str">
        <f>'Data Cleaning'!C935</f>
        <v>Puma</v>
      </c>
      <c r="D935" t="str">
        <f>'Data Cleaning'!D935</f>
        <v>Formal</v>
      </c>
      <c r="E935" t="str">
        <f>'Data Cleaning'!E935</f>
        <v>White</v>
      </c>
      <c r="F935" t="str">
        <f>'Data Cleaning'!F935</f>
        <v>Saudi Arabia</v>
      </c>
      <c r="G935" t="str">
        <f>'Data Cleaning'!G935</f>
        <v>Online</v>
      </c>
      <c r="H935" s="2">
        <f>'Data Cleaning'!H935</f>
        <v>149.16</v>
      </c>
      <c r="I935">
        <f>'Data Cleaning'!I935</f>
        <v>18</v>
      </c>
      <c r="J935" s="2">
        <f>'Data Cleaning'!J935</f>
        <v>2684.88</v>
      </c>
    </row>
    <row r="936" spans="1:10" x14ac:dyDescent="0.25">
      <c r="A936" t="str">
        <f>'Data Cleaning'!A936</f>
        <v>S929</v>
      </c>
      <c r="B936" s="113">
        <f>'Data Cleaning'!B936</f>
        <v>45751</v>
      </c>
      <c r="C936" t="str">
        <f>'Data Cleaning'!C936</f>
        <v>Puma</v>
      </c>
      <c r="D936" t="str">
        <f>'Data Cleaning'!D936</f>
        <v>Running</v>
      </c>
      <c r="E936" t="str">
        <f>'Data Cleaning'!E936</f>
        <v>Green</v>
      </c>
      <c r="F936" t="str">
        <f>'Data Cleaning'!F936</f>
        <v>Germany</v>
      </c>
      <c r="G936" t="str">
        <f>'Data Cleaning'!G936</f>
        <v>Mall</v>
      </c>
      <c r="H936" s="2">
        <f>'Data Cleaning'!H936</f>
        <v>169.37</v>
      </c>
      <c r="I936">
        <f>'Data Cleaning'!I936</f>
        <v>5</v>
      </c>
      <c r="J936" s="2">
        <f>'Data Cleaning'!J936</f>
        <v>846.85</v>
      </c>
    </row>
    <row r="937" spans="1:10" x14ac:dyDescent="0.25">
      <c r="A937" t="str">
        <f>'Data Cleaning'!A937</f>
        <v>S930</v>
      </c>
      <c r="B937" s="113">
        <f>'Data Cleaning'!B937</f>
        <v>45889</v>
      </c>
      <c r="C937" t="str">
        <f>'Data Cleaning'!C937</f>
        <v>Skechers</v>
      </c>
      <c r="D937" t="str">
        <f>'Data Cleaning'!D937</f>
        <v>Sneakers</v>
      </c>
      <c r="E937" t="str">
        <f>'Data Cleaning'!E937</f>
        <v>Red</v>
      </c>
      <c r="F937" t="str">
        <f>'Data Cleaning'!F937</f>
        <v>UK</v>
      </c>
      <c r="G937" t="str">
        <f>'Data Cleaning'!G937</f>
        <v>Retail Store</v>
      </c>
      <c r="H937" s="2">
        <f>'Data Cleaning'!H937</f>
        <v>86.74</v>
      </c>
      <c r="I937">
        <f>'Data Cleaning'!I937</f>
        <v>9</v>
      </c>
      <c r="J937" s="2">
        <f>'Data Cleaning'!J937</f>
        <v>780.66</v>
      </c>
    </row>
    <row r="938" spans="1:10" x14ac:dyDescent="0.25">
      <c r="A938" t="str">
        <f>'Data Cleaning'!A938</f>
        <v>S931</v>
      </c>
      <c r="B938" s="113">
        <f>'Data Cleaning'!B938</f>
        <v>45667</v>
      </c>
      <c r="C938" t="str">
        <f>'Data Cleaning'!C938</f>
        <v>Nike</v>
      </c>
      <c r="D938" t="str">
        <f>'Data Cleaning'!D938</f>
        <v>Sneakers</v>
      </c>
      <c r="E938" t="str">
        <f>'Data Cleaning'!E938</f>
        <v>Black</v>
      </c>
      <c r="F938" t="str">
        <f>'Data Cleaning'!F938</f>
        <v>UK</v>
      </c>
      <c r="G938" t="str">
        <f>'Data Cleaning'!G938</f>
        <v>Online</v>
      </c>
      <c r="H938" s="2">
        <f>'Data Cleaning'!H938</f>
        <v>60.66</v>
      </c>
      <c r="I938">
        <f>'Data Cleaning'!I938</f>
        <v>5</v>
      </c>
      <c r="J938" s="2">
        <f>'Data Cleaning'!J938</f>
        <v>303.3</v>
      </c>
    </row>
    <row r="939" spans="1:10" x14ac:dyDescent="0.25">
      <c r="A939" t="str">
        <f>'Data Cleaning'!A939</f>
        <v>S932</v>
      </c>
      <c r="B939" s="113">
        <f>'Data Cleaning'!B939</f>
        <v>45802</v>
      </c>
      <c r="C939" t="str">
        <f>'Data Cleaning'!C939</f>
        <v>Adidas</v>
      </c>
      <c r="D939" t="str">
        <f>'Data Cleaning'!D939</f>
        <v>Boots</v>
      </c>
      <c r="E939" t="str">
        <f>'Data Cleaning'!E939</f>
        <v>Red</v>
      </c>
      <c r="F939" t="str">
        <f>'Data Cleaning'!F939</f>
        <v>UAE</v>
      </c>
      <c r="G939" t="str">
        <f>'Data Cleaning'!G939</f>
        <v>Online</v>
      </c>
      <c r="H939" s="2">
        <f>'Data Cleaning'!H939</f>
        <v>213.68</v>
      </c>
      <c r="I939">
        <f>'Data Cleaning'!I939</f>
        <v>9</v>
      </c>
      <c r="J939" s="2">
        <f>'Data Cleaning'!J939</f>
        <v>1923.12</v>
      </c>
    </row>
    <row r="940" spans="1:10" x14ac:dyDescent="0.25">
      <c r="A940" t="str">
        <f>'Data Cleaning'!A940</f>
        <v>S933</v>
      </c>
      <c r="B940" s="113">
        <f>'Data Cleaning'!B940</f>
        <v>45777</v>
      </c>
      <c r="C940" t="str">
        <f>'Data Cleaning'!C940</f>
        <v>Adidas</v>
      </c>
      <c r="D940" t="str">
        <f>'Data Cleaning'!D940</f>
        <v>Running</v>
      </c>
      <c r="E940" t="str">
        <f>'Data Cleaning'!E940</f>
        <v>Red</v>
      </c>
      <c r="F940" t="str">
        <f>'Data Cleaning'!F940</f>
        <v>UK</v>
      </c>
      <c r="G940" t="str">
        <f>'Data Cleaning'!G940</f>
        <v>Retail Store</v>
      </c>
      <c r="H940" s="2">
        <f>'Data Cleaning'!H940</f>
        <v>246.57</v>
      </c>
      <c r="I940">
        <f>'Data Cleaning'!I940</f>
        <v>3</v>
      </c>
      <c r="J940" s="2">
        <f>'Data Cleaning'!J940</f>
        <v>739.71</v>
      </c>
    </row>
    <row r="941" spans="1:10" x14ac:dyDescent="0.25">
      <c r="A941" t="str">
        <f>'Data Cleaning'!A941</f>
        <v>S934</v>
      </c>
      <c r="B941" s="113">
        <f>'Data Cleaning'!B941</f>
        <v>45873</v>
      </c>
      <c r="C941" t="str">
        <f>'Data Cleaning'!C941</f>
        <v>Reebok</v>
      </c>
      <c r="D941" t="str">
        <f>'Data Cleaning'!D941</f>
        <v>Sports</v>
      </c>
      <c r="E941" t="str">
        <f>'Data Cleaning'!E941</f>
        <v>Red</v>
      </c>
      <c r="F941" t="str">
        <f>'Data Cleaning'!F941</f>
        <v>UAE</v>
      </c>
      <c r="G941" t="str">
        <f>'Data Cleaning'!G941</f>
        <v>Online</v>
      </c>
      <c r="H941" s="2">
        <f>'Data Cleaning'!H941</f>
        <v>145.65</v>
      </c>
      <c r="I941">
        <f>'Data Cleaning'!I941</f>
        <v>10</v>
      </c>
      <c r="J941" s="2">
        <f>'Data Cleaning'!J941</f>
        <v>1456.5</v>
      </c>
    </row>
    <row r="942" spans="1:10" x14ac:dyDescent="0.25">
      <c r="A942" t="str">
        <f>'Data Cleaning'!A942</f>
        <v>S935</v>
      </c>
      <c r="B942" s="113">
        <f>'Data Cleaning'!B942</f>
        <v>45827</v>
      </c>
      <c r="C942" t="str">
        <f>'Data Cleaning'!C942</f>
        <v>Adidas</v>
      </c>
      <c r="D942" t="str">
        <f>'Data Cleaning'!D942</f>
        <v>Running</v>
      </c>
      <c r="E942" t="str">
        <f>'Data Cleaning'!E942</f>
        <v>Blue</v>
      </c>
      <c r="F942" t="str">
        <f>'Data Cleaning'!F942</f>
        <v>Saudi Arabia</v>
      </c>
      <c r="G942" t="str">
        <f>'Data Cleaning'!G942</f>
        <v>Retail Store</v>
      </c>
      <c r="H942" s="2">
        <f>'Data Cleaning'!H942</f>
        <v>67.77</v>
      </c>
      <c r="I942">
        <f>'Data Cleaning'!I942</f>
        <v>3</v>
      </c>
      <c r="J942" s="2">
        <f>'Data Cleaning'!J942</f>
        <v>203.31</v>
      </c>
    </row>
    <row r="943" spans="1:10" x14ac:dyDescent="0.25">
      <c r="A943" t="str">
        <f>'Data Cleaning'!A943</f>
        <v>S936</v>
      </c>
      <c r="B943" s="113">
        <f>'Data Cleaning'!B943</f>
        <v>45694</v>
      </c>
      <c r="C943" t="str">
        <f>'Data Cleaning'!C943</f>
        <v>Reebok</v>
      </c>
      <c r="D943" t="str">
        <f>'Data Cleaning'!D943</f>
        <v>Casual</v>
      </c>
      <c r="E943" t="str">
        <f>'Data Cleaning'!E943</f>
        <v>White</v>
      </c>
      <c r="F943" t="str">
        <f>'Data Cleaning'!F943</f>
        <v>Saudi Arabia</v>
      </c>
      <c r="G943" t="str">
        <f>'Data Cleaning'!G943</f>
        <v>Retail Store</v>
      </c>
      <c r="H943" s="2">
        <f>'Data Cleaning'!H943</f>
        <v>89.91</v>
      </c>
      <c r="I943">
        <f>'Data Cleaning'!I943</f>
        <v>18</v>
      </c>
      <c r="J943" s="2">
        <f>'Data Cleaning'!J943</f>
        <v>1618.38</v>
      </c>
    </row>
    <row r="944" spans="1:10" x14ac:dyDescent="0.25">
      <c r="A944" t="str">
        <f>'Data Cleaning'!A944</f>
        <v>S937</v>
      </c>
      <c r="B944" s="113">
        <f>'Data Cleaning'!B944</f>
        <v>45853</v>
      </c>
      <c r="C944" t="str">
        <f>'Data Cleaning'!C944</f>
        <v>Nike</v>
      </c>
      <c r="D944" t="str">
        <f>'Data Cleaning'!D944</f>
        <v>Boots</v>
      </c>
      <c r="E944" t="str">
        <f>'Data Cleaning'!E944</f>
        <v>White</v>
      </c>
      <c r="F944" t="str">
        <f>'Data Cleaning'!F944</f>
        <v>Germany</v>
      </c>
      <c r="G944" t="str">
        <f>'Data Cleaning'!G944</f>
        <v>Retail Store</v>
      </c>
      <c r="H944" s="2">
        <f>'Data Cleaning'!H944</f>
        <v>34.049999999999997</v>
      </c>
      <c r="I944">
        <f>'Data Cleaning'!I944</f>
        <v>1</v>
      </c>
      <c r="J944" s="2">
        <f>'Data Cleaning'!J944</f>
        <v>34.049999999999997</v>
      </c>
    </row>
    <row r="945" spans="1:10" x14ac:dyDescent="0.25">
      <c r="A945" t="str">
        <f>'Data Cleaning'!A945</f>
        <v>S938</v>
      </c>
      <c r="B945" s="113">
        <f>'Data Cleaning'!B945</f>
        <v>45784</v>
      </c>
      <c r="C945" t="str">
        <f>'Data Cleaning'!C945</f>
        <v>Adidas</v>
      </c>
      <c r="D945" t="str">
        <f>'Data Cleaning'!D945</f>
        <v>Formal</v>
      </c>
      <c r="E945" t="str">
        <f>'Data Cleaning'!E945</f>
        <v>Green</v>
      </c>
      <c r="F945" t="str">
        <f>'Data Cleaning'!F945</f>
        <v>Saudi Arabia</v>
      </c>
      <c r="G945" t="str">
        <f>'Data Cleaning'!G945</f>
        <v>Online</v>
      </c>
      <c r="H945" s="2">
        <f>'Data Cleaning'!H945</f>
        <v>231.15</v>
      </c>
      <c r="I945">
        <f>'Data Cleaning'!I945</f>
        <v>2</v>
      </c>
      <c r="J945" s="2">
        <f>'Data Cleaning'!J945</f>
        <v>462.3</v>
      </c>
    </row>
    <row r="946" spans="1:10" x14ac:dyDescent="0.25">
      <c r="A946" t="str">
        <f>'Data Cleaning'!A946</f>
        <v>S939</v>
      </c>
      <c r="B946" s="113">
        <f>'Data Cleaning'!B946</f>
        <v>45924</v>
      </c>
      <c r="C946" t="str">
        <f>'Data Cleaning'!C946</f>
        <v>Reebok</v>
      </c>
      <c r="D946" t="str">
        <f>'Data Cleaning'!D946</f>
        <v>Formal</v>
      </c>
      <c r="E946" t="str">
        <f>'Data Cleaning'!E946</f>
        <v>Green</v>
      </c>
      <c r="F946" t="str">
        <f>'Data Cleaning'!F946</f>
        <v>France</v>
      </c>
      <c r="G946" t="str">
        <f>'Data Cleaning'!G946</f>
        <v>Retail Store</v>
      </c>
      <c r="H946" s="2">
        <f>'Data Cleaning'!H946</f>
        <v>55.91</v>
      </c>
      <c r="I946">
        <f>'Data Cleaning'!I946</f>
        <v>7</v>
      </c>
      <c r="J946" s="2">
        <f>'Data Cleaning'!J946</f>
        <v>391.37</v>
      </c>
    </row>
    <row r="947" spans="1:10" x14ac:dyDescent="0.25">
      <c r="A947" t="str">
        <f>'Data Cleaning'!A947</f>
        <v>S940</v>
      </c>
      <c r="B947" s="113">
        <f>'Data Cleaning'!B947</f>
        <v>45739</v>
      </c>
      <c r="C947" t="str">
        <f>'Data Cleaning'!C947</f>
        <v>Skechers</v>
      </c>
      <c r="D947" t="str">
        <f>'Data Cleaning'!D947</f>
        <v>Sneakers</v>
      </c>
      <c r="E947" t="str">
        <f>'Data Cleaning'!E947</f>
        <v>Grey</v>
      </c>
      <c r="F947" t="str">
        <f>'Data Cleaning'!F947</f>
        <v>USA</v>
      </c>
      <c r="G947" t="str">
        <f>'Data Cleaning'!G947</f>
        <v>Retail Store</v>
      </c>
      <c r="H947" s="2">
        <f>'Data Cleaning'!H947</f>
        <v>156.83000000000001</v>
      </c>
      <c r="I947">
        <f>'Data Cleaning'!I947</f>
        <v>2</v>
      </c>
      <c r="J947" s="2">
        <f>'Data Cleaning'!J947</f>
        <v>313.66000000000003</v>
      </c>
    </row>
    <row r="948" spans="1:10" x14ac:dyDescent="0.25">
      <c r="A948" t="str">
        <f>'Data Cleaning'!A948</f>
        <v>S941</v>
      </c>
      <c r="B948" s="113">
        <f>'Data Cleaning'!B948</f>
        <v>45904</v>
      </c>
      <c r="C948" t="str">
        <f>'Data Cleaning'!C948</f>
        <v>Adidas</v>
      </c>
      <c r="D948" t="str">
        <f>'Data Cleaning'!D948</f>
        <v>Sports</v>
      </c>
      <c r="E948" t="str">
        <f>'Data Cleaning'!E948</f>
        <v>Black</v>
      </c>
      <c r="F948" t="str">
        <f>'Data Cleaning'!F948</f>
        <v>Saudi Arabia</v>
      </c>
      <c r="G948" t="str">
        <f>'Data Cleaning'!G948</f>
        <v>Mall</v>
      </c>
      <c r="H948" s="2">
        <f>'Data Cleaning'!H948</f>
        <v>90.29</v>
      </c>
      <c r="I948">
        <f>'Data Cleaning'!I948</f>
        <v>10</v>
      </c>
      <c r="J948" s="2">
        <f>'Data Cleaning'!J948</f>
        <v>902.9</v>
      </c>
    </row>
    <row r="949" spans="1:10" x14ac:dyDescent="0.25">
      <c r="A949" t="str">
        <f>'Data Cleaning'!A949</f>
        <v>S942</v>
      </c>
      <c r="B949" s="113">
        <f>'Data Cleaning'!B949</f>
        <v>45769</v>
      </c>
      <c r="C949" t="str">
        <f>'Data Cleaning'!C949</f>
        <v>Adidas</v>
      </c>
      <c r="D949" t="str">
        <f>'Data Cleaning'!D949</f>
        <v>Boots</v>
      </c>
      <c r="E949" t="str">
        <f>'Data Cleaning'!E949</f>
        <v>Red</v>
      </c>
      <c r="F949" t="str">
        <f>'Data Cleaning'!F949</f>
        <v>France</v>
      </c>
      <c r="G949" t="str">
        <f>'Data Cleaning'!G949</f>
        <v>Online</v>
      </c>
      <c r="H949" s="2">
        <f>'Data Cleaning'!H949</f>
        <v>151.91999999999999</v>
      </c>
      <c r="I949">
        <f>'Data Cleaning'!I949</f>
        <v>4</v>
      </c>
      <c r="J949" s="2">
        <f>'Data Cleaning'!J949</f>
        <v>607.67999999999995</v>
      </c>
    </row>
    <row r="950" spans="1:10" x14ac:dyDescent="0.25">
      <c r="A950" t="str">
        <f>'Data Cleaning'!A950</f>
        <v>S943</v>
      </c>
      <c r="B950" s="113">
        <f>'Data Cleaning'!B950</f>
        <v>45743</v>
      </c>
      <c r="C950" t="str">
        <f>'Data Cleaning'!C950</f>
        <v>New Balance</v>
      </c>
      <c r="D950" t="str">
        <f>'Data Cleaning'!D950</f>
        <v>Running</v>
      </c>
      <c r="E950" t="str">
        <f>'Data Cleaning'!E950</f>
        <v>Red</v>
      </c>
      <c r="F950" t="str">
        <f>'Data Cleaning'!F950</f>
        <v>Saudi Arabia</v>
      </c>
      <c r="G950" t="str">
        <f>'Data Cleaning'!G950</f>
        <v>Online</v>
      </c>
      <c r="H950" s="2">
        <f>'Data Cleaning'!H950</f>
        <v>173.31</v>
      </c>
      <c r="I950">
        <f>'Data Cleaning'!I950</f>
        <v>9</v>
      </c>
      <c r="J950" s="2">
        <f>'Data Cleaning'!J950</f>
        <v>1559.79</v>
      </c>
    </row>
    <row r="951" spans="1:10" x14ac:dyDescent="0.25">
      <c r="A951" t="str">
        <f>'Data Cleaning'!A951</f>
        <v>S944</v>
      </c>
      <c r="B951" s="113">
        <f>'Data Cleaning'!B951</f>
        <v>45662</v>
      </c>
      <c r="C951" t="str">
        <f>'Data Cleaning'!C951</f>
        <v>New Balance</v>
      </c>
      <c r="D951" t="str">
        <f>'Data Cleaning'!D951</f>
        <v>Boots</v>
      </c>
      <c r="E951" t="str">
        <f>'Data Cleaning'!E951</f>
        <v>Red</v>
      </c>
      <c r="F951" t="str">
        <f>'Data Cleaning'!F951</f>
        <v>UAE</v>
      </c>
      <c r="G951" t="str">
        <f>'Data Cleaning'!G951</f>
        <v>Mall</v>
      </c>
      <c r="H951" s="2">
        <f>'Data Cleaning'!H951</f>
        <v>212.54</v>
      </c>
      <c r="I951">
        <f>'Data Cleaning'!I951</f>
        <v>2</v>
      </c>
      <c r="J951" s="2">
        <f>'Data Cleaning'!J951</f>
        <v>425.08</v>
      </c>
    </row>
    <row r="952" spans="1:10" x14ac:dyDescent="0.25">
      <c r="A952" t="str">
        <f>'Data Cleaning'!A952</f>
        <v>S945</v>
      </c>
      <c r="B952" s="113">
        <f>'Data Cleaning'!B952</f>
        <v>45737</v>
      </c>
      <c r="C952" t="str">
        <f>'Data Cleaning'!C952</f>
        <v>Nike</v>
      </c>
      <c r="D952" t="str">
        <f>'Data Cleaning'!D952</f>
        <v>Casual</v>
      </c>
      <c r="E952" t="str">
        <f>'Data Cleaning'!E952</f>
        <v>White</v>
      </c>
      <c r="F952" t="str">
        <f>'Data Cleaning'!F952</f>
        <v>Germany</v>
      </c>
      <c r="G952" t="str">
        <f>'Data Cleaning'!G952</f>
        <v>Online</v>
      </c>
      <c r="H952" s="2">
        <f>'Data Cleaning'!H952</f>
        <v>75.41</v>
      </c>
      <c r="I952">
        <f>'Data Cleaning'!I952</f>
        <v>12</v>
      </c>
      <c r="J952" s="2">
        <f>'Data Cleaning'!J952</f>
        <v>904.92</v>
      </c>
    </row>
    <row r="953" spans="1:10" x14ac:dyDescent="0.25">
      <c r="A953" t="str">
        <f>'Data Cleaning'!A953</f>
        <v>S946</v>
      </c>
      <c r="B953" s="113">
        <f>'Data Cleaning'!B953</f>
        <v>46009</v>
      </c>
      <c r="C953" t="str">
        <f>'Data Cleaning'!C953</f>
        <v>Puma</v>
      </c>
      <c r="D953" t="str">
        <f>'Data Cleaning'!D953</f>
        <v>Boots</v>
      </c>
      <c r="E953" t="str">
        <f>'Data Cleaning'!E953</f>
        <v>Black</v>
      </c>
      <c r="F953" t="str">
        <f>'Data Cleaning'!F953</f>
        <v>USA</v>
      </c>
      <c r="G953" t="str">
        <f>'Data Cleaning'!G953</f>
        <v>Retail Store</v>
      </c>
      <c r="H953" s="2">
        <f>'Data Cleaning'!H953</f>
        <v>32.42</v>
      </c>
      <c r="I953">
        <f>'Data Cleaning'!I953</f>
        <v>20</v>
      </c>
      <c r="J953" s="2">
        <f>'Data Cleaning'!J953</f>
        <v>648.4</v>
      </c>
    </row>
    <row r="954" spans="1:10" x14ac:dyDescent="0.25">
      <c r="A954" t="str">
        <f>'Data Cleaning'!A954</f>
        <v>S947</v>
      </c>
      <c r="B954" s="113">
        <f>'Data Cleaning'!B954</f>
        <v>45988</v>
      </c>
      <c r="C954" t="str">
        <f>'Data Cleaning'!C954</f>
        <v>Skechers</v>
      </c>
      <c r="D954" t="str">
        <f>'Data Cleaning'!D954</f>
        <v>Sneakers</v>
      </c>
      <c r="E954" t="str">
        <f>'Data Cleaning'!E954</f>
        <v>Black</v>
      </c>
      <c r="F954" t="str">
        <f>'Data Cleaning'!F954</f>
        <v>UK</v>
      </c>
      <c r="G954" t="str">
        <f>'Data Cleaning'!G954</f>
        <v>Retail Store</v>
      </c>
      <c r="H954" s="2">
        <f>'Data Cleaning'!H954</f>
        <v>60.11</v>
      </c>
      <c r="I954">
        <f>'Data Cleaning'!I954</f>
        <v>5</v>
      </c>
      <c r="J954" s="2">
        <f>'Data Cleaning'!J954</f>
        <v>300.55</v>
      </c>
    </row>
    <row r="955" spans="1:10" x14ac:dyDescent="0.25">
      <c r="A955" t="str">
        <f>'Data Cleaning'!A955</f>
        <v>S948</v>
      </c>
      <c r="B955" s="113">
        <f>'Data Cleaning'!B955</f>
        <v>45777</v>
      </c>
      <c r="C955" t="str">
        <f>'Data Cleaning'!C955</f>
        <v>New Balance</v>
      </c>
      <c r="D955" t="str">
        <f>'Data Cleaning'!D955</f>
        <v>Boots</v>
      </c>
      <c r="E955" t="str">
        <f>'Data Cleaning'!E955</f>
        <v>Blue</v>
      </c>
      <c r="F955" t="str">
        <f>'Data Cleaning'!F955</f>
        <v>Saudi Arabia</v>
      </c>
      <c r="G955" t="str">
        <f>'Data Cleaning'!G955</f>
        <v>Retail Store</v>
      </c>
      <c r="H955" s="2">
        <f>'Data Cleaning'!H955</f>
        <v>228</v>
      </c>
      <c r="I955">
        <f>'Data Cleaning'!I955</f>
        <v>11</v>
      </c>
      <c r="J955" s="2">
        <f>'Data Cleaning'!J955</f>
        <v>2508</v>
      </c>
    </row>
    <row r="956" spans="1:10" x14ac:dyDescent="0.25">
      <c r="A956" t="str">
        <f>'Data Cleaning'!A956</f>
        <v>S949</v>
      </c>
      <c r="B956" s="113">
        <f>'Data Cleaning'!B956</f>
        <v>45756</v>
      </c>
      <c r="C956" t="str">
        <f>'Data Cleaning'!C956</f>
        <v>Skechers</v>
      </c>
      <c r="D956" t="str">
        <f>'Data Cleaning'!D956</f>
        <v>Formal</v>
      </c>
      <c r="E956" t="str">
        <f>'Data Cleaning'!E956</f>
        <v>Blue</v>
      </c>
      <c r="F956" t="str">
        <f>'Data Cleaning'!F956</f>
        <v>UAE</v>
      </c>
      <c r="G956" t="str">
        <f>'Data Cleaning'!G956</f>
        <v>Online</v>
      </c>
      <c r="H956" s="2">
        <f>'Data Cleaning'!H956</f>
        <v>222.26</v>
      </c>
      <c r="I956">
        <f>'Data Cleaning'!I956</f>
        <v>1</v>
      </c>
      <c r="J956" s="2">
        <f>'Data Cleaning'!J956</f>
        <v>222.26</v>
      </c>
    </row>
    <row r="957" spans="1:10" x14ac:dyDescent="0.25">
      <c r="A957" t="str">
        <f>'Data Cleaning'!A957</f>
        <v>S950</v>
      </c>
      <c r="B957" s="113">
        <f>'Data Cleaning'!B957</f>
        <v>45786</v>
      </c>
      <c r="C957" t="str">
        <f>'Data Cleaning'!C957</f>
        <v>Reebok</v>
      </c>
      <c r="D957" t="str">
        <f>'Data Cleaning'!D957</f>
        <v>Boots</v>
      </c>
      <c r="E957" t="str">
        <f>'Data Cleaning'!E957</f>
        <v>Red</v>
      </c>
      <c r="F957" t="str">
        <f>'Data Cleaning'!F957</f>
        <v>India</v>
      </c>
      <c r="G957" t="str">
        <f>'Data Cleaning'!G957</f>
        <v>Retail Store</v>
      </c>
      <c r="H957" s="2">
        <f>'Data Cleaning'!H957</f>
        <v>161.43</v>
      </c>
      <c r="I957">
        <f>'Data Cleaning'!I957</f>
        <v>2</v>
      </c>
      <c r="J957" s="2">
        <f>'Data Cleaning'!J957</f>
        <v>322.86</v>
      </c>
    </row>
    <row r="958" spans="1:10" x14ac:dyDescent="0.25">
      <c r="A958" t="str">
        <f>'Data Cleaning'!A958</f>
        <v>S951</v>
      </c>
      <c r="B958" s="113">
        <f>'Data Cleaning'!B958</f>
        <v>45935</v>
      </c>
      <c r="C958" t="str">
        <f>'Data Cleaning'!C958</f>
        <v>Adidas</v>
      </c>
      <c r="D958" t="str">
        <f>'Data Cleaning'!D958</f>
        <v>Sneakers</v>
      </c>
      <c r="E958" t="str">
        <f>'Data Cleaning'!E958</f>
        <v>White</v>
      </c>
      <c r="F958" t="str">
        <f>'Data Cleaning'!F958</f>
        <v>India</v>
      </c>
      <c r="G958" t="str">
        <f>'Data Cleaning'!G958</f>
        <v>Retail Store</v>
      </c>
      <c r="H958" s="2">
        <f>'Data Cleaning'!H958</f>
        <v>162.11000000000001</v>
      </c>
      <c r="I958">
        <f>'Data Cleaning'!I958</f>
        <v>16</v>
      </c>
      <c r="J958" s="2">
        <f>'Data Cleaning'!J958</f>
        <v>2593.7600000000002</v>
      </c>
    </row>
    <row r="959" spans="1:10" x14ac:dyDescent="0.25">
      <c r="A959" t="str">
        <f>'Data Cleaning'!A959</f>
        <v>S952</v>
      </c>
      <c r="B959" s="113">
        <f>'Data Cleaning'!B959</f>
        <v>45823</v>
      </c>
      <c r="C959" t="str">
        <f>'Data Cleaning'!C959</f>
        <v>Puma</v>
      </c>
      <c r="D959" t="str">
        <f>'Data Cleaning'!D959</f>
        <v>Sneakers</v>
      </c>
      <c r="E959" t="str">
        <f>'Data Cleaning'!E959</f>
        <v>Grey</v>
      </c>
      <c r="F959" t="str">
        <f>'Data Cleaning'!F959</f>
        <v>UK</v>
      </c>
      <c r="G959" t="str">
        <f>'Data Cleaning'!G959</f>
        <v>Online</v>
      </c>
      <c r="H959" s="2">
        <f>'Data Cleaning'!H959</f>
        <v>176.31</v>
      </c>
      <c r="I959">
        <f>'Data Cleaning'!I959</f>
        <v>15</v>
      </c>
      <c r="J959" s="2">
        <f>'Data Cleaning'!J959</f>
        <v>2644.65</v>
      </c>
    </row>
    <row r="960" spans="1:10" x14ac:dyDescent="0.25">
      <c r="A960" t="str">
        <f>'Data Cleaning'!A960</f>
        <v>S953</v>
      </c>
      <c r="B960" s="113">
        <f>'Data Cleaning'!B960</f>
        <v>45929</v>
      </c>
      <c r="C960" t="str">
        <f>'Data Cleaning'!C960</f>
        <v>Reebok</v>
      </c>
      <c r="D960" t="str">
        <f>'Data Cleaning'!D960</f>
        <v>Sports</v>
      </c>
      <c r="E960" t="str">
        <f>'Data Cleaning'!E960</f>
        <v>Blue</v>
      </c>
      <c r="F960" t="str">
        <f>'Data Cleaning'!F960</f>
        <v>India</v>
      </c>
      <c r="G960" t="str">
        <f>'Data Cleaning'!G960</f>
        <v>Retail Store</v>
      </c>
      <c r="H960" s="2">
        <f>'Data Cleaning'!H960</f>
        <v>68.58</v>
      </c>
      <c r="I960">
        <f>'Data Cleaning'!I960</f>
        <v>5</v>
      </c>
      <c r="J960" s="2">
        <f>'Data Cleaning'!J960</f>
        <v>342.9</v>
      </c>
    </row>
    <row r="961" spans="1:10" x14ac:dyDescent="0.25">
      <c r="A961" t="str">
        <f>'Data Cleaning'!A961</f>
        <v>S954</v>
      </c>
      <c r="B961" s="113">
        <f>'Data Cleaning'!B961</f>
        <v>45890</v>
      </c>
      <c r="C961" t="str">
        <f>'Data Cleaning'!C961</f>
        <v>Skechers</v>
      </c>
      <c r="D961" t="str">
        <f>'Data Cleaning'!D961</f>
        <v>Sneakers</v>
      </c>
      <c r="E961" t="str">
        <f>'Data Cleaning'!E961</f>
        <v>Red</v>
      </c>
      <c r="F961" t="str">
        <f>'Data Cleaning'!F961</f>
        <v>UAE</v>
      </c>
      <c r="G961" t="str">
        <f>'Data Cleaning'!G961</f>
        <v>Online</v>
      </c>
      <c r="H961" s="2">
        <f>'Data Cleaning'!H961</f>
        <v>231.17</v>
      </c>
      <c r="I961">
        <f>'Data Cleaning'!I961</f>
        <v>1</v>
      </c>
      <c r="J961" s="2">
        <f>'Data Cleaning'!J961</f>
        <v>231.17</v>
      </c>
    </row>
    <row r="962" spans="1:10" x14ac:dyDescent="0.25">
      <c r="A962" t="str">
        <f>'Data Cleaning'!A962</f>
        <v>S955</v>
      </c>
      <c r="B962" s="113">
        <f>'Data Cleaning'!B962</f>
        <v>45667</v>
      </c>
      <c r="C962" t="str">
        <f>'Data Cleaning'!C962</f>
        <v>Puma</v>
      </c>
      <c r="D962" t="str">
        <f>'Data Cleaning'!D962</f>
        <v>Sneakers</v>
      </c>
      <c r="E962" t="str">
        <f>'Data Cleaning'!E962</f>
        <v>White</v>
      </c>
      <c r="F962" t="str">
        <f>'Data Cleaning'!F962</f>
        <v>France</v>
      </c>
      <c r="G962" t="str">
        <f>'Data Cleaning'!G962</f>
        <v>Mall</v>
      </c>
      <c r="H962" s="2">
        <f>'Data Cleaning'!H962</f>
        <v>122.13</v>
      </c>
      <c r="I962">
        <f>'Data Cleaning'!I962</f>
        <v>20</v>
      </c>
      <c r="J962" s="2">
        <f>'Data Cleaning'!J962</f>
        <v>2442.6</v>
      </c>
    </row>
    <row r="963" spans="1:10" x14ac:dyDescent="0.25">
      <c r="A963" t="str">
        <f>'Data Cleaning'!A963</f>
        <v>S956</v>
      </c>
      <c r="B963" s="113">
        <f>'Data Cleaning'!B963</f>
        <v>45690</v>
      </c>
      <c r="C963" t="str">
        <f>'Data Cleaning'!C963</f>
        <v>Reebok</v>
      </c>
      <c r="D963" t="str">
        <f>'Data Cleaning'!D963</f>
        <v>Casual</v>
      </c>
      <c r="E963" t="str">
        <f>'Data Cleaning'!E963</f>
        <v>Grey</v>
      </c>
      <c r="F963" t="str">
        <f>'Data Cleaning'!F963</f>
        <v>UAE</v>
      </c>
      <c r="G963" t="str">
        <f>'Data Cleaning'!G963</f>
        <v>Retail Store</v>
      </c>
      <c r="H963" s="2">
        <f>'Data Cleaning'!H963</f>
        <v>114.29</v>
      </c>
      <c r="I963">
        <f>'Data Cleaning'!I963</f>
        <v>18</v>
      </c>
      <c r="J963" s="2">
        <f>'Data Cleaning'!J963</f>
        <v>2057.2199999999998</v>
      </c>
    </row>
    <row r="964" spans="1:10" x14ac:dyDescent="0.25">
      <c r="A964" t="str">
        <f>'Data Cleaning'!A964</f>
        <v>S957</v>
      </c>
      <c r="B964" s="113">
        <f>'Data Cleaning'!B964</f>
        <v>45940</v>
      </c>
      <c r="C964" t="str">
        <f>'Data Cleaning'!C964</f>
        <v>New Balance</v>
      </c>
      <c r="D964" t="str">
        <f>'Data Cleaning'!D964</f>
        <v>Sports</v>
      </c>
      <c r="E964" t="str">
        <f>'Data Cleaning'!E964</f>
        <v>Blue</v>
      </c>
      <c r="F964" t="str">
        <f>'Data Cleaning'!F964</f>
        <v>Germany</v>
      </c>
      <c r="G964" t="str">
        <f>'Data Cleaning'!G964</f>
        <v>Mall</v>
      </c>
      <c r="H964" s="2">
        <f>'Data Cleaning'!H964</f>
        <v>144.16</v>
      </c>
      <c r="I964">
        <f>'Data Cleaning'!I964</f>
        <v>5</v>
      </c>
      <c r="J964" s="2">
        <f>'Data Cleaning'!J964</f>
        <v>720.8</v>
      </c>
    </row>
    <row r="965" spans="1:10" x14ac:dyDescent="0.25">
      <c r="A965" t="str">
        <f>'Data Cleaning'!A965</f>
        <v>S958</v>
      </c>
      <c r="B965" s="113">
        <f>'Data Cleaning'!B965</f>
        <v>45822</v>
      </c>
      <c r="C965" t="str">
        <f>'Data Cleaning'!C965</f>
        <v>Nike</v>
      </c>
      <c r="D965" t="str">
        <f>'Data Cleaning'!D965</f>
        <v>Sneakers</v>
      </c>
      <c r="E965" t="str">
        <f>'Data Cleaning'!E965</f>
        <v>Green</v>
      </c>
      <c r="F965" t="str">
        <f>'Data Cleaning'!F965</f>
        <v>USA</v>
      </c>
      <c r="G965" t="str">
        <f>'Data Cleaning'!G965</f>
        <v>Online</v>
      </c>
      <c r="H965" s="2">
        <f>'Data Cleaning'!H965</f>
        <v>40.33</v>
      </c>
      <c r="I965">
        <f>'Data Cleaning'!I965</f>
        <v>4</v>
      </c>
      <c r="J965" s="2">
        <f>'Data Cleaning'!J965</f>
        <v>161.32</v>
      </c>
    </row>
    <row r="966" spans="1:10" x14ac:dyDescent="0.25">
      <c r="A966" t="str">
        <f>'Data Cleaning'!A966</f>
        <v>S959</v>
      </c>
      <c r="B966" s="113">
        <f>'Data Cleaning'!B966</f>
        <v>45724</v>
      </c>
      <c r="C966" t="str">
        <f>'Data Cleaning'!C966</f>
        <v>Nike</v>
      </c>
      <c r="D966" t="str">
        <f>'Data Cleaning'!D966</f>
        <v>Casual</v>
      </c>
      <c r="E966" t="str">
        <f>'Data Cleaning'!E966</f>
        <v>Black</v>
      </c>
      <c r="F966" t="str">
        <f>'Data Cleaning'!F966</f>
        <v>Germany</v>
      </c>
      <c r="G966" t="str">
        <f>'Data Cleaning'!G966</f>
        <v>Online</v>
      </c>
      <c r="H966" s="2">
        <f>'Data Cleaning'!H966</f>
        <v>66.58</v>
      </c>
      <c r="I966">
        <f>'Data Cleaning'!I966</f>
        <v>6</v>
      </c>
      <c r="J966" s="2">
        <f>'Data Cleaning'!J966</f>
        <v>399.48</v>
      </c>
    </row>
    <row r="967" spans="1:10" x14ac:dyDescent="0.25">
      <c r="A967" t="str">
        <f>'Data Cleaning'!A967</f>
        <v>S960</v>
      </c>
      <c r="B967" s="113">
        <f>'Data Cleaning'!B967</f>
        <v>45708</v>
      </c>
      <c r="C967" t="str">
        <f>'Data Cleaning'!C967</f>
        <v>New Balance</v>
      </c>
      <c r="D967" t="str">
        <f>'Data Cleaning'!D967</f>
        <v>Boots</v>
      </c>
      <c r="E967" t="str">
        <f>'Data Cleaning'!E967</f>
        <v>Red</v>
      </c>
      <c r="F967" t="str">
        <f>'Data Cleaning'!F967</f>
        <v>UAE</v>
      </c>
      <c r="G967" t="str">
        <f>'Data Cleaning'!G967</f>
        <v>Retail Store</v>
      </c>
      <c r="H967" s="2">
        <f>'Data Cleaning'!H967</f>
        <v>192.37</v>
      </c>
      <c r="I967">
        <f>'Data Cleaning'!I967</f>
        <v>2</v>
      </c>
      <c r="J967" s="2">
        <f>'Data Cleaning'!J967</f>
        <v>384.74</v>
      </c>
    </row>
    <row r="968" spans="1:10" x14ac:dyDescent="0.25">
      <c r="A968" t="str">
        <f>'Data Cleaning'!A968</f>
        <v>S961</v>
      </c>
      <c r="B968" s="113">
        <f>'Data Cleaning'!B968</f>
        <v>45927</v>
      </c>
      <c r="C968" t="str">
        <f>'Data Cleaning'!C968</f>
        <v>Skechers</v>
      </c>
      <c r="D968" t="str">
        <f>'Data Cleaning'!D968</f>
        <v>Sneakers</v>
      </c>
      <c r="E968" t="str">
        <f>'Data Cleaning'!E968</f>
        <v>Blue</v>
      </c>
      <c r="F968" t="str">
        <f>'Data Cleaning'!F968</f>
        <v>USA</v>
      </c>
      <c r="G968" t="str">
        <f>'Data Cleaning'!G968</f>
        <v>Retail Store</v>
      </c>
      <c r="H968" s="2">
        <f>'Data Cleaning'!H968</f>
        <v>48.22</v>
      </c>
      <c r="I968">
        <f>'Data Cleaning'!I968</f>
        <v>20</v>
      </c>
      <c r="J968" s="2">
        <f>'Data Cleaning'!J968</f>
        <v>964.4</v>
      </c>
    </row>
    <row r="969" spans="1:10" x14ac:dyDescent="0.25">
      <c r="A969" t="str">
        <f>'Data Cleaning'!A969</f>
        <v>S962</v>
      </c>
      <c r="B969" s="113">
        <f>'Data Cleaning'!B969</f>
        <v>45771</v>
      </c>
      <c r="C969" t="str">
        <f>'Data Cleaning'!C969</f>
        <v>Skechers</v>
      </c>
      <c r="D969" t="str">
        <f>'Data Cleaning'!D969</f>
        <v>Running</v>
      </c>
      <c r="E969" t="str">
        <f>'Data Cleaning'!E969</f>
        <v>Black</v>
      </c>
      <c r="F969" t="str">
        <f>'Data Cleaning'!F969</f>
        <v>UK</v>
      </c>
      <c r="G969" t="str">
        <f>'Data Cleaning'!G969</f>
        <v>Mall</v>
      </c>
      <c r="H969" s="2">
        <f>'Data Cleaning'!H969</f>
        <v>162.69</v>
      </c>
      <c r="I969">
        <f>'Data Cleaning'!I969</f>
        <v>20</v>
      </c>
      <c r="J969" s="2">
        <f>'Data Cleaning'!J969</f>
        <v>3253.8</v>
      </c>
    </row>
    <row r="970" spans="1:10" x14ac:dyDescent="0.25">
      <c r="A970" t="str">
        <f>'Data Cleaning'!A970</f>
        <v>S963</v>
      </c>
      <c r="B970" s="113">
        <f>'Data Cleaning'!B970</f>
        <v>45909</v>
      </c>
      <c r="C970" t="str">
        <f>'Data Cleaning'!C970</f>
        <v>Reebok</v>
      </c>
      <c r="D970" t="str">
        <f>'Data Cleaning'!D970</f>
        <v>Boots</v>
      </c>
      <c r="E970" t="str">
        <f>'Data Cleaning'!E970</f>
        <v>Black</v>
      </c>
      <c r="F970" t="str">
        <f>'Data Cleaning'!F970</f>
        <v>France</v>
      </c>
      <c r="G970" t="str">
        <f>'Data Cleaning'!G970</f>
        <v>Mall</v>
      </c>
      <c r="H970" s="2">
        <f>'Data Cleaning'!H970</f>
        <v>83.98</v>
      </c>
      <c r="I970">
        <f>'Data Cleaning'!I970</f>
        <v>3</v>
      </c>
      <c r="J970" s="2">
        <f>'Data Cleaning'!J970</f>
        <v>251.94</v>
      </c>
    </row>
    <row r="971" spans="1:10" x14ac:dyDescent="0.25">
      <c r="A971" t="str">
        <f>'Data Cleaning'!A971</f>
        <v>S964</v>
      </c>
      <c r="B971" s="113">
        <f>'Data Cleaning'!B971</f>
        <v>45870</v>
      </c>
      <c r="C971" t="str">
        <f>'Data Cleaning'!C971</f>
        <v>Skechers</v>
      </c>
      <c r="D971" t="str">
        <f>'Data Cleaning'!D971</f>
        <v>Running</v>
      </c>
      <c r="E971" t="str">
        <f>'Data Cleaning'!E971</f>
        <v>Grey</v>
      </c>
      <c r="F971" t="str">
        <f>'Data Cleaning'!F971</f>
        <v>France</v>
      </c>
      <c r="G971" t="str">
        <f>'Data Cleaning'!G971</f>
        <v>Mall</v>
      </c>
      <c r="H971" s="2">
        <f>'Data Cleaning'!H971</f>
        <v>115.65</v>
      </c>
      <c r="I971">
        <f>'Data Cleaning'!I971</f>
        <v>12</v>
      </c>
      <c r="J971" s="2">
        <f>'Data Cleaning'!J971</f>
        <v>1387.8</v>
      </c>
    </row>
    <row r="972" spans="1:10" x14ac:dyDescent="0.25">
      <c r="A972" t="str">
        <f>'Data Cleaning'!A972</f>
        <v>S965</v>
      </c>
      <c r="B972" s="113">
        <f>'Data Cleaning'!B972</f>
        <v>45678</v>
      </c>
      <c r="C972" t="str">
        <f>'Data Cleaning'!C972</f>
        <v>Puma</v>
      </c>
      <c r="D972" t="str">
        <f>'Data Cleaning'!D972</f>
        <v>Running</v>
      </c>
      <c r="E972" t="str">
        <f>'Data Cleaning'!E972</f>
        <v>White</v>
      </c>
      <c r="F972" t="str">
        <f>'Data Cleaning'!F972</f>
        <v>India</v>
      </c>
      <c r="G972" t="str">
        <f>'Data Cleaning'!G972</f>
        <v>Online</v>
      </c>
      <c r="H972" s="2">
        <f>'Data Cleaning'!H972</f>
        <v>93.51</v>
      </c>
      <c r="I972">
        <f>'Data Cleaning'!I972</f>
        <v>3</v>
      </c>
      <c r="J972" s="2">
        <f>'Data Cleaning'!J972</f>
        <v>280.52999999999997</v>
      </c>
    </row>
    <row r="973" spans="1:10" x14ac:dyDescent="0.25">
      <c r="A973" t="str">
        <f>'Data Cleaning'!A973</f>
        <v>S966</v>
      </c>
      <c r="B973" s="113">
        <f>'Data Cleaning'!B973</f>
        <v>45709</v>
      </c>
      <c r="C973" t="str">
        <f>'Data Cleaning'!C973</f>
        <v>New Balance</v>
      </c>
      <c r="D973" t="str">
        <f>'Data Cleaning'!D973</f>
        <v>Formal</v>
      </c>
      <c r="E973" t="str">
        <f>'Data Cleaning'!E973</f>
        <v>White</v>
      </c>
      <c r="F973" t="str">
        <f>'Data Cleaning'!F973</f>
        <v>UK</v>
      </c>
      <c r="G973" t="str">
        <f>'Data Cleaning'!G973</f>
        <v>Mall</v>
      </c>
      <c r="H973" s="2">
        <f>'Data Cleaning'!H973</f>
        <v>108.25</v>
      </c>
      <c r="I973">
        <f>'Data Cleaning'!I973</f>
        <v>8</v>
      </c>
      <c r="J973" s="2">
        <f>'Data Cleaning'!J973</f>
        <v>866</v>
      </c>
    </row>
    <row r="974" spans="1:10" x14ac:dyDescent="0.25">
      <c r="A974" t="str">
        <f>'Data Cleaning'!A974</f>
        <v>S967</v>
      </c>
      <c r="B974" s="113">
        <f>'Data Cleaning'!B974</f>
        <v>45994</v>
      </c>
      <c r="C974" t="str">
        <f>'Data Cleaning'!C974</f>
        <v>New Balance</v>
      </c>
      <c r="D974" t="str">
        <f>'Data Cleaning'!D974</f>
        <v>Boots</v>
      </c>
      <c r="E974" t="str">
        <f>'Data Cleaning'!E974</f>
        <v>White</v>
      </c>
      <c r="F974" t="str">
        <f>'Data Cleaning'!F974</f>
        <v>India</v>
      </c>
      <c r="G974" t="str">
        <f>'Data Cleaning'!G974</f>
        <v>Mall</v>
      </c>
      <c r="H974" s="2">
        <f>'Data Cleaning'!H974</f>
        <v>188.19</v>
      </c>
      <c r="I974">
        <f>'Data Cleaning'!I974</f>
        <v>8</v>
      </c>
      <c r="J974" s="2">
        <f>'Data Cleaning'!J974</f>
        <v>1505.52</v>
      </c>
    </row>
    <row r="975" spans="1:10" x14ac:dyDescent="0.25">
      <c r="A975" t="str">
        <f>'Data Cleaning'!A975</f>
        <v>S968</v>
      </c>
      <c r="B975" s="113">
        <f>'Data Cleaning'!B975</f>
        <v>45943</v>
      </c>
      <c r="C975" t="str">
        <f>'Data Cleaning'!C975</f>
        <v>Skechers</v>
      </c>
      <c r="D975" t="str">
        <f>'Data Cleaning'!D975</f>
        <v>Running</v>
      </c>
      <c r="E975" t="str">
        <f>'Data Cleaning'!E975</f>
        <v>Green</v>
      </c>
      <c r="F975" t="str">
        <f>'Data Cleaning'!F975</f>
        <v>India</v>
      </c>
      <c r="G975" t="str">
        <f>'Data Cleaning'!G975</f>
        <v>Retail Store</v>
      </c>
      <c r="H975" s="2">
        <f>'Data Cleaning'!H975</f>
        <v>95.37</v>
      </c>
      <c r="I975">
        <f>'Data Cleaning'!I975</f>
        <v>14</v>
      </c>
      <c r="J975" s="2">
        <f>'Data Cleaning'!J975</f>
        <v>1335.18</v>
      </c>
    </row>
    <row r="976" spans="1:10" x14ac:dyDescent="0.25">
      <c r="A976" t="str">
        <f>'Data Cleaning'!A976</f>
        <v>S969</v>
      </c>
      <c r="B976" s="113">
        <f>'Data Cleaning'!B976</f>
        <v>46003</v>
      </c>
      <c r="C976" t="str">
        <f>'Data Cleaning'!C976</f>
        <v>Skechers</v>
      </c>
      <c r="D976" t="str">
        <f>'Data Cleaning'!D976</f>
        <v>Boots</v>
      </c>
      <c r="E976" t="str">
        <f>'Data Cleaning'!E976</f>
        <v>Red</v>
      </c>
      <c r="F976" t="str">
        <f>'Data Cleaning'!F976</f>
        <v>USA</v>
      </c>
      <c r="G976" t="str">
        <f>'Data Cleaning'!G976</f>
        <v>Online</v>
      </c>
      <c r="H976" s="2">
        <f>'Data Cleaning'!H976</f>
        <v>154.61000000000001</v>
      </c>
      <c r="I976">
        <f>'Data Cleaning'!I976</f>
        <v>15</v>
      </c>
      <c r="J976" s="2">
        <f>'Data Cleaning'!J976</f>
        <v>2319.15</v>
      </c>
    </row>
    <row r="977" spans="1:10" x14ac:dyDescent="0.25">
      <c r="A977" t="str">
        <f>'Data Cleaning'!A977</f>
        <v>S970</v>
      </c>
      <c r="B977" s="113">
        <f>'Data Cleaning'!B977</f>
        <v>45750</v>
      </c>
      <c r="C977" t="str">
        <f>'Data Cleaning'!C977</f>
        <v>Reebok</v>
      </c>
      <c r="D977" t="str">
        <f>'Data Cleaning'!D977</f>
        <v>Sneakers</v>
      </c>
      <c r="E977" t="str">
        <f>'Data Cleaning'!E977</f>
        <v>Blue</v>
      </c>
      <c r="F977" t="str">
        <f>'Data Cleaning'!F977</f>
        <v>UAE</v>
      </c>
      <c r="G977" t="str">
        <f>'Data Cleaning'!G977</f>
        <v>Online</v>
      </c>
      <c r="H977" s="2">
        <f>'Data Cleaning'!H977</f>
        <v>134.72999999999999</v>
      </c>
      <c r="I977">
        <f>'Data Cleaning'!I977</f>
        <v>18</v>
      </c>
      <c r="J977" s="2">
        <f>'Data Cleaning'!J977</f>
        <v>2425.14</v>
      </c>
    </row>
    <row r="978" spans="1:10" x14ac:dyDescent="0.25">
      <c r="A978" t="str">
        <f>'Data Cleaning'!A978</f>
        <v>S971</v>
      </c>
      <c r="B978" s="113">
        <f>'Data Cleaning'!B978</f>
        <v>45931</v>
      </c>
      <c r="C978" t="str">
        <f>'Data Cleaning'!C978</f>
        <v>Reebok</v>
      </c>
      <c r="D978" t="str">
        <f>'Data Cleaning'!D978</f>
        <v>Sports</v>
      </c>
      <c r="E978" t="str">
        <f>'Data Cleaning'!E978</f>
        <v>Blue</v>
      </c>
      <c r="F978" t="str">
        <f>'Data Cleaning'!F978</f>
        <v>India</v>
      </c>
      <c r="G978" t="str">
        <f>'Data Cleaning'!G978</f>
        <v>Retail Store</v>
      </c>
      <c r="H978" s="2">
        <f>'Data Cleaning'!H978</f>
        <v>176.01</v>
      </c>
      <c r="I978">
        <f>'Data Cleaning'!I978</f>
        <v>20</v>
      </c>
      <c r="J978" s="2">
        <f>'Data Cleaning'!J978</f>
        <v>3520.2</v>
      </c>
    </row>
    <row r="979" spans="1:10" x14ac:dyDescent="0.25">
      <c r="A979" t="str">
        <f>'Data Cleaning'!A979</f>
        <v>S972</v>
      </c>
      <c r="B979" s="113">
        <f>'Data Cleaning'!B979</f>
        <v>45848</v>
      </c>
      <c r="C979" t="str">
        <f>'Data Cleaning'!C979</f>
        <v>Skechers</v>
      </c>
      <c r="D979" t="str">
        <f>'Data Cleaning'!D979</f>
        <v>Formal</v>
      </c>
      <c r="E979" t="str">
        <f>'Data Cleaning'!E979</f>
        <v>Green</v>
      </c>
      <c r="F979" t="str">
        <f>'Data Cleaning'!F979</f>
        <v>France</v>
      </c>
      <c r="G979" t="str">
        <f>'Data Cleaning'!G979</f>
        <v>Mall</v>
      </c>
      <c r="H979" s="2">
        <f>'Data Cleaning'!H979</f>
        <v>236.1</v>
      </c>
      <c r="I979">
        <f>'Data Cleaning'!I979</f>
        <v>14</v>
      </c>
      <c r="J979" s="2">
        <f>'Data Cleaning'!J979</f>
        <v>3305.4</v>
      </c>
    </row>
    <row r="980" spans="1:10" x14ac:dyDescent="0.25">
      <c r="A980" t="str">
        <f>'Data Cleaning'!A980</f>
        <v>S973</v>
      </c>
      <c r="B980" s="113">
        <f>'Data Cleaning'!B980</f>
        <v>45781</v>
      </c>
      <c r="C980" t="str">
        <f>'Data Cleaning'!C980</f>
        <v>New Balance</v>
      </c>
      <c r="D980" t="str">
        <f>'Data Cleaning'!D980</f>
        <v>Casual</v>
      </c>
      <c r="E980" t="str">
        <f>'Data Cleaning'!E980</f>
        <v>Red</v>
      </c>
      <c r="F980" t="str">
        <f>'Data Cleaning'!F980</f>
        <v>Saudi Arabia</v>
      </c>
      <c r="G980" t="str">
        <f>'Data Cleaning'!G980</f>
        <v>Mall</v>
      </c>
      <c r="H980" s="2">
        <f>'Data Cleaning'!H980</f>
        <v>191.17</v>
      </c>
      <c r="I980">
        <f>'Data Cleaning'!I980</f>
        <v>19</v>
      </c>
      <c r="J980" s="2">
        <f>'Data Cleaning'!J980</f>
        <v>3632.23</v>
      </c>
    </row>
    <row r="981" spans="1:10" x14ac:dyDescent="0.25">
      <c r="A981" t="str">
        <f>'Data Cleaning'!A981</f>
        <v>S974</v>
      </c>
      <c r="B981" s="113">
        <f>'Data Cleaning'!B981</f>
        <v>45788</v>
      </c>
      <c r="C981" t="str">
        <f>'Data Cleaning'!C981</f>
        <v>Reebok</v>
      </c>
      <c r="D981" t="str">
        <f>'Data Cleaning'!D981</f>
        <v>Formal</v>
      </c>
      <c r="E981" t="str">
        <f>'Data Cleaning'!E981</f>
        <v>Red</v>
      </c>
      <c r="F981" t="str">
        <f>'Data Cleaning'!F981</f>
        <v>USA</v>
      </c>
      <c r="G981" t="str">
        <f>'Data Cleaning'!G981</f>
        <v>Mall</v>
      </c>
      <c r="H981" s="2">
        <f>'Data Cleaning'!H981</f>
        <v>77.290000000000006</v>
      </c>
      <c r="I981">
        <f>'Data Cleaning'!I981</f>
        <v>12</v>
      </c>
      <c r="J981" s="2">
        <f>'Data Cleaning'!J981</f>
        <v>927.48</v>
      </c>
    </row>
    <row r="982" spans="1:10" x14ac:dyDescent="0.25">
      <c r="A982" t="str">
        <f>'Data Cleaning'!A982</f>
        <v>S975</v>
      </c>
      <c r="B982" s="113">
        <f>'Data Cleaning'!B982</f>
        <v>45675</v>
      </c>
      <c r="C982" t="str">
        <f>'Data Cleaning'!C982</f>
        <v>New Balance</v>
      </c>
      <c r="D982" t="str">
        <f>'Data Cleaning'!D982</f>
        <v>Running</v>
      </c>
      <c r="E982" t="str">
        <f>'Data Cleaning'!E982</f>
        <v>Grey</v>
      </c>
      <c r="F982" t="str">
        <f>'Data Cleaning'!F982</f>
        <v>UK</v>
      </c>
      <c r="G982" t="str">
        <f>'Data Cleaning'!G982</f>
        <v>Retail Store</v>
      </c>
      <c r="H982" s="2">
        <f>'Data Cleaning'!H982</f>
        <v>36.86</v>
      </c>
      <c r="I982">
        <f>'Data Cleaning'!I982</f>
        <v>10</v>
      </c>
      <c r="J982" s="2">
        <f>'Data Cleaning'!J982</f>
        <v>368.6</v>
      </c>
    </row>
    <row r="983" spans="1:10" x14ac:dyDescent="0.25">
      <c r="A983" t="str">
        <f>'Data Cleaning'!A983</f>
        <v>S976</v>
      </c>
      <c r="B983" s="113">
        <f>'Data Cleaning'!B983</f>
        <v>45661</v>
      </c>
      <c r="C983" t="str">
        <f>'Data Cleaning'!C983</f>
        <v>Adidas</v>
      </c>
      <c r="D983" t="str">
        <f>'Data Cleaning'!D983</f>
        <v>Casual</v>
      </c>
      <c r="E983" t="str">
        <f>'Data Cleaning'!E983</f>
        <v>Blue</v>
      </c>
      <c r="F983" t="str">
        <f>'Data Cleaning'!F983</f>
        <v>USA</v>
      </c>
      <c r="G983" t="str">
        <f>'Data Cleaning'!G983</f>
        <v>Mall</v>
      </c>
      <c r="H983" s="2">
        <f>'Data Cleaning'!H983</f>
        <v>87.7</v>
      </c>
      <c r="I983">
        <f>'Data Cleaning'!I983</f>
        <v>10</v>
      </c>
      <c r="J983" s="2">
        <f>'Data Cleaning'!J983</f>
        <v>877</v>
      </c>
    </row>
    <row r="984" spans="1:10" x14ac:dyDescent="0.25">
      <c r="A984" t="str">
        <f>'Data Cleaning'!A984</f>
        <v>S977</v>
      </c>
      <c r="B984" s="113">
        <f>'Data Cleaning'!B984</f>
        <v>45799</v>
      </c>
      <c r="C984" t="str">
        <f>'Data Cleaning'!C984</f>
        <v>New Balance</v>
      </c>
      <c r="D984" t="str">
        <f>'Data Cleaning'!D984</f>
        <v>Sneakers</v>
      </c>
      <c r="E984" t="str">
        <f>'Data Cleaning'!E984</f>
        <v>Grey</v>
      </c>
      <c r="F984" t="str">
        <f>'Data Cleaning'!F984</f>
        <v>India</v>
      </c>
      <c r="G984" t="str">
        <f>'Data Cleaning'!G984</f>
        <v>Online</v>
      </c>
      <c r="H984" s="2">
        <f>'Data Cleaning'!H984</f>
        <v>160.91999999999999</v>
      </c>
      <c r="I984">
        <f>'Data Cleaning'!I984</f>
        <v>18</v>
      </c>
      <c r="J984" s="2">
        <f>'Data Cleaning'!J984</f>
        <v>2896.56</v>
      </c>
    </row>
    <row r="985" spans="1:10" x14ac:dyDescent="0.25">
      <c r="A985" t="str">
        <f>'Data Cleaning'!A985</f>
        <v>S978</v>
      </c>
      <c r="B985" s="113">
        <f>'Data Cleaning'!B985</f>
        <v>45706</v>
      </c>
      <c r="C985" t="str">
        <f>'Data Cleaning'!C985</f>
        <v>Reebok</v>
      </c>
      <c r="D985" t="str">
        <f>'Data Cleaning'!D985</f>
        <v>Sports</v>
      </c>
      <c r="E985" t="str">
        <f>'Data Cleaning'!E985</f>
        <v>White</v>
      </c>
      <c r="F985" t="str">
        <f>'Data Cleaning'!F985</f>
        <v>UK</v>
      </c>
      <c r="G985" t="str">
        <f>'Data Cleaning'!G985</f>
        <v>Retail Store</v>
      </c>
      <c r="H985" s="2">
        <f>'Data Cleaning'!H985</f>
        <v>41.31</v>
      </c>
      <c r="I985">
        <f>'Data Cleaning'!I985</f>
        <v>2</v>
      </c>
      <c r="J985" s="2">
        <f>'Data Cleaning'!J985</f>
        <v>82.62</v>
      </c>
    </row>
    <row r="986" spans="1:10" x14ac:dyDescent="0.25">
      <c r="A986" t="str">
        <f>'Data Cleaning'!A986</f>
        <v>S979</v>
      </c>
      <c r="B986" s="113">
        <f>'Data Cleaning'!B986</f>
        <v>45845</v>
      </c>
      <c r="C986" t="str">
        <f>'Data Cleaning'!C986</f>
        <v>Adidas</v>
      </c>
      <c r="D986" t="str">
        <f>'Data Cleaning'!D986</f>
        <v>Casual</v>
      </c>
      <c r="E986" t="str">
        <f>'Data Cleaning'!E986</f>
        <v>Blue</v>
      </c>
      <c r="F986" t="str">
        <f>'Data Cleaning'!F986</f>
        <v>Saudi Arabia</v>
      </c>
      <c r="G986" t="str">
        <f>'Data Cleaning'!G986</f>
        <v>Retail Store</v>
      </c>
      <c r="H986" s="2">
        <f>'Data Cleaning'!H986</f>
        <v>139.19999999999999</v>
      </c>
      <c r="I986">
        <f>'Data Cleaning'!I986</f>
        <v>19</v>
      </c>
      <c r="J986" s="2">
        <f>'Data Cleaning'!J986</f>
        <v>2644.8</v>
      </c>
    </row>
    <row r="987" spans="1:10" x14ac:dyDescent="0.25">
      <c r="A987" t="str">
        <f>'Data Cleaning'!A987</f>
        <v>S980</v>
      </c>
      <c r="B987" s="113">
        <f>'Data Cleaning'!B987</f>
        <v>45705</v>
      </c>
      <c r="C987" t="str">
        <f>'Data Cleaning'!C987</f>
        <v>Reebok</v>
      </c>
      <c r="D987" t="str">
        <f>'Data Cleaning'!D987</f>
        <v>Sneakers</v>
      </c>
      <c r="E987" t="str">
        <f>'Data Cleaning'!E987</f>
        <v>White</v>
      </c>
      <c r="F987" t="str">
        <f>'Data Cleaning'!F987</f>
        <v>UAE</v>
      </c>
      <c r="G987" t="str">
        <f>'Data Cleaning'!G987</f>
        <v>Online</v>
      </c>
      <c r="H987" s="2">
        <f>'Data Cleaning'!H987</f>
        <v>161.31</v>
      </c>
      <c r="I987">
        <f>'Data Cleaning'!I987</f>
        <v>19</v>
      </c>
      <c r="J987" s="2">
        <f>'Data Cleaning'!J987</f>
        <v>3064.89</v>
      </c>
    </row>
    <row r="988" spans="1:10" x14ac:dyDescent="0.25">
      <c r="A988" t="str">
        <f>'Data Cleaning'!A988</f>
        <v>S981</v>
      </c>
      <c r="B988" s="113">
        <f>'Data Cleaning'!B988</f>
        <v>45824</v>
      </c>
      <c r="C988" t="str">
        <f>'Data Cleaning'!C988</f>
        <v>Adidas</v>
      </c>
      <c r="D988" t="str">
        <f>'Data Cleaning'!D988</f>
        <v>Formal</v>
      </c>
      <c r="E988" t="str">
        <f>'Data Cleaning'!E988</f>
        <v>Green</v>
      </c>
      <c r="F988" t="str">
        <f>'Data Cleaning'!F988</f>
        <v>UAE</v>
      </c>
      <c r="G988" t="str">
        <f>'Data Cleaning'!G988</f>
        <v>Mall</v>
      </c>
      <c r="H988" s="2">
        <f>'Data Cleaning'!H988</f>
        <v>103.53</v>
      </c>
      <c r="I988">
        <f>'Data Cleaning'!I988</f>
        <v>16</v>
      </c>
      <c r="J988" s="2">
        <f>'Data Cleaning'!J988</f>
        <v>1656.48</v>
      </c>
    </row>
    <row r="989" spans="1:10" x14ac:dyDescent="0.25">
      <c r="A989" t="str">
        <f>'Data Cleaning'!A989</f>
        <v>S982</v>
      </c>
      <c r="B989" s="113">
        <f>'Data Cleaning'!B989</f>
        <v>45706</v>
      </c>
      <c r="C989" t="str">
        <f>'Data Cleaning'!C989</f>
        <v>Skechers</v>
      </c>
      <c r="D989" t="str">
        <f>'Data Cleaning'!D989</f>
        <v>Sports</v>
      </c>
      <c r="E989" t="str">
        <f>'Data Cleaning'!E989</f>
        <v>Black</v>
      </c>
      <c r="F989" t="str">
        <f>'Data Cleaning'!F989</f>
        <v>UAE</v>
      </c>
      <c r="G989" t="str">
        <f>'Data Cleaning'!G989</f>
        <v>Mall</v>
      </c>
      <c r="H989" s="2">
        <f>'Data Cleaning'!H989</f>
        <v>199.6</v>
      </c>
      <c r="I989">
        <f>'Data Cleaning'!I989</f>
        <v>20</v>
      </c>
      <c r="J989" s="2">
        <f>'Data Cleaning'!J989</f>
        <v>3992</v>
      </c>
    </row>
    <row r="990" spans="1:10" x14ac:dyDescent="0.25">
      <c r="A990" t="str">
        <f>'Data Cleaning'!A990</f>
        <v>S983</v>
      </c>
      <c r="B990" s="113">
        <f>'Data Cleaning'!B990</f>
        <v>45853</v>
      </c>
      <c r="C990" t="str">
        <f>'Data Cleaning'!C990</f>
        <v>Nike</v>
      </c>
      <c r="D990" t="str">
        <f>'Data Cleaning'!D990</f>
        <v>Sports</v>
      </c>
      <c r="E990" t="str">
        <f>'Data Cleaning'!E990</f>
        <v>Blue</v>
      </c>
      <c r="F990" t="str">
        <f>'Data Cleaning'!F990</f>
        <v>Saudi Arabia</v>
      </c>
      <c r="G990" t="str">
        <f>'Data Cleaning'!G990</f>
        <v>Retail Store</v>
      </c>
      <c r="H990" s="2">
        <f>'Data Cleaning'!H990</f>
        <v>53.45</v>
      </c>
      <c r="I990">
        <f>'Data Cleaning'!I990</f>
        <v>3</v>
      </c>
      <c r="J990" s="2">
        <f>'Data Cleaning'!J990</f>
        <v>160.35</v>
      </c>
    </row>
    <row r="991" spans="1:10" x14ac:dyDescent="0.25">
      <c r="A991" t="str">
        <f>'Data Cleaning'!A991</f>
        <v>S984</v>
      </c>
      <c r="B991" s="113">
        <f>'Data Cleaning'!B991</f>
        <v>45871</v>
      </c>
      <c r="C991" t="str">
        <f>'Data Cleaning'!C991</f>
        <v>Adidas</v>
      </c>
      <c r="D991" t="str">
        <f>'Data Cleaning'!D991</f>
        <v>Boots</v>
      </c>
      <c r="E991" t="str">
        <f>'Data Cleaning'!E991</f>
        <v>Green</v>
      </c>
      <c r="F991" t="str">
        <f>'Data Cleaning'!F991</f>
        <v>Saudi Arabia</v>
      </c>
      <c r="G991" t="str">
        <f>'Data Cleaning'!G991</f>
        <v>Mall</v>
      </c>
      <c r="H991" s="2">
        <f>'Data Cleaning'!H991</f>
        <v>46.53</v>
      </c>
      <c r="I991">
        <f>'Data Cleaning'!I991</f>
        <v>4</v>
      </c>
      <c r="J991" s="2">
        <f>'Data Cleaning'!J991</f>
        <v>186.12</v>
      </c>
    </row>
    <row r="992" spans="1:10" x14ac:dyDescent="0.25">
      <c r="A992" t="str">
        <f>'Data Cleaning'!A992</f>
        <v>S985</v>
      </c>
      <c r="B992" s="113">
        <f>'Data Cleaning'!B992</f>
        <v>45663</v>
      </c>
      <c r="C992" t="str">
        <f>'Data Cleaning'!C992</f>
        <v>Nike</v>
      </c>
      <c r="D992" t="str">
        <f>'Data Cleaning'!D992</f>
        <v>Sports</v>
      </c>
      <c r="E992" t="str">
        <f>'Data Cleaning'!E992</f>
        <v>Grey</v>
      </c>
      <c r="F992" t="str">
        <f>'Data Cleaning'!F992</f>
        <v>USA</v>
      </c>
      <c r="G992" t="str">
        <f>'Data Cleaning'!G992</f>
        <v>Retail Store</v>
      </c>
      <c r="H992" s="2">
        <f>'Data Cleaning'!H992</f>
        <v>190.2</v>
      </c>
      <c r="I992">
        <f>'Data Cleaning'!I992</f>
        <v>13</v>
      </c>
      <c r="J992" s="2">
        <f>'Data Cleaning'!J992</f>
        <v>2472.6</v>
      </c>
    </row>
    <row r="993" spans="1:10" x14ac:dyDescent="0.25">
      <c r="A993" t="str">
        <f>'Data Cleaning'!A993</f>
        <v>S986</v>
      </c>
      <c r="B993" s="113">
        <f>'Data Cleaning'!B993</f>
        <v>45934</v>
      </c>
      <c r="C993" t="str">
        <f>'Data Cleaning'!C993</f>
        <v>Adidas</v>
      </c>
      <c r="D993" t="str">
        <f>'Data Cleaning'!D993</f>
        <v>Sports</v>
      </c>
      <c r="E993" t="str">
        <f>'Data Cleaning'!E993</f>
        <v>Grey</v>
      </c>
      <c r="F993" t="str">
        <f>'Data Cleaning'!F993</f>
        <v>UAE</v>
      </c>
      <c r="G993" t="str">
        <f>'Data Cleaning'!G993</f>
        <v>Online</v>
      </c>
      <c r="H993" s="2">
        <f>'Data Cleaning'!H993</f>
        <v>139.01</v>
      </c>
      <c r="I993">
        <f>'Data Cleaning'!I993</f>
        <v>19</v>
      </c>
      <c r="J993" s="2">
        <f>'Data Cleaning'!J993</f>
        <v>2641.19</v>
      </c>
    </row>
    <row r="994" spans="1:10" x14ac:dyDescent="0.25">
      <c r="A994" t="str">
        <f>'Data Cleaning'!A994</f>
        <v>S987</v>
      </c>
      <c r="B994" s="113">
        <f>'Data Cleaning'!B994</f>
        <v>45736</v>
      </c>
      <c r="C994" t="str">
        <f>'Data Cleaning'!C994</f>
        <v>Skechers</v>
      </c>
      <c r="D994" t="str">
        <f>'Data Cleaning'!D994</f>
        <v>Boots</v>
      </c>
      <c r="E994" t="str">
        <f>'Data Cleaning'!E994</f>
        <v>Red</v>
      </c>
      <c r="F994" t="str">
        <f>'Data Cleaning'!F994</f>
        <v>Germany</v>
      </c>
      <c r="G994" t="str">
        <f>'Data Cleaning'!G994</f>
        <v>Mall</v>
      </c>
      <c r="H994" s="2">
        <f>'Data Cleaning'!H994</f>
        <v>181.45</v>
      </c>
      <c r="I994">
        <f>'Data Cleaning'!I994</f>
        <v>2</v>
      </c>
      <c r="J994" s="2">
        <f>'Data Cleaning'!J994</f>
        <v>362.9</v>
      </c>
    </row>
    <row r="995" spans="1:10" x14ac:dyDescent="0.25">
      <c r="A995" t="str">
        <f>'Data Cleaning'!A995</f>
        <v>S988</v>
      </c>
      <c r="B995" s="113">
        <f>'Data Cleaning'!B995</f>
        <v>45952</v>
      </c>
      <c r="C995" t="str">
        <f>'Data Cleaning'!C995</f>
        <v>Nike</v>
      </c>
      <c r="D995" t="str">
        <f>'Data Cleaning'!D995</f>
        <v>Casual</v>
      </c>
      <c r="E995" t="str">
        <f>'Data Cleaning'!E995</f>
        <v>Red</v>
      </c>
      <c r="F995" t="str">
        <f>'Data Cleaning'!F995</f>
        <v>France</v>
      </c>
      <c r="G995" t="str">
        <f>'Data Cleaning'!G995</f>
        <v>Retail Store</v>
      </c>
      <c r="H995" s="2">
        <f>'Data Cleaning'!H995</f>
        <v>125.66</v>
      </c>
      <c r="I995">
        <f>'Data Cleaning'!I995</f>
        <v>17</v>
      </c>
      <c r="J995" s="2">
        <f>'Data Cleaning'!J995</f>
        <v>2136.2199999999998</v>
      </c>
    </row>
    <row r="996" spans="1:10" x14ac:dyDescent="0.25">
      <c r="A996" t="str">
        <f>'Data Cleaning'!A996</f>
        <v>S989</v>
      </c>
      <c r="B996" s="113">
        <f>'Data Cleaning'!B996</f>
        <v>45733</v>
      </c>
      <c r="C996" t="str">
        <f>'Data Cleaning'!C996</f>
        <v>Puma</v>
      </c>
      <c r="D996" t="str">
        <f>'Data Cleaning'!D996</f>
        <v>Running</v>
      </c>
      <c r="E996" t="str">
        <f>'Data Cleaning'!E996</f>
        <v>Red</v>
      </c>
      <c r="F996" t="str">
        <f>'Data Cleaning'!F996</f>
        <v>India</v>
      </c>
      <c r="G996" t="str">
        <f>'Data Cleaning'!G996</f>
        <v>Mall</v>
      </c>
      <c r="H996" s="2">
        <f>'Data Cleaning'!H996</f>
        <v>84.21</v>
      </c>
      <c r="I996">
        <f>'Data Cleaning'!I996</f>
        <v>5</v>
      </c>
      <c r="J996" s="2">
        <f>'Data Cleaning'!J996</f>
        <v>421.05</v>
      </c>
    </row>
    <row r="997" spans="1:10" x14ac:dyDescent="0.25">
      <c r="A997" t="str">
        <f>'Data Cleaning'!A997</f>
        <v>S990</v>
      </c>
      <c r="B997" s="113">
        <f>'Data Cleaning'!B997</f>
        <v>45683</v>
      </c>
      <c r="C997" t="str">
        <f>'Data Cleaning'!C997</f>
        <v>Reebok</v>
      </c>
      <c r="D997" t="str">
        <f>'Data Cleaning'!D997</f>
        <v>Sports</v>
      </c>
      <c r="E997" t="str">
        <f>'Data Cleaning'!E997</f>
        <v>Black</v>
      </c>
      <c r="F997" t="str">
        <f>'Data Cleaning'!F997</f>
        <v>Germany</v>
      </c>
      <c r="G997" t="str">
        <f>'Data Cleaning'!G997</f>
        <v>Mall</v>
      </c>
      <c r="H997" s="2">
        <f>'Data Cleaning'!H997</f>
        <v>210.2</v>
      </c>
      <c r="I997">
        <f>'Data Cleaning'!I997</f>
        <v>18</v>
      </c>
      <c r="J997" s="2">
        <f>'Data Cleaning'!J997</f>
        <v>3783.6</v>
      </c>
    </row>
    <row r="998" spans="1:10" x14ac:dyDescent="0.25">
      <c r="A998" t="str">
        <f>'Data Cleaning'!A998</f>
        <v>S991</v>
      </c>
      <c r="B998" s="113">
        <f>'Data Cleaning'!B998</f>
        <v>45880</v>
      </c>
      <c r="C998" t="str">
        <f>'Data Cleaning'!C998</f>
        <v>Adidas</v>
      </c>
      <c r="D998" t="str">
        <f>'Data Cleaning'!D998</f>
        <v>Formal</v>
      </c>
      <c r="E998" t="str">
        <f>'Data Cleaning'!E998</f>
        <v>Grey</v>
      </c>
      <c r="F998" t="str">
        <f>'Data Cleaning'!F998</f>
        <v>UK</v>
      </c>
      <c r="G998" t="str">
        <f>'Data Cleaning'!G998</f>
        <v>Retail Store</v>
      </c>
      <c r="H998" s="2">
        <f>'Data Cleaning'!H998</f>
        <v>205.87</v>
      </c>
      <c r="I998">
        <f>'Data Cleaning'!I998</f>
        <v>5</v>
      </c>
      <c r="J998" s="2">
        <f>'Data Cleaning'!J998</f>
        <v>1029.3499999999999</v>
      </c>
    </row>
    <row r="999" spans="1:10" x14ac:dyDescent="0.25">
      <c r="A999" t="str">
        <f>'Data Cleaning'!A999</f>
        <v>S992</v>
      </c>
      <c r="B999" s="113">
        <f>'Data Cleaning'!B999</f>
        <v>45860</v>
      </c>
      <c r="C999" t="str">
        <f>'Data Cleaning'!C999</f>
        <v>Adidas</v>
      </c>
      <c r="D999" t="str">
        <f>'Data Cleaning'!D999</f>
        <v>Sneakers</v>
      </c>
      <c r="E999" t="str">
        <f>'Data Cleaning'!E999</f>
        <v>Grey</v>
      </c>
      <c r="F999" t="str">
        <f>'Data Cleaning'!F999</f>
        <v>UAE</v>
      </c>
      <c r="G999" t="str">
        <f>'Data Cleaning'!G999</f>
        <v>Mall</v>
      </c>
      <c r="H999" s="2">
        <f>'Data Cleaning'!H999</f>
        <v>182.83</v>
      </c>
      <c r="I999">
        <f>'Data Cleaning'!I999</f>
        <v>19</v>
      </c>
      <c r="J999" s="2">
        <f>'Data Cleaning'!J999</f>
        <v>3473.77</v>
      </c>
    </row>
    <row r="1000" spans="1:10" x14ac:dyDescent="0.25">
      <c r="A1000" t="str">
        <f>'Data Cleaning'!A1000</f>
        <v>S993</v>
      </c>
      <c r="B1000" s="113">
        <f>'Data Cleaning'!B1000</f>
        <v>45784</v>
      </c>
      <c r="C1000" t="str">
        <f>'Data Cleaning'!C1000</f>
        <v>Nike</v>
      </c>
      <c r="D1000" t="str">
        <f>'Data Cleaning'!D1000</f>
        <v>Sports</v>
      </c>
      <c r="E1000" t="str">
        <f>'Data Cleaning'!E1000</f>
        <v>Red</v>
      </c>
      <c r="F1000" t="str">
        <f>'Data Cleaning'!F1000</f>
        <v>France</v>
      </c>
      <c r="G1000" t="str">
        <f>'Data Cleaning'!G1000</f>
        <v>Mall</v>
      </c>
      <c r="H1000" s="2">
        <f>'Data Cleaning'!H1000</f>
        <v>89.87</v>
      </c>
      <c r="I1000">
        <f>'Data Cleaning'!I1000</f>
        <v>8</v>
      </c>
      <c r="J1000" s="2">
        <f>'Data Cleaning'!J1000</f>
        <v>718.96</v>
      </c>
    </row>
    <row r="1001" spans="1:10" x14ac:dyDescent="0.25">
      <c r="A1001" t="str">
        <f>'Data Cleaning'!A1001</f>
        <v>S994</v>
      </c>
      <c r="B1001" s="113">
        <f>'Data Cleaning'!B1001</f>
        <v>45952</v>
      </c>
      <c r="C1001" t="str">
        <f>'Data Cleaning'!C1001</f>
        <v>Nike</v>
      </c>
      <c r="D1001" t="str">
        <f>'Data Cleaning'!D1001</f>
        <v>Boots</v>
      </c>
      <c r="E1001" t="str">
        <f>'Data Cleaning'!E1001</f>
        <v>Red</v>
      </c>
      <c r="F1001" t="str">
        <f>'Data Cleaning'!F1001</f>
        <v>Germany</v>
      </c>
      <c r="G1001" t="str">
        <f>'Data Cleaning'!G1001</f>
        <v>Retail Store</v>
      </c>
      <c r="H1001" s="2">
        <f>'Data Cleaning'!H1001</f>
        <v>159.85</v>
      </c>
      <c r="I1001">
        <f>'Data Cleaning'!I1001</f>
        <v>3</v>
      </c>
      <c r="J1001" s="2">
        <f>'Data Cleaning'!J1001</f>
        <v>479.55</v>
      </c>
    </row>
    <row r="1002" spans="1:10" x14ac:dyDescent="0.25">
      <c r="A1002" t="str">
        <f>'Data Cleaning'!A1002</f>
        <v>S995</v>
      </c>
      <c r="B1002" s="113">
        <f>'Data Cleaning'!B1002</f>
        <v>45836</v>
      </c>
      <c r="C1002" t="str">
        <f>'Data Cleaning'!C1002</f>
        <v>Puma</v>
      </c>
      <c r="D1002" t="str">
        <f>'Data Cleaning'!D1002</f>
        <v>Sports</v>
      </c>
      <c r="E1002" t="str">
        <f>'Data Cleaning'!E1002</f>
        <v>Grey</v>
      </c>
      <c r="F1002" t="str">
        <f>'Data Cleaning'!F1002</f>
        <v>UAE</v>
      </c>
      <c r="G1002" t="str">
        <f>'Data Cleaning'!G1002</f>
        <v>Online</v>
      </c>
      <c r="H1002" s="2">
        <f>'Data Cleaning'!H1002</f>
        <v>109.41</v>
      </c>
      <c r="I1002">
        <f>'Data Cleaning'!I1002</f>
        <v>7</v>
      </c>
      <c r="J1002" s="2">
        <f>'Data Cleaning'!J1002</f>
        <v>765.87</v>
      </c>
    </row>
    <row r="1003" spans="1:10" x14ac:dyDescent="0.25">
      <c r="A1003" t="str">
        <f>'Data Cleaning'!A1003</f>
        <v>S996</v>
      </c>
      <c r="B1003" s="113">
        <f>'Data Cleaning'!B1003</f>
        <v>45814</v>
      </c>
      <c r="C1003" t="str">
        <f>'Data Cleaning'!C1003</f>
        <v>Puma</v>
      </c>
      <c r="D1003" t="str">
        <f>'Data Cleaning'!D1003</f>
        <v>Sneakers</v>
      </c>
      <c r="E1003" t="str">
        <f>'Data Cleaning'!E1003</f>
        <v>Red</v>
      </c>
      <c r="F1003" t="str">
        <f>'Data Cleaning'!F1003</f>
        <v>India</v>
      </c>
      <c r="G1003" t="str">
        <f>'Data Cleaning'!G1003</f>
        <v>Online</v>
      </c>
      <c r="H1003" s="2">
        <f>'Data Cleaning'!H1003</f>
        <v>50.15</v>
      </c>
      <c r="I1003">
        <f>'Data Cleaning'!I1003</f>
        <v>6</v>
      </c>
      <c r="J1003" s="2">
        <f>'Data Cleaning'!J1003</f>
        <v>300.89999999999998</v>
      </c>
    </row>
    <row r="1004" spans="1:10" x14ac:dyDescent="0.25">
      <c r="A1004" t="str">
        <f>'Data Cleaning'!A1004</f>
        <v>S997</v>
      </c>
      <c r="B1004" s="113">
        <f>'Data Cleaning'!B1004</f>
        <v>45883</v>
      </c>
      <c r="C1004" t="str">
        <f>'Data Cleaning'!C1004</f>
        <v>Adidas</v>
      </c>
      <c r="D1004" t="str">
        <f>'Data Cleaning'!D1004</f>
        <v>Casual</v>
      </c>
      <c r="E1004" t="str">
        <f>'Data Cleaning'!E1004</f>
        <v>Green</v>
      </c>
      <c r="F1004" t="str">
        <f>'Data Cleaning'!F1004</f>
        <v>France</v>
      </c>
      <c r="G1004" t="str">
        <f>'Data Cleaning'!G1004</f>
        <v>Online</v>
      </c>
      <c r="H1004" s="2">
        <f>'Data Cleaning'!H1004</f>
        <v>231.81</v>
      </c>
      <c r="I1004">
        <f>'Data Cleaning'!I1004</f>
        <v>2</v>
      </c>
      <c r="J1004" s="2">
        <f>'Data Cleaning'!J1004</f>
        <v>463.62</v>
      </c>
    </row>
    <row r="1005" spans="1:10" x14ac:dyDescent="0.25">
      <c r="A1005" t="str">
        <f>'Data Cleaning'!A1005</f>
        <v>S998</v>
      </c>
      <c r="B1005" s="113">
        <f>'Data Cleaning'!B1005</f>
        <v>45701</v>
      </c>
      <c r="C1005" t="str">
        <f>'Data Cleaning'!C1005</f>
        <v>Skechers</v>
      </c>
      <c r="D1005" t="str">
        <f>'Data Cleaning'!D1005</f>
        <v>Running</v>
      </c>
      <c r="E1005" t="str">
        <f>'Data Cleaning'!E1005</f>
        <v>White</v>
      </c>
      <c r="F1005" t="str">
        <f>'Data Cleaning'!F1005</f>
        <v>India</v>
      </c>
      <c r="G1005" t="str">
        <f>'Data Cleaning'!G1005</f>
        <v>Online</v>
      </c>
      <c r="H1005" s="2">
        <f>'Data Cleaning'!H1005</f>
        <v>60.1</v>
      </c>
      <c r="I1005">
        <f>'Data Cleaning'!I1005</f>
        <v>4</v>
      </c>
      <c r="J1005" s="2">
        <f>'Data Cleaning'!J1005</f>
        <v>240.4</v>
      </c>
    </row>
    <row r="1006" spans="1:10" x14ac:dyDescent="0.25">
      <c r="A1006" t="str">
        <f>'Data Cleaning'!A1006</f>
        <v>S999</v>
      </c>
      <c r="B1006" s="113">
        <f>'Data Cleaning'!B1006</f>
        <v>45805</v>
      </c>
      <c r="C1006" t="str">
        <f>'Data Cleaning'!C1006</f>
        <v>Puma</v>
      </c>
      <c r="D1006" t="str">
        <f>'Data Cleaning'!D1006</f>
        <v>Boots</v>
      </c>
      <c r="E1006" t="str">
        <f>'Data Cleaning'!E1006</f>
        <v>Black</v>
      </c>
      <c r="F1006" t="str">
        <f>'Data Cleaning'!F1006</f>
        <v>France</v>
      </c>
      <c r="G1006" t="str">
        <f>'Data Cleaning'!G1006</f>
        <v>Retail Store</v>
      </c>
      <c r="H1006" s="2">
        <f>'Data Cleaning'!H1006</f>
        <v>239.05</v>
      </c>
      <c r="I1006">
        <f>'Data Cleaning'!I1006</f>
        <v>1</v>
      </c>
      <c r="J1006" s="2">
        <f>'Data Cleaning'!J1006</f>
        <v>239.05</v>
      </c>
    </row>
    <row r="1007" spans="1:10" x14ac:dyDescent="0.25">
      <c r="A1007" t="str">
        <f>'Data Cleaning'!A1007</f>
        <v>S1000</v>
      </c>
      <c r="B1007" s="113">
        <f>'Data Cleaning'!B1007</f>
        <v>45899</v>
      </c>
      <c r="C1007" t="str">
        <f>'Data Cleaning'!C1007</f>
        <v>Puma</v>
      </c>
      <c r="D1007" t="str">
        <f>'Data Cleaning'!D1007</f>
        <v>Casual</v>
      </c>
      <c r="E1007" t="str">
        <f>'Data Cleaning'!E1007</f>
        <v>Green</v>
      </c>
      <c r="F1007" t="str">
        <f>'Data Cleaning'!F1007</f>
        <v>India</v>
      </c>
      <c r="G1007" t="str">
        <f>'Data Cleaning'!G1007</f>
        <v>Online</v>
      </c>
      <c r="H1007" s="2">
        <f>'Data Cleaning'!H1007</f>
        <v>128.12</v>
      </c>
      <c r="I1007">
        <f>'Data Cleaning'!I1007</f>
        <v>1</v>
      </c>
      <c r="J1007" s="2">
        <f>'Data Cleaning'!J1007</f>
        <v>128.12</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79998168889431442"/>
  </sheetPr>
  <dimension ref="A1:Y1011"/>
  <sheetViews>
    <sheetView zoomScale="80" zoomScaleNormal="80" workbookViewId="0">
      <selection activeCell="D21" sqref="D21"/>
    </sheetView>
  </sheetViews>
  <sheetFormatPr defaultRowHeight="15" x14ac:dyDescent="0.25"/>
  <cols>
    <col min="2" max="2" width="32.140625" customWidth="1"/>
    <col min="3" max="3" width="4.85546875" customWidth="1"/>
    <col min="4" max="4" width="16.28515625" customWidth="1"/>
    <col min="5" max="5" width="18.42578125" customWidth="1"/>
    <col min="6" max="6" width="14.140625" customWidth="1"/>
    <col min="7" max="7" width="21" customWidth="1"/>
    <col min="8" max="8" width="11" customWidth="1"/>
    <col min="9" max="9" width="3.42578125" customWidth="1"/>
    <col min="10" max="10" width="14.140625" customWidth="1"/>
    <col min="11" max="11" width="21" customWidth="1"/>
    <col min="12" max="12" width="14.7109375" customWidth="1"/>
    <col min="13" max="13" width="2.140625" customWidth="1"/>
    <col min="14" max="14" width="14.140625" customWidth="1"/>
    <col min="15" max="15" width="21" customWidth="1"/>
    <col min="16" max="16" width="21.5703125" customWidth="1"/>
    <col min="17" max="17" width="2.5703125" customWidth="1"/>
    <col min="18" max="18" width="14.140625" customWidth="1"/>
    <col min="19" max="19" width="21" customWidth="1"/>
    <col min="20" max="20" width="14.28515625" customWidth="1"/>
    <col min="22" max="22" width="14.140625" customWidth="1"/>
    <col min="23" max="23" width="21" customWidth="1"/>
    <col min="24" max="24" width="22.7109375" bestFit="1" customWidth="1"/>
    <col min="25" max="25" width="21.85546875" style="34" customWidth="1"/>
  </cols>
  <sheetData>
    <row r="1" spans="1:24" ht="18" customHeight="1" x14ac:dyDescent="0.25">
      <c r="B1" s="35" t="s">
        <v>1079</v>
      </c>
      <c r="D1" s="35" t="s">
        <v>1117</v>
      </c>
      <c r="F1" s="234" t="s">
        <v>1080</v>
      </c>
      <c r="G1" s="234"/>
      <c r="J1" s="234" t="s">
        <v>1084</v>
      </c>
      <c r="K1" s="234"/>
      <c r="N1" s="234" t="s">
        <v>1087</v>
      </c>
      <c r="O1" s="234"/>
      <c r="R1" s="234" t="s">
        <v>1088</v>
      </c>
      <c r="S1" s="234"/>
    </row>
    <row r="2" spans="1:24" ht="18" customHeight="1" x14ac:dyDescent="0.25">
      <c r="B2" s="193" t="s">
        <v>543</v>
      </c>
      <c r="C2" s="194"/>
      <c r="D2" s="193" t="s">
        <v>1121</v>
      </c>
      <c r="F2" s="38" t="s">
        <v>1074</v>
      </c>
      <c r="R2" s="4" t="s">
        <v>546</v>
      </c>
      <c r="S2" t="s">
        <v>545</v>
      </c>
      <c r="T2" s="28" t="s">
        <v>1089</v>
      </c>
      <c r="V2" s="4" t="s">
        <v>546</v>
      </c>
      <c r="W2" t="s">
        <v>545</v>
      </c>
    </row>
    <row r="3" spans="1:24" ht="15.75" x14ac:dyDescent="0.25">
      <c r="B3" s="195">
        <v>1459848.6300000006</v>
      </c>
      <c r="C3" s="194"/>
      <c r="D3" s="195">
        <v>1451.1417793240562</v>
      </c>
      <c r="F3" s="4" t="s">
        <v>546</v>
      </c>
      <c r="G3" t="s">
        <v>545</v>
      </c>
      <c r="H3" t="s">
        <v>561</v>
      </c>
      <c r="J3" s="4" t="s">
        <v>546</v>
      </c>
      <c r="K3" t="s">
        <v>545</v>
      </c>
      <c r="N3" s="4" t="s">
        <v>546</v>
      </c>
      <c r="O3" t="s">
        <v>545</v>
      </c>
      <c r="R3" s="5" t="s">
        <v>547</v>
      </c>
      <c r="S3" s="7">
        <v>102989.92000000003</v>
      </c>
      <c r="V3" s="5" t="s">
        <v>547</v>
      </c>
      <c r="W3" s="96"/>
      <c r="X3" s="96"/>
    </row>
    <row r="4" spans="1:24" ht="18" customHeight="1" x14ac:dyDescent="0.25">
      <c r="A4" s="10"/>
      <c r="B4" s="10"/>
      <c r="C4" s="10"/>
      <c r="F4" s="111" t="s">
        <v>547</v>
      </c>
      <c r="G4" s="7">
        <v>102989.92000000003</v>
      </c>
      <c r="J4" s="6" t="s">
        <v>28</v>
      </c>
      <c r="K4" s="7">
        <v>240051.9200000001</v>
      </c>
      <c r="L4" s="10"/>
      <c r="M4" s="10"/>
      <c r="N4" s="5" t="s">
        <v>552</v>
      </c>
      <c r="O4" s="7">
        <v>146726.46000000002</v>
      </c>
      <c r="R4" s="5" t="s">
        <v>554</v>
      </c>
      <c r="S4" s="7">
        <v>128723.41999999995</v>
      </c>
      <c r="T4" s="11">
        <f>(S4-S3)/S3</f>
        <v>0.24986425856044864</v>
      </c>
      <c r="V4" s="5" t="s">
        <v>554</v>
      </c>
      <c r="W4" s="96">
        <v>0.24986425856044864</v>
      </c>
      <c r="X4" s="96"/>
    </row>
    <row r="5" spans="1:24" ht="18" customHeight="1" x14ac:dyDescent="0.25">
      <c r="A5" s="10"/>
      <c r="B5" s="35" t="s">
        <v>1081</v>
      </c>
      <c r="D5" s="35" t="s">
        <v>1083</v>
      </c>
      <c r="F5" s="111" t="s">
        <v>554</v>
      </c>
      <c r="G5" s="7">
        <v>128723.41999999995</v>
      </c>
      <c r="H5" s="11">
        <f>(G5-G4)/G4</f>
        <v>0.24986425856044864</v>
      </c>
      <c r="J5" s="6" t="s">
        <v>19</v>
      </c>
      <c r="K5" s="7">
        <v>231784.47999999992</v>
      </c>
      <c r="N5" s="5" t="s">
        <v>557</v>
      </c>
      <c r="O5" s="7">
        <v>140198.13</v>
      </c>
      <c r="R5" s="5" t="s">
        <v>548</v>
      </c>
      <c r="S5" s="7">
        <v>118450.73999999999</v>
      </c>
      <c r="T5" s="11">
        <f t="shared" ref="T5:T14" si="0">(S5-S4)/S4</f>
        <v>-7.9804281147905859E-2</v>
      </c>
      <c r="V5" s="5" t="s">
        <v>548</v>
      </c>
      <c r="W5" s="96">
        <v>-7.9804281147905859E-2</v>
      </c>
      <c r="X5" s="96"/>
    </row>
    <row r="6" spans="1:24" ht="18" customHeight="1" x14ac:dyDescent="0.25">
      <c r="A6" s="10"/>
      <c r="B6" s="196" t="s">
        <v>544</v>
      </c>
      <c r="C6" s="197"/>
      <c r="D6" s="198" t="s">
        <v>1082</v>
      </c>
      <c r="E6" s="9"/>
      <c r="F6" s="111" t="s">
        <v>548</v>
      </c>
      <c r="G6" s="7">
        <v>118450.73999999999</v>
      </c>
      <c r="H6" s="11">
        <f>(G6-G5)/G5</f>
        <v>-7.9804281147905859E-2</v>
      </c>
      <c r="I6" s="11"/>
      <c r="J6" s="6" t="s">
        <v>32</v>
      </c>
      <c r="K6" s="7">
        <v>229435.44999999987</v>
      </c>
      <c r="N6" s="5" t="s">
        <v>559</v>
      </c>
      <c r="O6" s="7">
        <v>131542.52999999994</v>
      </c>
      <c r="R6" s="5" t="s">
        <v>555</v>
      </c>
      <c r="S6" s="7">
        <v>115753.37</v>
      </c>
      <c r="T6" s="11">
        <f t="shared" si="0"/>
        <v>-2.2772082301891872E-2</v>
      </c>
      <c r="V6" s="5" t="s">
        <v>555</v>
      </c>
      <c r="W6" s="96">
        <v>-2.2772082301891872E-2</v>
      </c>
      <c r="X6" s="96"/>
    </row>
    <row r="7" spans="1:24" ht="15.75" x14ac:dyDescent="0.25">
      <c r="A7" s="10"/>
      <c r="B7" s="199">
        <v>1006</v>
      </c>
      <c r="C7" s="197"/>
      <c r="D7" s="200">
        <v>10651</v>
      </c>
      <c r="E7" s="10"/>
      <c r="F7" s="111" t="s">
        <v>555</v>
      </c>
      <c r="G7" s="7">
        <v>115753.37</v>
      </c>
      <c r="H7" s="11">
        <f t="shared" ref="H7:H15" si="1">(G7-G6)/G6</f>
        <v>-2.2772082301891872E-2</v>
      </c>
      <c r="I7" s="7"/>
      <c r="J7" s="6" t="s">
        <v>61</v>
      </c>
      <c r="K7" s="7">
        <v>202201.71</v>
      </c>
      <c r="L7" s="10"/>
      <c r="M7" s="10"/>
      <c r="N7" s="5" t="s">
        <v>554</v>
      </c>
      <c r="O7" s="7">
        <v>128723.41999999995</v>
      </c>
      <c r="R7" s="5" t="s">
        <v>556</v>
      </c>
      <c r="S7" s="7">
        <v>125637.77999999998</v>
      </c>
      <c r="T7" s="11">
        <f t="shared" si="0"/>
        <v>8.5391984699883808E-2</v>
      </c>
      <c r="V7" s="5" t="s">
        <v>556</v>
      </c>
      <c r="W7" s="96">
        <v>8.5391984699883808E-2</v>
      </c>
      <c r="X7" s="96"/>
    </row>
    <row r="8" spans="1:24" ht="18" customHeight="1" x14ac:dyDescent="0.25">
      <c r="A8" s="10"/>
      <c r="B8" s="35" t="s">
        <v>1118</v>
      </c>
      <c r="E8" s="10"/>
      <c r="F8" s="111" t="s">
        <v>556</v>
      </c>
      <c r="G8" s="7">
        <v>125637.77999999998</v>
      </c>
      <c r="H8" s="11">
        <f t="shared" si="1"/>
        <v>8.5391984699883808E-2</v>
      </c>
      <c r="J8" s="6" t="s">
        <v>39</v>
      </c>
      <c r="K8" s="7">
        <v>191782.69999999998</v>
      </c>
      <c r="L8" s="10"/>
      <c r="M8" s="10"/>
      <c r="N8" s="5" t="s">
        <v>553</v>
      </c>
      <c r="O8" s="7">
        <v>127951.48000000003</v>
      </c>
      <c r="R8" s="5" t="s">
        <v>549</v>
      </c>
      <c r="S8" s="7">
        <v>126802.88</v>
      </c>
      <c r="T8" s="11">
        <f t="shared" si="0"/>
        <v>9.2734844566659848E-3</v>
      </c>
      <c r="V8" s="5" t="s">
        <v>549</v>
      </c>
      <c r="W8" s="96">
        <v>9.2734844566659848E-3</v>
      </c>
      <c r="X8" s="96"/>
    </row>
    <row r="9" spans="1:24" ht="31.5" x14ac:dyDescent="0.25">
      <c r="A9" s="10"/>
      <c r="B9" s="203" t="s">
        <v>1122</v>
      </c>
      <c r="F9" s="111" t="s">
        <v>549</v>
      </c>
      <c r="G9" s="7">
        <v>126802.88</v>
      </c>
      <c r="H9" s="11">
        <f t="shared" si="1"/>
        <v>9.2734844566659848E-3</v>
      </c>
      <c r="J9" s="6" t="s">
        <v>14</v>
      </c>
      <c r="K9" s="7">
        <v>186632.60999999993</v>
      </c>
      <c r="L9" s="10"/>
      <c r="M9" s="10"/>
      <c r="N9" s="5" t="s">
        <v>549</v>
      </c>
      <c r="O9" s="7">
        <v>126802.88</v>
      </c>
      <c r="R9" s="5" t="s">
        <v>557</v>
      </c>
      <c r="S9" s="7">
        <v>140198.13</v>
      </c>
      <c r="T9" s="11">
        <f t="shared" si="0"/>
        <v>0.10563837351328298</v>
      </c>
      <c r="V9" s="5" t="s">
        <v>557</v>
      </c>
      <c r="W9" s="96">
        <v>0.10563837351328298</v>
      </c>
      <c r="X9" s="96"/>
    </row>
    <row r="10" spans="1:24" ht="15.75" x14ac:dyDescent="0.25">
      <c r="A10" s="10"/>
      <c r="B10" s="204">
        <v>137.06211904985452</v>
      </c>
      <c r="F10" s="111" t="s">
        <v>557</v>
      </c>
      <c r="G10" s="7">
        <v>140198.13</v>
      </c>
      <c r="H10" s="11">
        <f t="shared" si="1"/>
        <v>0.10563837351328298</v>
      </c>
      <c r="J10" s="6" t="s">
        <v>42</v>
      </c>
      <c r="K10" s="7">
        <v>177959.75999999992</v>
      </c>
      <c r="L10" s="10"/>
      <c r="M10" s="10"/>
      <c r="N10" s="5" t="s">
        <v>556</v>
      </c>
      <c r="O10" s="7">
        <v>125637.77999999998</v>
      </c>
      <c r="R10" s="5" t="s">
        <v>1068</v>
      </c>
      <c r="S10" s="7">
        <v>96240.749999999985</v>
      </c>
      <c r="T10" s="11">
        <f t="shared" si="0"/>
        <v>-0.31353756287619539</v>
      </c>
      <c r="V10" s="5" t="s">
        <v>1068</v>
      </c>
      <c r="W10" s="96">
        <v>-0.31353756287619539</v>
      </c>
      <c r="X10" s="96"/>
    </row>
    <row r="11" spans="1:24" ht="18" customHeight="1" x14ac:dyDescent="0.25">
      <c r="A11" s="104"/>
      <c r="B11" s="104"/>
      <c r="C11" s="104"/>
      <c r="F11" s="111" t="s">
        <v>1068</v>
      </c>
      <c r="G11" s="7">
        <v>96240.749999999985</v>
      </c>
      <c r="H11" s="11">
        <f t="shared" si="1"/>
        <v>-0.31353756287619539</v>
      </c>
      <c r="N11" s="5" t="s">
        <v>548</v>
      </c>
      <c r="O11" s="7">
        <v>118450.73999999999</v>
      </c>
      <c r="R11" s="5" t="s">
        <v>558</v>
      </c>
      <c r="S11" s="7">
        <v>98831.169999999955</v>
      </c>
      <c r="T11" s="11">
        <f t="shared" si="0"/>
        <v>2.6916041281889111E-2</v>
      </c>
      <c r="V11" s="5" t="s">
        <v>558</v>
      </c>
      <c r="W11" s="96">
        <v>2.6916041281889111E-2</v>
      </c>
      <c r="X11" s="96"/>
    </row>
    <row r="12" spans="1:24" ht="18" customHeight="1" x14ac:dyDescent="0.25">
      <c r="A12" s="104"/>
      <c r="B12" s="187" t="s">
        <v>1120</v>
      </c>
      <c r="C12" s="127"/>
      <c r="F12" s="111" t="s">
        <v>558</v>
      </c>
      <c r="G12" s="7">
        <v>98831.169999999955</v>
      </c>
      <c r="H12" s="11">
        <f t="shared" si="1"/>
        <v>2.6916041281889111E-2</v>
      </c>
      <c r="N12" s="5" t="s">
        <v>555</v>
      </c>
      <c r="O12" s="7">
        <v>115753.37</v>
      </c>
      <c r="R12" s="5" t="s">
        <v>552</v>
      </c>
      <c r="S12" s="7">
        <v>146726.46000000002</v>
      </c>
      <c r="T12" s="11">
        <f t="shared" si="0"/>
        <v>0.48461725182450122</v>
      </c>
      <c r="V12" s="5" t="s">
        <v>552</v>
      </c>
      <c r="W12" s="96">
        <v>0.48461725182450122</v>
      </c>
      <c r="X12" s="96"/>
    </row>
    <row r="13" spans="1:24" ht="29.25" x14ac:dyDescent="0.25">
      <c r="A13" s="104"/>
      <c r="B13" s="201" t="s">
        <v>1123</v>
      </c>
      <c r="F13" s="111" t="s">
        <v>552</v>
      </c>
      <c r="G13" s="7">
        <v>146726.46000000002</v>
      </c>
      <c r="H13" s="11">
        <f>(G13-G12)/G12</f>
        <v>0.48461725182450122</v>
      </c>
      <c r="J13" s="36" t="s">
        <v>1074</v>
      </c>
      <c r="N13" s="5" t="s">
        <v>547</v>
      </c>
      <c r="O13" s="7">
        <v>102989.92000000003</v>
      </c>
      <c r="R13" s="5" t="s">
        <v>559</v>
      </c>
      <c r="S13" s="7">
        <v>131542.52999999994</v>
      </c>
      <c r="T13" s="11">
        <f t="shared" si="0"/>
        <v>-0.10348460666194821</v>
      </c>
      <c r="V13" s="5" t="s">
        <v>559</v>
      </c>
      <c r="W13" s="96">
        <v>-0.10348460666194821</v>
      </c>
      <c r="X13" s="96"/>
    </row>
    <row r="14" spans="1:24" x14ac:dyDescent="0.25">
      <c r="A14" s="104"/>
      <c r="B14" s="202">
        <v>121654.05250000005</v>
      </c>
      <c r="F14" s="111" t="s">
        <v>559</v>
      </c>
      <c r="G14" s="7">
        <v>131542.52999999994</v>
      </c>
      <c r="H14" s="11">
        <f t="shared" si="1"/>
        <v>-0.10348460666194821</v>
      </c>
      <c r="J14" s="24" t="s">
        <v>5</v>
      </c>
      <c r="K14" s="24" t="s">
        <v>1066</v>
      </c>
      <c r="L14" s="24" t="s">
        <v>1085</v>
      </c>
      <c r="N14" s="5" t="s">
        <v>558</v>
      </c>
      <c r="O14" s="7">
        <v>98831.169999999955</v>
      </c>
      <c r="R14" s="5" t="s">
        <v>553</v>
      </c>
      <c r="S14" s="7">
        <v>127951.48000000003</v>
      </c>
      <c r="T14" s="11">
        <f t="shared" si="0"/>
        <v>-2.7299535747107168E-2</v>
      </c>
      <c r="V14" s="5" t="s">
        <v>553</v>
      </c>
      <c r="W14" s="96">
        <v>-2.7299535747107168E-2</v>
      </c>
      <c r="X14" s="96"/>
    </row>
    <row r="15" spans="1:24" x14ac:dyDescent="0.25">
      <c r="A15" s="104"/>
      <c r="B15" s="126"/>
      <c r="C15" s="127"/>
      <c r="F15" s="111" t="s">
        <v>553</v>
      </c>
      <c r="G15" s="7">
        <v>127951.48000000003</v>
      </c>
      <c r="H15" s="11">
        <f t="shared" si="1"/>
        <v>-2.7299535747107168E-2</v>
      </c>
      <c r="J15" s="24" t="s">
        <v>32</v>
      </c>
      <c r="K15" s="31">
        <f>IFERROR(VLOOKUP(J15,$J$4:$K$10,2,0),NA())</f>
        <v>229435.44999999987</v>
      </c>
      <c r="L15" s="24">
        <f>IF(K15=MAX($K$15:$K$21),J15,0)</f>
        <v>0</v>
      </c>
      <c r="N15" s="5" t="s">
        <v>1068</v>
      </c>
      <c r="O15" s="7">
        <v>96240.749999999985</v>
      </c>
      <c r="T15" s="11"/>
    </row>
    <row r="16" spans="1:24" x14ac:dyDescent="0.25">
      <c r="A16" s="104"/>
      <c r="B16" s="126"/>
      <c r="C16" s="127"/>
      <c r="J16" s="24" t="s">
        <v>61</v>
      </c>
      <c r="K16" s="31">
        <f t="shared" ref="K16:K21" si="2">IFERROR(VLOOKUP(J16,$J$4:$K$10,2,0),NA())</f>
        <v>202201.71</v>
      </c>
      <c r="L16" s="24">
        <f t="shared" ref="L16:L21" si="3">IF(K16=MAX($K$15:$K$21),J16,0)</f>
        <v>0</v>
      </c>
    </row>
    <row r="17" spans="1:22" x14ac:dyDescent="0.25">
      <c r="A17" s="104"/>
      <c r="B17" s="126"/>
      <c r="C17" s="127"/>
      <c r="J17" s="24" t="s">
        <v>42</v>
      </c>
      <c r="K17" s="31">
        <f t="shared" si="2"/>
        <v>177959.75999999992</v>
      </c>
      <c r="L17" s="24">
        <f t="shared" si="3"/>
        <v>0</v>
      </c>
      <c r="R17" s="5" t="s">
        <v>1074</v>
      </c>
    </row>
    <row r="18" spans="1:22" x14ac:dyDescent="0.25">
      <c r="B18" s="6"/>
      <c r="C18" s="29"/>
      <c r="F18" s="5" t="s">
        <v>560</v>
      </c>
      <c r="J18" s="24" t="s">
        <v>39</v>
      </c>
      <c r="K18" s="31">
        <f t="shared" si="2"/>
        <v>191782.69999999998</v>
      </c>
      <c r="L18" s="24">
        <f t="shared" si="3"/>
        <v>0</v>
      </c>
      <c r="N18" s="37" t="s">
        <v>1074</v>
      </c>
      <c r="R18" s="89" t="s">
        <v>1075</v>
      </c>
      <c r="S18" s="90" t="s">
        <v>1069</v>
      </c>
      <c r="T18" s="91" t="s">
        <v>1073</v>
      </c>
    </row>
    <row r="19" spans="1:22" x14ac:dyDescent="0.25">
      <c r="B19" s="6"/>
      <c r="C19" s="29"/>
      <c r="F19" s="4" t="s">
        <v>546</v>
      </c>
      <c r="G19" t="s">
        <v>545</v>
      </c>
      <c r="J19" s="24" t="s">
        <v>28</v>
      </c>
      <c r="K19" s="31">
        <f t="shared" si="2"/>
        <v>240051.9200000001</v>
      </c>
      <c r="L19" s="24" t="str">
        <f t="shared" si="3"/>
        <v>UAE</v>
      </c>
      <c r="N19" s="30" t="s">
        <v>1075</v>
      </c>
      <c r="O19" s="24" t="s">
        <v>1066</v>
      </c>
      <c r="P19" s="24" t="s">
        <v>1073</v>
      </c>
      <c r="R19" s="87" t="s">
        <v>547</v>
      </c>
      <c r="S19" s="32">
        <f>IFERROR(VLOOKUP(R19,$R$3:$T$14,3,0),0)</f>
        <v>0</v>
      </c>
      <c r="T19" s="88">
        <f>IF(S19=MAX($S$19:$S$30),R19,0)</f>
        <v>0</v>
      </c>
      <c r="V19" s="97">
        <f>IF(AND(W3=MAX($W$3:$W$12),W3&gt;0),V3,0)</f>
        <v>0</v>
      </c>
    </row>
    <row r="20" spans="1:22" x14ac:dyDescent="0.25">
      <c r="B20" s="6"/>
      <c r="C20" s="29"/>
      <c r="F20" s="5" t="s">
        <v>547</v>
      </c>
      <c r="G20" s="7">
        <v>102989.92000000003</v>
      </c>
      <c r="H20" s="12">
        <f>VLOOKUP(F20,$F$4:$H$15,3,FALSE)</f>
        <v>0</v>
      </c>
      <c r="J20" s="24" t="s">
        <v>14</v>
      </c>
      <c r="K20" s="31">
        <f t="shared" si="2"/>
        <v>186632.60999999993</v>
      </c>
      <c r="L20" s="24">
        <f t="shared" si="3"/>
        <v>0</v>
      </c>
      <c r="N20" s="30" t="s">
        <v>547</v>
      </c>
      <c r="O20" s="31">
        <f t="shared" ref="O20:O31" si="4">IFERROR(VLOOKUP(N20,$N$4:$O$15,2,0),NA())</f>
        <v>102989.92000000003</v>
      </c>
      <c r="P20" s="24">
        <f t="shared" ref="P20:P31" si="5">IF(O20=MAX($O$20:$O$31),N20,0)</f>
        <v>0</v>
      </c>
      <c r="R20" s="87" t="s">
        <v>554</v>
      </c>
      <c r="S20" s="32">
        <f>IFERROR(VLOOKUP(R20,$R$3:$T$14,3,0),NA())</f>
        <v>0.24986425856044864</v>
      </c>
      <c r="T20" s="88">
        <f t="shared" ref="T20:T30" si="6">IF(S20=MAX($S$19:$S$30),R20,0)</f>
        <v>0</v>
      </c>
      <c r="V20" s="97">
        <f t="shared" ref="V20:V30" si="7">IF(W4=MAX($W$3:$W$12),V4,0)</f>
        <v>0</v>
      </c>
    </row>
    <row r="21" spans="1:22" x14ac:dyDescent="0.25">
      <c r="B21" s="6"/>
      <c r="C21" s="29"/>
      <c r="F21" s="5" t="s">
        <v>554</v>
      </c>
      <c r="G21" s="7">
        <v>128723.41999999995</v>
      </c>
      <c r="J21" s="24" t="s">
        <v>19</v>
      </c>
      <c r="K21" s="31">
        <f t="shared" si="2"/>
        <v>231784.47999999992</v>
      </c>
      <c r="L21" s="24">
        <f t="shared" si="3"/>
        <v>0</v>
      </c>
      <c r="N21" s="30" t="s">
        <v>554</v>
      </c>
      <c r="O21" s="31">
        <f t="shared" si="4"/>
        <v>128723.41999999995</v>
      </c>
      <c r="P21" s="24">
        <f t="shared" si="5"/>
        <v>0</v>
      </c>
      <c r="R21" s="87" t="s">
        <v>548</v>
      </c>
      <c r="S21" s="32">
        <f t="shared" ref="S21:S30" si="8">IFERROR(VLOOKUP(R21,$R$3:$T$14,3,0),NA())</f>
        <v>-7.9804281147905859E-2</v>
      </c>
      <c r="T21" s="88">
        <f>IF(S21=MAX($S$19:$S$30),R21,0)</f>
        <v>0</v>
      </c>
      <c r="V21" s="97">
        <f t="shared" si="7"/>
        <v>0</v>
      </c>
    </row>
    <row r="22" spans="1:22" x14ac:dyDescent="0.25">
      <c r="B22" s="6"/>
      <c r="C22" s="29"/>
      <c r="F22" s="5" t="s">
        <v>548</v>
      </c>
      <c r="G22" s="7">
        <v>118450.73999999999</v>
      </c>
      <c r="H22" s="13" t="str">
        <f>IF(H20&gt;=0, "▲ "&amp;TEXT(H20,"0,00%"), "▼ "&amp;TEXT(ABS(H20),"0,00%"))</f>
        <v>▲ 0,00%</v>
      </c>
      <c r="J22" s="235" t="s">
        <v>1085</v>
      </c>
      <c r="K22" s="235"/>
      <c r="L22" s="24" t="str">
        <f t="array" ref="L22">INDEX(L15:L21,MATCH(TRUE,ISTEXT(L15:L21),0))</f>
        <v>UAE</v>
      </c>
      <c r="N22" s="30" t="s">
        <v>548</v>
      </c>
      <c r="O22" s="31">
        <f t="shared" si="4"/>
        <v>118450.73999999999</v>
      </c>
      <c r="P22" s="24">
        <f t="shared" si="5"/>
        <v>0</v>
      </c>
      <c r="R22" s="87" t="s">
        <v>555</v>
      </c>
      <c r="S22" s="32">
        <f t="shared" si="8"/>
        <v>-2.2772082301891872E-2</v>
      </c>
      <c r="T22" s="88">
        <f t="shared" si="6"/>
        <v>0</v>
      </c>
      <c r="V22" s="97">
        <f t="shared" si="7"/>
        <v>0</v>
      </c>
    </row>
    <row r="23" spans="1:22" x14ac:dyDescent="0.25">
      <c r="B23" s="6"/>
      <c r="C23" s="29"/>
      <c r="F23" s="5" t="s">
        <v>555</v>
      </c>
      <c r="G23" s="7">
        <v>115753.37</v>
      </c>
      <c r="N23" s="30" t="s">
        <v>555</v>
      </c>
      <c r="O23" s="31">
        <f t="shared" si="4"/>
        <v>115753.37</v>
      </c>
      <c r="P23" s="24">
        <f t="shared" si="5"/>
        <v>0</v>
      </c>
      <c r="R23" s="87" t="s">
        <v>556</v>
      </c>
      <c r="S23" s="32">
        <f t="shared" si="8"/>
        <v>8.5391984699883808E-2</v>
      </c>
      <c r="T23" s="88">
        <f t="shared" si="6"/>
        <v>0</v>
      </c>
      <c r="V23" s="97">
        <f t="shared" si="7"/>
        <v>0</v>
      </c>
    </row>
    <row r="24" spans="1:22" x14ac:dyDescent="0.25">
      <c r="B24" s="6"/>
      <c r="C24" s="29"/>
      <c r="F24" s="5" t="s">
        <v>556</v>
      </c>
      <c r="G24" s="7">
        <v>125637.77999999998</v>
      </c>
      <c r="H24" t="str">
        <f>IF(IFERROR(H22,"No Growth")="No Growth","No Growth",H22)</f>
        <v>▲ 0,00%</v>
      </c>
      <c r="J24" s="236" t="s">
        <v>1086</v>
      </c>
      <c r="K24" s="236"/>
      <c r="L24" s="24" t="str">
        <f>IF(COUNTA($J$4:$J$10)=7,L22,J4)</f>
        <v>UAE</v>
      </c>
      <c r="N24" s="30" t="s">
        <v>556</v>
      </c>
      <c r="O24" s="31">
        <f t="shared" si="4"/>
        <v>125637.77999999998</v>
      </c>
      <c r="P24" s="24">
        <f t="shared" si="5"/>
        <v>0</v>
      </c>
      <c r="R24" s="87" t="s">
        <v>549</v>
      </c>
      <c r="S24" s="32">
        <f t="shared" si="8"/>
        <v>9.2734844566659848E-3</v>
      </c>
      <c r="T24" s="88">
        <f t="shared" si="6"/>
        <v>0</v>
      </c>
      <c r="V24" s="97">
        <f t="shared" si="7"/>
        <v>0</v>
      </c>
    </row>
    <row r="25" spans="1:22" x14ac:dyDescent="0.25">
      <c r="B25" s="6"/>
      <c r="C25" s="29"/>
      <c r="F25" s="5" t="s">
        <v>549</v>
      </c>
      <c r="G25" s="7">
        <v>126802.88</v>
      </c>
      <c r="J25" s="236"/>
      <c r="K25" s="236"/>
      <c r="L25" s="24" t="str">
        <f>IF(L24=0,"No Country",L24)</f>
        <v>UAE</v>
      </c>
      <c r="N25" s="30" t="s">
        <v>549</v>
      </c>
      <c r="O25" s="31">
        <f t="shared" si="4"/>
        <v>126802.88</v>
      </c>
      <c r="P25" s="24">
        <f t="shared" si="5"/>
        <v>0</v>
      </c>
      <c r="R25" s="87" t="s">
        <v>557</v>
      </c>
      <c r="S25" s="32">
        <f t="shared" si="8"/>
        <v>0.10563837351328298</v>
      </c>
      <c r="T25" s="88">
        <f t="shared" si="6"/>
        <v>0</v>
      </c>
      <c r="V25" s="97">
        <f t="shared" si="7"/>
        <v>0</v>
      </c>
    </row>
    <row r="26" spans="1:22" x14ac:dyDescent="0.25">
      <c r="B26" s="6"/>
      <c r="C26" s="29"/>
      <c r="F26" s="5" t="s">
        <v>557</v>
      </c>
      <c r="G26" s="7">
        <v>140198.13</v>
      </c>
      <c r="N26" s="30" t="s">
        <v>557</v>
      </c>
      <c r="O26" s="31">
        <f t="shared" si="4"/>
        <v>140198.13</v>
      </c>
      <c r="P26" s="24">
        <f t="shared" si="5"/>
        <v>0</v>
      </c>
      <c r="R26" s="87" t="s">
        <v>1068</v>
      </c>
      <c r="S26" s="32">
        <f t="shared" si="8"/>
        <v>-0.31353756287619539</v>
      </c>
      <c r="T26" s="88">
        <f>IF(S26=MAX($S$19:$S$30),R26,0)</f>
        <v>0</v>
      </c>
      <c r="V26" s="97">
        <f t="shared" si="7"/>
        <v>0</v>
      </c>
    </row>
    <row r="27" spans="1:22" x14ac:dyDescent="0.25">
      <c r="B27" s="6"/>
      <c r="C27" s="29"/>
      <c r="F27" s="5" t="s">
        <v>1068</v>
      </c>
      <c r="G27" s="7">
        <v>96240.749999999985</v>
      </c>
      <c r="N27" s="30" t="s">
        <v>1068</v>
      </c>
      <c r="O27" s="31">
        <f t="shared" si="4"/>
        <v>96240.749999999985</v>
      </c>
      <c r="P27" s="24">
        <f t="shared" si="5"/>
        <v>0</v>
      </c>
      <c r="R27" s="87" t="s">
        <v>558</v>
      </c>
      <c r="S27" s="32">
        <f t="shared" si="8"/>
        <v>2.6916041281889111E-2</v>
      </c>
      <c r="T27" s="88">
        <f t="shared" si="6"/>
        <v>0</v>
      </c>
      <c r="V27" s="97">
        <f t="shared" si="7"/>
        <v>0</v>
      </c>
    </row>
    <row r="28" spans="1:22" x14ac:dyDescent="0.25">
      <c r="B28" s="6"/>
      <c r="C28" s="29"/>
      <c r="F28" s="5" t="s">
        <v>558</v>
      </c>
      <c r="G28" s="7">
        <v>98831.169999999955</v>
      </c>
      <c r="N28" s="30" t="s">
        <v>558</v>
      </c>
      <c r="O28" s="31">
        <f t="shared" si="4"/>
        <v>98831.169999999955</v>
      </c>
      <c r="P28" s="24">
        <f t="shared" si="5"/>
        <v>0</v>
      </c>
      <c r="R28" s="87" t="s">
        <v>552</v>
      </c>
      <c r="S28" s="32">
        <f t="shared" si="8"/>
        <v>0.48461725182450122</v>
      </c>
      <c r="T28" s="88" t="str">
        <f t="shared" si="6"/>
        <v>Okt</v>
      </c>
      <c r="V28" s="97" t="str">
        <f t="shared" si="7"/>
        <v>Okt</v>
      </c>
    </row>
    <row r="29" spans="1:22" x14ac:dyDescent="0.25">
      <c r="B29" s="6"/>
      <c r="C29" s="29"/>
      <c r="F29" s="5" t="s">
        <v>552</v>
      </c>
      <c r="G29" s="7">
        <v>146726.46000000002</v>
      </c>
      <c r="N29" s="30" t="s">
        <v>552</v>
      </c>
      <c r="O29" s="31">
        <f t="shared" si="4"/>
        <v>146726.46000000002</v>
      </c>
      <c r="P29" s="24" t="str">
        <f t="shared" si="5"/>
        <v>Okt</v>
      </c>
      <c r="R29" s="87" t="s">
        <v>559</v>
      </c>
      <c r="S29" s="32">
        <f t="shared" si="8"/>
        <v>-0.10348460666194821</v>
      </c>
      <c r="T29" s="88">
        <f t="shared" si="6"/>
        <v>0</v>
      </c>
      <c r="V29" s="97">
        <f t="shared" si="7"/>
        <v>0</v>
      </c>
    </row>
    <row r="30" spans="1:22" x14ac:dyDescent="0.25">
      <c r="B30" s="6"/>
      <c r="C30" s="29"/>
      <c r="F30" s="5" t="s">
        <v>559</v>
      </c>
      <c r="G30" s="7">
        <v>131542.52999999994</v>
      </c>
      <c r="N30" s="30" t="s">
        <v>559</v>
      </c>
      <c r="O30" s="31">
        <f t="shared" si="4"/>
        <v>131542.52999999994</v>
      </c>
      <c r="P30" s="24">
        <f t="shared" si="5"/>
        <v>0</v>
      </c>
      <c r="R30" s="92" t="s">
        <v>553</v>
      </c>
      <c r="S30" s="93">
        <f t="shared" si="8"/>
        <v>-2.7299535747107168E-2</v>
      </c>
      <c r="T30" s="94">
        <f t="shared" si="6"/>
        <v>0</v>
      </c>
      <c r="V30" s="97">
        <f t="shared" si="7"/>
        <v>0</v>
      </c>
    </row>
    <row r="31" spans="1:22" x14ac:dyDescent="0.25">
      <c r="B31" s="6"/>
      <c r="C31" s="29"/>
      <c r="F31" s="5" t="s">
        <v>553</v>
      </c>
      <c r="G31" s="7">
        <v>127951.48000000003</v>
      </c>
      <c r="N31" s="30" t="s">
        <v>553</v>
      </c>
      <c r="O31" s="31">
        <f t="shared" si="4"/>
        <v>127951.48000000003</v>
      </c>
      <c r="P31" s="24">
        <f t="shared" si="5"/>
        <v>0</v>
      </c>
      <c r="R31" s="235" t="s">
        <v>1077</v>
      </c>
      <c r="S31" s="235"/>
      <c r="T31" s="24" t="str">
        <f t="array" ref="T31">INDEX(T19:T30,MATCH(TRUE,ISTEXT(T19:T30),0))</f>
        <v>Okt</v>
      </c>
      <c r="V31" s="95" t="str">
        <f t="array" ref="V31">INDEX(V19:V30,MATCH(TRUE,ISTEXT(V19:V30),0))</f>
        <v>Okt</v>
      </c>
    </row>
    <row r="32" spans="1:22" x14ac:dyDescent="0.25">
      <c r="B32" s="6"/>
      <c r="C32" s="29"/>
      <c r="N32" s="235" t="s">
        <v>1073</v>
      </c>
      <c r="O32" s="235"/>
      <c r="P32" s="24" t="str">
        <f t="array" ref="P32">INDEX(P20:P31,MATCH(TRUE,ISTEXT(P20:P31),0))</f>
        <v>Okt</v>
      </c>
    </row>
    <row r="33" spans="2:22" x14ac:dyDescent="0.25">
      <c r="B33" s="6"/>
      <c r="C33" s="29"/>
      <c r="R33" s="233" t="s">
        <v>1078</v>
      </c>
      <c r="S33" s="233"/>
      <c r="T33" s="24" t="str">
        <f>IF(V31=0,"No Month",V31)</f>
        <v>Okt</v>
      </c>
      <c r="V33" s="95" t="str">
        <f>IF(IFERROR(V31,"No Month")="No Month","No Month",V31)</f>
        <v>Okt</v>
      </c>
    </row>
    <row r="34" spans="2:22" ht="16.5" customHeight="1" x14ac:dyDescent="0.25">
      <c r="B34" s="6"/>
      <c r="C34" s="29"/>
      <c r="N34" s="232" t="s">
        <v>1076</v>
      </c>
      <c r="O34" s="232"/>
      <c r="P34" s="24" t="str">
        <f>IF(COUNTA(N4:N15)=12,P32,N4)</f>
        <v>Okt</v>
      </c>
      <c r="R34" s="233"/>
      <c r="S34" s="233"/>
      <c r="T34" s="24" t="str">
        <f>IF(V31="#N/A","No Month",V31)</f>
        <v>Okt</v>
      </c>
    </row>
    <row r="35" spans="2:22" x14ac:dyDescent="0.25">
      <c r="B35" s="6"/>
      <c r="C35" s="29"/>
      <c r="N35" s="232"/>
      <c r="O35" s="232"/>
      <c r="P35" s="24" t="str">
        <f>IF(P34=0,"No Month",P34)</f>
        <v>Okt</v>
      </c>
    </row>
    <row r="36" spans="2:22" x14ac:dyDescent="0.25">
      <c r="B36" s="6"/>
      <c r="C36" s="29"/>
      <c r="D36" s="6"/>
      <c r="E36" s="29"/>
      <c r="F36" s="29"/>
    </row>
    <row r="37" spans="2:22" x14ac:dyDescent="0.25">
      <c r="B37" s="6"/>
      <c r="C37" s="29"/>
      <c r="D37" s="6"/>
      <c r="E37" s="29"/>
      <c r="F37" s="29"/>
    </row>
    <row r="38" spans="2:22" x14ac:dyDescent="0.25">
      <c r="B38" s="6"/>
      <c r="C38" s="29"/>
      <c r="D38" s="6"/>
      <c r="E38" s="29"/>
      <c r="F38" s="29"/>
    </row>
    <row r="39" spans="2:22" x14ac:dyDescent="0.25">
      <c r="B39" s="6"/>
      <c r="C39" s="29"/>
      <c r="D39" s="6"/>
      <c r="E39" s="29"/>
      <c r="F39" s="29"/>
    </row>
    <row r="40" spans="2:22" x14ac:dyDescent="0.25">
      <c r="B40" s="6"/>
      <c r="C40" s="29"/>
    </row>
    <row r="41" spans="2:22" x14ac:dyDescent="0.25">
      <c r="B41" s="6"/>
      <c r="C41" s="29"/>
    </row>
    <row r="42" spans="2:22" x14ac:dyDescent="0.25">
      <c r="B42" s="6"/>
      <c r="C42" s="29"/>
    </row>
    <row r="43" spans="2:22" x14ac:dyDescent="0.25">
      <c r="B43" s="6"/>
      <c r="C43" s="29"/>
    </row>
    <row r="44" spans="2:22" x14ac:dyDescent="0.25">
      <c r="B44" s="6"/>
      <c r="C44" s="29"/>
    </row>
    <row r="45" spans="2:22" x14ac:dyDescent="0.25">
      <c r="B45" s="6"/>
      <c r="C45" s="29"/>
    </row>
    <row r="46" spans="2:22" x14ac:dyDescent="0.25">
      <c r="B46" s="6"/>
      <c r="C46" s="29"/>
    </row>
    <row r="47" spans="2:22" x14ac:dyDescent="0.25">
      <c r="B47" s="6"/>
      <c r="C47" s="29"/>
    </row>
    <row r="48" spans="2:22" x14ac:dyDescent="0.25">
      <c r="B48" s="6"/>
      <c r="C48" s="29"/>
    </row>
    <row r="49" spans="2:3" x14ac:dyDescent="0.25">
      <c r="B49" s="6"/>
      <c r="C49" s="29"/>
    </row>
    <row r="50" spans="2:3" x14ac:dyDescent="0.25">
      <c r="B50" s="6"/>
      <c r="C50" s="29"/>
    </row>
    <row r="51" spans="2:3" x14ac:dyDescent="0.25">
      <c r="B51" s="6"/>
      <c r="C51" s="29"/>
    </row>
    <row r="52" spans="2:3" x14ac:dyDescent="0.25">
      <c r="B52" s="6"/>
      <c r="C52" s="29"/>
    </row>
    <row r="53" spans="2:3" x14ac:dyDescent="0.25">
      <c r="B53" s="6"/>
      <c r="C53" s="29"/>
    </row>
    <row r="54" spans="2:3" x14ac:dyDescent="0.25">
      <c r="B54" s="6"/>
      <c r="C54" s="29"/>
    </row>
    <row r="55" spans="2:3" x14ac:dyDescent="0.25">
      <c r="B55" s="6"/>
      <c r="C55" s="29"/>
    </row>
    <row r="56" spans="2:3" x14ac:dyDescent="0.25">
      <c r="B56" s="6"/>
      <c r="C56" s="29"/>
    </row>
    <row r="57" spans="2:3" x14ac:dyDescent="0.25">
      <c r="B57" s="6"/>
      <c r="C57" s="29"/>
    </row>
    <row r="58" spans="2:3" x14ac:dyDescent="0.25">
      <c r="B58" s="6"/>
      <c r="C58" s="29"/>
    </row>
    <row r="59" spans="2:3" x14ac:dyDescent="0.25">
      <c r="B59" s="6"/>
      <c r="C59" s="29"/>
    </row>
    <row r="60" spans="2:3" x14ac:dyDescent="0.25">
      <c r="B60" s="6"/>
      <c r="C60" s="29"/>
    </row>
    <row r="61" spans="2:3" x14ac:dyDescent="0.25">
      <c r="B61" s="6"/>
      <c r="C61" s="29"/>
    </row>
    <row r="62" spans="2:3" x14ac:dyDescent="0.25">
      <c r="B62" s="6"/>
      <c r="C62" s="29"/>
    </row>
    <row r="63" spans="2:3" x14ac:dyDescent="0.25">
      <c r="B63" s="6"/>
      <c r="C63" s="29"/>
    </row>
    <row r="64" spans="2:3" x14ac:dyDescent="0.25">
      <c r="B64" s="6"/>
      <c r="C64" s="29"/>
    </row>
    <row r="65" spans="2:3" x14ac:dyDescent="0.25">
      <c r="B65" s="6"/>
      <c r="C65" s="29"/>
    </row>
    <row r="66" spans="2:3" x14ac:dyDescent="0.25">
      <c r="B66" s="6"/>
      <c r="C66" s="29"/>
    </row>
    <row r="67" spans="2:3" x14ac:dyDescent="0.25">
      <c r="B67" s="6"/>
      <c r="C67" s="29"/>
    </row>
    <row r="68" spans="2:3" x14ac:dyDescent="0.25">
      <c r="B68" s="6"/>
      <c r="C68" s="29"/>
    </row>
    <row r="69" spans="2:3" x14ac:dyDescent="0.25">
      <c r="B69" s="6"/>
      <c r="C69" s="29"/>
    </row>
    <row r="70" spans="2:3" x14ac:dyDescent="0.25">
      <c r="B70" s="6"/>
      <c r="C70" s="29"/>
    </row>
    <row r="71" spans="2:3" x14ac:dyDescent="0.25">
      <c r="B71" s="6"/>
      <c r="C71" s="29"/>
    </row>
    <row r="72" spans="2:3" x14ac:dyDescent="0.25">
      <c r="B72" s="6"/>
      <c r="C72" s="29"/>
    </row>
    <row r="73" spans="2:3" x14ac:dyDescent="0.25">
      <c r="B73" s="6"/>
      <c r="C73" s="29"/>
    </row>
    <row r="74" spans="2:3" x14ac:dyDescent="0.25">
      <c r="B74" s="6"/>
      <c r="C74" s="29"/>
    </row>
    <row r="75" spans="2:3" x14ac:dyDescent="0.25">
      <c r="B75" s="6"/>
      <c r="C75" s="29"/>
    </row>
    <row r="76" spans="2:3" x14ac:dyDescent="0.25">
      <c r="B76" s="6"/>
      <c r="C76" s="29"/>
    </row>
    <row r="77" spans="2:3" x14ac:dyDescent="0.25">
      <c r="B77" s="6"/>
      <c r="C77" s="29"/>
    </row>
    <row r="78" spans="2:3" x14ac:dyDescent="0.25">
      <c r="B78" s="6"/>
      <c r="C78" s="29"/>
    </row>
    <row r="79" spans="2:3" x14ac:dyDescent="0.25">
      <c r="B79" s="6"/>
      <c r="C79" s="29"/>
    </row>
    <row r="80" spans="2:3" x14ac:dyDescent="0.25">
      <c r="B80" s="6"/>
      <c r="C80" s="29"/>
    </row>
    <row r="81" spans="2:3" x14ac:dyDescent="0.25">
      <c r="B81" s="6"/>
      <c r="C81" s="29"/>
    </row>
    <row r="82" spans="2:3" x14ac:dyDescent="0.25">
      <c r="B82" s="6"/>
      <c r="C82" s="29"/>
    </row>
    <row r="83" spans="2:3" x14ac:dyDescent="0.25">
      <c r="B83" s="6"/>
      <c r="C83" s="29"/>
    </row>
    <row r="84" spans="2:3" x14ac:dyDescent="0.25">
      <c r="B84" s="6"/>
      <c r="C84" s="29"/>
    </row>
    <row r="85" spans="2:3" x14ac:dyDescent="0.25">
      <c r="B85" s="6"/>
      <c r="C85" s="29"/>
    </row>
    <row r="86" spans="2:3" x14ac:dyDescent="0.25">
      <c r="B86" s="6"/>
      <c r="C86" s="29"/>
    </row>
    <row r="87" spans="2:3" x14ac:dyDescent="0.25">
      <c r="B87" s="6"/>
      <c r="C87" s="29"/>
    </row>
    <row r="88" spans="2:3" x14ac:dyDescent="0.25">
      <c r="B88" s="6"/>
      <c r="C88" s="29"/>
    </row>
    <row r="89" spans="2:3" x14ac:dyDescent="0.25">
      <c r="B89" s="6"/>
      <c r="C89" s="29"/>
    </row>
    <row r="90" spans="2:3" x14ac:dyDescent="0.25">
      <c r="B90" s="6"/>
      <c r="C90" s="29"/>
    </row>
    <row r="91" spans="2:3" x14ac:dyDescent="0.25">
      <c r="B91" s="6"/>
      <c r="C91" s="29"/>
    </row>
    <row r="92" spans="2:3" x14ac:dyDescent="0.25">
      <c r="B92" s="6"/>
      <c r="C92" s="29"/>
    </row>
    <row r="93" spans="2:3" x14ac:dyDescent="0.25">
      <c r="B93" s="6"/>
      <c r="C93" s="29"/>
    </row>
    <row r="94" spans="2:3" x14ac:dyDescent="0.25">
      <c r="B94" s="6"/>
      <c r="C94" s="29"/>
    </row>
    <row r="95" spans="2:3" x14ac:dyDescent="0.25">
      <c r="B95" s="6"/>
      <c r="C95" s="29"/>
    </row>
    <row r="96" spans="2:3" x14ac:dyDescent="0.25">
      <c r="B96" s="6"/>
      <c r="C96" s="29"/>
    </row>
    <row r="97" spans="2:3" x14ac:dyDescent="0.25">
      <c r="B97" s="6"/>
      <c r="C97" s="29"/>
    </row>
    <row r="98" spans="2:3" x14ac:dyDescent="0.25">
      <c r="B98" s="6"/>
      <c r="C98" s="29"/>
    </row>
    <row r="99" spans="2:3" x14ac:dyDescent="0.25">
      <c r="B99" s="6"/>
      <c r="C99" s="29"/>
    </row>
    <row r="100" spans="2:3" x14ac:dyDescent="0.25">
      <c r="B100" s="6"/>
      <c r="C100" s="29"/>
    </row>
    <row r="101" spans="2:3" x14ac:dyDescent="0.25">
      <c r="B101" s="6"/>
      <c r="C101" s="29"/>
    </row>
    <row r="102" spans="2:3" x14ac:dyDescent="0.25">
      <c r="B102" s="6"/>
      <c r="C102" s="29"/>
    </row>
    <row r="103" spans="2:3" x14ac:dyDescent="0.25">
      <c r="B103" s="6"/>
      <c r="C103" s="29"/>
    </row>
    <row r="104" spans="2:3" x14ac:dyDescent="0.25">
      <c r="B104" s="6"/>
      <c r="C104" s="29"/>
    </row>
    <row r="105" spans="2:3" x14ac:dyDescent="0.25">
      <c r="B105" s="6"/>
      <c r="C105" s="29"/>
    </row>
    <row r="106" spans="2:3" x14ac:dyDescent="0.25">
      <c r="B106" s="6"/>
      <c r="C106" s="29"/>
    </row>
    <row r="107" spans="2:3" x14ac:dyDescent="0.25">
      <c r="B107" s="6"/>
      <c r="C107" s="29"/>
    </row>
    <row r="108" spans="2:3" x14ac:dyDescent="0.25">
      <c r="B108" s="6"/>
      <c r="C108" s="29"/>
    </row>
    <row r="109" spans="2:3" x14ac:dyDescent="0.25">
      <c r="B109" s="6"/>
      <c r="C109" s="29"/>
    </row>
    <row r="110" spans="2:3" x14ac:dyDescent="0.25">
      <c r="B110" s="6"/>
      <c r="C110" s="29"/>
    </row>
    <row r="111" spans="2:3" x14ac:dyDescent="0.25">
      <c r="B111" s="6"/>
      <c r="C111" s="29"/>
    </row>
    <row r="112" spans="2:3" x14ac:dyDescent="0.25">
      <c r="B112" s="6"/>
      <c r="C112" s="29"/>
    </row>
    <row r="113" spans="2:3" x14ac:dyDescent="0.25">
      <c r="B113" s="6"/>
      <c r="C113" s="29"/>
    </row>
    <row r="114" spans="2:3" x14ac:dyDescent="0.25">
      <c r="B114" s="6"/>
      <c r="C114" s="29"/>
    </row>
    <row r="115" spans="2:3" x14ac:dyDescent="0.25">
      <c r="B115" s="6"/>
      <c r="C115" s="29"/>
    </row>
    <row r="116" spans="2:3" x14ac:dyDescent="0.25">
      <c r="B116" s="6"/>
      <c r="C116" s="29"/>
    </row>
    <row r="117" spans="2:3" x14ac:dyDescent="0.25">
      <c r="B117" s="6"/>
      <c r="C117" s="29"/>
    </row>
    <row r="118" spans="2:3" x14ac:dyDescent="0.25">
      <c r="B118" s="6"/>
      <c r="C118" s="29"/>
    </row>
    <row r="119" spans="2:3" x14ac:dyDescent="0.25">
      <c r="B119" s="6"/>
      <c r="C119" s="29"/>
    </row>
    <row r="120" spans="2:3" x14ac:dyDescent="0.25">
      <c r="B120" s="6"/>
      <c r="C120" s="29"/>
    </row>
    <row r="121" spans="2:3" x14ac:dyDescent="0.25">
      <c r="B121" s="6"/>
      <c r="C121" s="29"/>
    </row>
    <row r="122" spans="2:3" x14ac:dyDescent="0.25">
      <c r="B122" s="6"/>
      <c r="C122" s="29"/>
    </row>
    <row r="123" spans="2:3" x14ac:dyDescent="0.25">
      <c r="B123" s="6"/>
      <c r="C123" s="29"/>
    </row>
    <row r="124" spans="2:3" x14ac:dyDescent="0.25">
      <c r="B124" s="6"/>
      <c r="C124" s="29"/>
    </row>
    <row r="125" spans="2:3" x14ac:dyDescent="0.25">
      <c r="B125" s="6"/>
      <c r="C125" s="29"/>
    </row>
    <row r="126" spans="2:3" x14ac:dyDescent="0.25">
      <c r="B126" s="6"/>
      <c r="C126" s="29"/>
    </row>
    <row r="127" spans="2:3" x14ac:dyDescent="0.25">
      <c r="B127" s="6"/>
      <c r="C127" s="29"/>
    </row>
    <row r="128" spans="2:3" x14ac:dyDescent="0.25">
      <c r="B128" s="6"/>
      <c r="C128" s="29"/>
    </row>
    <row r="129" spans="2:3" x14ac:dyDescent="0.25">
      <c r="B129" s="6"/>
      <c r="C129" s="29"/>
    </row>
    <row r="130" spans="2:3" x14ac:dyDescent="0.25">
      <c r="B130" s="6"/>
      <c r="C130" s="29"/>
    </row>
    <row r="131" spans="2:3" x14ac:dyDescent="0.25">
      <c r="B131" s="6"/>
      <c r="C131" s="29"/>
    </row>
    <row r="132" spans="2:3" x14ac:dyDescent="0.25">
      <c r="B132" s="6"/>
      <c r="C132" s="29"/>
    </row>
    <row r="133" spans="2:3" x14ac:dyDescent="0.25">
      <c r="B133" s="6"/>
      <c r="C133" s="29"/>
    </row>
    <row r="134" spans="2:3" x14ac:dyDescent="0.25">
      <c r="B134" s="6"/>
      <c r="C134" s="29"/>
    </row>
    <row r="135" spans="2:3" x14ac:dyDescent="0.25">
      <c r="B135" s="6"/>
      <c r="C135" s="29"/>
    </row>
    <row r="136" spans="2:3" x14ac:dyDescent="0.25">
      <c r="B136" s="6"/>
      <c r="C136" s="29"/>
    </row>
    <row r="137" spans="2:3" x14ac:dyDescent="0.25">
      <c r="B137" s="6"/>
      <c r="C137" s="29"/>
    </row>
    <row r="138" spans="2:3" x14ac:dyDescent="0.25">
      <c r="B138" s="6"/>
      <c r="C138" s="29"/>
    </row>
    <row r="139" spans="2:3" x14ac:dyDescent="0.25">
      <c r="B139" s="6"/>
      <c r="C139" s="29"/>
    </row>
    <row r="140" spans="2:3" x14ac:dyDescent="0.25">
      <c r="B140" s="6"/>
      <c r="C140" s="29"/>
    </row>
    <row r="141" spans="2:3" x14ac:dyDescent="0.25">
      <c r="B141" s="6"/>
      <c r="C141" s="29"/>
    </row>
    <row r="142" spans="2:3" x14ac:dyDescent="0.25">
      <c r="B142" s="6"/>
      <c r="C142" s="29"/>
    </row>
    <row r="143" spans="2:3" x14ac:dyDescent="0.25">
      <c r="B143" s="6"/>
      <c r="C143" s="29"/>
    </row>
    <row r="144" spans="2:3" x14ac:dyDescent="0.25">
      <c r="B144" s="6"/>
      <c r="C144" s="29"/>
    </row>
    <row r="145" spans="2:3" x14ac:dyDescent="0.25">
      <c r="B145" s="6"/>
      <c r="C145" s="29"/>
    </row>
    <row r="146" spans="2:3" x14ac:dyDescent="0.25">
      <c r="B146" s="6"/>
      <c r="C146" s="29"/>
    </row>
    <row r="147" spans="2:3" x14ac:dyDescent="0.25">
      <c r="B147" s="6"/>
      <c r="C147" s="29"/>
    </row>
    <row r="148" spans="2:3" x14ac:dyDescent="0.25">
      <c r="B148" s="6"/>
      <c r="C148" s="29"/>
    </row>
    <row r="149" spans="2:3" x14ac:dyDescent="0.25">
      <c r="B149" s="6"/>
      <c r="C149" s="29"/>
    </row>
    <row r="150" spans="2:3" x14ac:dyDescent="0.25">
      <c r="B150" s="6"/>
      <c r="C150" s="29"/>
    </row>
    <row r="151" spans="2:3" x14ac:dyDescent="0.25">
      <c r="B151" s="6"/>
      <c r="C151" s="29"/>
    </row>
    <row r="152" spans="2:3" x14ac:dyDescent="0.25">
      <c r="B152" s="6"/>
      <c r="C152" s="29"/>
    </row>
    <row r="153" spans="2:3" x14ac:dyDescent="0.25">
      <c r="B153" s="6"/>
      <c r="C153" s="29"/>
    </row>
    <row r="154" spans="2:3" x14ac:dyDescent="0.25">
      <c r="B154" s="6"/>
      <c r="C154" s="29"/>
    </row>
    <row r="155" spans="2:3" x14ac:dyDescent="0.25">
      <c r="B155" s="6"/>
      <c r="C155" s="29"/>
    </row>
    <row r="156" spans="2:3" x14ac:dyDescent="0.25">
      <c r="B156" s="6"/>
      <c r="C156" s="29"/>
    </row>
    <row r="157" spans="2:3" x14ac:dyDescent="0.25">
      <c r="B157" s="6"/>
      <c r="C157" s="29"/>
    </row>
    <row r="158" spans="2:3" x14ac:dyDescent="0.25">
      <c r="B158" s="6"/>
      <c r="C158" s="29"/>
    </row>
    <row r="159" spans="2:3" x14ac:dyDescent="0.25">
      <c r="B159" s="6"/>
      <c r="C159" s="29"/>
    </row>
    <row r="160" spans="2:3" x14ac:dyDescent="0.25">
      <c r="B160" s="6"/>
      <c r="C160" s="29"/>
    </row>
    <row r="161" spans="2:3" x14ac:dyDescent="0.25">
      <c r="B161" s="6"/>
      <c r="C161" s="29"/>
    </row>
    <row r="162" spans="2:3" x14ac:dyDescent="0.25">
      <c r="B162" s="6"/>
      <c r="C162" s="29"/>
    </row>
    <row r="163" spans="2:3" x14ac:dyDescent="0.25">
      <c r="B163" s="6"/>
      <c r="C163" s="29"/>
    </row>
    <row r="164" spans="2:3" x14ac:dyDescent="0.25">
      <c r="B164" s="6"/>
      <c r="C164" s="29"/>
    </row>
    <row r="165" spans="2:3" x14ac:dyDescent="0.25">
      <c r="B165" s="6"/>
      <c r="C165" s="29"/>
    </row>
    <row r="166" spans="2:3" x14ac:dyDescent="0.25">
      <c r="B166" s="6"/>
      <c r="C166" s="29"/>
    </row>
    <row r="167" spans="2:3" x14ac:dyDescent="0.25">
      <c r="B167" s="6"/>
      <c r="C167" s="29"/>
    </row>
    <row r="168" spans="2:3" x14ac:dyDescent="0.25">
      <c r="B168" s="6"/>
      <c r="C168" s="29"/>
    </row>
    <row r="169" spans="2:3" x14ac:dyDescent="0.25">
      <c r="B169" s="6"/>
      <c r="C169" s="29"/>
    </row>
    <row r="170" spans="2:3" x14ac:dyDescent="0.25">
      <c r="B170" s="6"/>
      <c r="C170" s="29"/>
    </row>
    <row r="171" spans="2:3" x14ac:dyDescent="0.25">
      <c r="B171" s="6"/>
      <c r="C171" s="29"/>
    </row>
    <row r="172" spans="2:3" x14ac:dyDescent="0.25">
      <c r="B172" s="6"/>
      <c r="C172" s="29"/>
    </row>
    <row r="173" spans="2:3" x14ac:dyDescent="0.25">
      <c r="B173" s="6"/>
      <c r="C173" s="29"/>
    </row>
    <row r="174" spans="2:3" x14ac:dyDescent="0.25">
      <c r="B174" s="6"/>
      <c r="C174" s="29"/>
    </row>
    <row r="175" spans="2:3" x14ac:dyDescent="0.25">
      <c r="B175" s="6"/>
      <c r="C175" s="29"/>
    </row>
    <row r="176" spans="2:3" x14ac:dyDescent="0.25">
      <c r="B176" s="6"/>
      <c r="C176" s="29"/>
    </row>
    <row r="177" spans="2:3" x14ac:dyDescent="0.25">
      <c r="B177" s="6"/>
      <c r="C177" s="29"/>
    </row>
    <row r="178" spans="2:3" x14ac:dyDescent="0.25">
      <c r="B178" s="6"/>
      <c r="C178" s="29"/>
    </row>
    <row r="179" spans="2:3" x14ac:dyDescent="0.25">
      <c r="B179" s="6"/>
      <c r="C179" s="29"/>
    </row>
    <row r="180" spans="2:3" x14ac:dyDescent="0.25">
      <c r="B180" s="6"/>
      <c r="C180" s="29"/>
    </row>
    <row r="181" spans="2:3" x14ac:dyDescent="0.25">
      <c r="B181" s="6"/>
      <c r="C181" s="29"/>
    </row>
    <row r="182" spans="2:3" x14ac:dyDescent="0.25">
      <c r="B182" s="6"/>
      <c r="C182" s="29"/>
    </row>
    <row r="183" spans="2:3" x14ac:dyDescent="0.25">
      <c r="B183" s="6"/>
      <c r="C183" s="29"/>
    </row>
    <row r="184" spans="2:3" x14ac:dyDescent="0.25">
      <c r="B184" s="6"/>
      <c r="C184" s="29"/>
    </row>
    <row r="185" spans="2:3" x14ac:dyDescent="0.25">
      <c r="B185" s="6"/>
      <c r="C185" s="29"/>
    </row>
    <row r="186" spans="2:3" x14ac:dyDescent="0.25">
      <c r="B186" s="6"/>
      <c r="C186" s="29"/>
    </row>
    <row r="187" spans="2:3" x14ac:dyDescent="0.25">
      <c r="B187" s="6"/>
      <c r="C187" s="29"/>
    </row>
    <row r="188" spans="2:3" x14ac:dyDescent="0.25">
      <c r="B188" s="6"/>
      <c r="C188" s="29"/>
    </row>
    <row r="189" spans="2:3" x14ac:dyDescent="0.25">
      <c r="B189" s="6"/>
      <c r="C189" s="29"/>
    </row>
    <row r="190" spans="2:3" x14ac:dyDescent="0.25">
      <c r="B190" s="6"/>
      <c r="C190" s="29"/>
    </row>
    <row r="191" spans="2:3" x14ac:dyDescent="0.25">
      <c r="B191" s="6"/>
      <c r="C191" s="29"/>
    </row>
    <row r="192" spans="2:3" x14ac:dyDescent="0.25">
      <c r="B192" s="6"/>
      <c r="C192" s="29"/>
    </row>
    <row r="193" spans="2:3" x14ac:dyDescent="0.25">
      <c r="B193" s="6"/>
      <c r="C193" s="29"/>
    </row>
    <row r="194" spans="2:3" x14ac:dyDescent="0.25">
      <c r="B194" s="6"/>
      <c r="C194" s="29"/>
    </row>
    <row r="195" spans="2:3" x14ac:dyDescent="0.25">
      <c r="B195" s="6"/>
      <c r="C195" s="29"/>
    </row>
    <row r="196" spans="2:3" x14ac:dyDescent="0.25">
      <c r="B196" s="6"/>
      <c r="C196" s="29"/>
    </row>
    <row r="197" spans="2:3" x14ac:dyDescent="0.25">
      <c r="B197" s="6"/>
      <c r="C197" s="29"/>
    </row>
    <row r="198" spans="2:3" x14ac:dyDescent="0.25">
      <c r="B198" s="6"/>
      <c r="C198" s="29"/>
    </row>
    <row r="199" spans="2:3" x14ac:dyDescent="0.25">
      <c r="B199" s="6"/>
      <c r="C199" s="29"/>
    </row>
    <row r="200" spans="2:3" x14ac:dyDescent="0.25">
      <c r="B200" s="6"/>
      <c r="C200" s="29"/>
    </row>
    <row r="201" spans="2:3" x14ac:dyDescent="0.25">
      <c r="B201" s="6"/>
      <c r="C201" s="29"/>
    </row>
    <row r="202" spans="2:3" x14ac:dyDescent="0.25">
      <c r="B202" s="6"/>
      <c r="C202" s="29"/>
    </row>
    <row r="203" spans="2:3" x14ac:dyDescent="0.25">
      <c r="B203" s="6"/>
      <c r="C203" s="29"/>
    </row>
    <row r="204" spans="2:3" x14ac:dyDescent="0.25">
      <c r="B204" s="6"/>
      <c r="C204" s="29"/>
    </row>
    <row r="205" spans="2:3" x14ac:dyDescent="0.25">
      <c r="B205" s="6"/>
      <c r="C205" s="29"/>
    </row>
    <row r="206" spans="2:3" x14ac:dyDescent="0.25">
      <c r="B206" s="6"/>
      <c r="C206" s="29"/>
    </row>
    <row r="207" spans="2:3" x14ac:dyDescent="0.25">
      <c r="B207" s="6"/>
      <c r="C207" s="29"/>
    </row>
    <row r="208" spans="2:3" x14ac:dyDescent="0.25">
      <c r="B208" s="6"/>
      <c r="C208" s="29"/>
    </row>
    <row r="209" spans="2:3" x14ac:dyDescent="0.25">
      <c r="B209" s="6"/>
      <c r="C209" s="29"/>
    </row>
    <row r="210" spans="2:3" x14ac:dyDescent="0.25">
      <c r="B210" s="6"/>
      <c r="C210" s="29"/>
    </row>
    <row r="211" spans="2:3" x14ac:dyDescent="0.25">
      <c r="B211" s="6"/>
      <c r="C211" s="29"/>
    </row>
    <row r="212" spans="2:3" x14ac:dyDescent="0.25">
      <c r="B212" s="6"/>
      <c r="C212" s="29"/>
    </row>
    <row r="213" spans="2:3" x14ac:dyDescent="0.25">
      <c r="B213" s="6"/>
      <c r="C213" s="29"/>
    </row>
    <row r="214" spans="2:3" x14ac:dyDescent="0.25">
      <c r="B214" s="6"/>
      <c r="C214" s="29"/>
    </row>
    <row r="215" spans="2:3" x14ac:dyDescent="0.25">
      <c r="B215" s="6"/>
      <c r="C215" s="29"/>
    </row>
    <row r="216" spans="2:3" x14ac:dyDescent="0.25">
      <c r="B216" s="6"/>
      <c r="C216" s="29"/>
    </row>
    <row r="217" spans="2:3" x14ac:dyDescent="0.25">
      <c r="B217" s="6"/>
      <c r="C217" s="29"/>
    </row>
    <row r="218" spans="2:3" x14ac:dyDescent="0.25">
      <c r="B218" s="6"/>
      <c r="C218" s="29"/>
    </row>
    <row r="219" spans="2:3" x14ac:dyDescent="0.25">
      <c r="B219" s="6"/>
      <c r="C219" s="29"/>
    </row>
    <row r="220" spans="2:3" x14ac:dyDescent="0.25">
      <c r="B220" s="6"/>
      <c r="C220" s="29"/>
    </row>
    <row r="221" spans="2:3" x14ac:dyDescent="0.25">
      <c r="B221" s="6"/>
      <c r="C221" s="29"/>
    </row>
    <row r="222" spans="2:3" x14ac:dyDescent="0.25">
      <c r="B222" s="6"/>
      <c r="C222" s="29"/>
    </row>
    <row r="223" spans="2:3" x14ac:dyDescent="0.25">
      <c r="B223" s="6"/>
      <c r="C223" s="29"/>
    </row>
    <row r="224" spans="2:3" x14ac:dyDescent="0.25">
      <c r="B224" s="6"/>
      <c r="C224" s="29"/>
    </row>
    <row r="225" spans="2:3" x14ac:dyDescent="0.25">
      <c r="B225" s="6"/>
      <c r="C225" s="29"/>
    </row>
    <row r="226" spans="2:3" x14ac:dyDescent="0.25">
      <c r="B226" s="6"/>
      <c r="C226" s="29"/>
    </row>
    <row r="227" spans="2:3" x14ac:dyDescent="0.25">
      <c r="B227" s="6"/>
      <c r="C227" s="29"/>
    </row>
    <row r="228" spans="2:3" x14ac:dyDescent="0.25">
      <c r="B228" s="6"/>
      <c r="C228" s="29"/>
    </row>
    <row r="229" spans="2:3" x14ac:dyDescent="0.25">
      <c r="B229" s="6"/>
      <c r="C229" s="29"/>
    </row>
    <row r="230" spans="2:3" x14ac:dyDescent="0.25">
      <c r="B230" s="6"/>
      <c r="C230" s="29"/>
    </row>
    <row r="231" spans="2:3" x14ac:dyDescent="0.25">
      <c r="B231" s="6"/>
      <c r="C231" s="29"/>
    </row>
    <row r="232" spans="2:3" x14ac:dyDescent="0.25">
      <c r="B232" s="6"/>
      <c r="C232" s="29"/>
    </row>
    <row r="233" spans="2:3" x14ac:dyDescent="0.25">
      <c r="B233" s="6"/>
      <c r="C233" s="29"/>
    </row>
    <row r="234" spans="2:3" x14ac:dyDescent="0.25">
      <c r="B234" s="6"/>
      <c r="C234" s="29"/>
    </row>
    <row r="235" spans="2:3" x14ac:dyDescent="0.25">
      <c r="B235" s="6"/>
      <c r="C235" s="29"/>
    </row>
    <row r="236" spans="2:3" x14ac:dyDescent="0.25">
      <c r="B236" s="6"/>
      <c r="C236" s="29"/>
    </row>
    <row r="237" spans="2:3" x14ac:dyDescent="0.25">
      <c r="B237" s="6"/>
      <c r="C237" s="29"/>
    </row>
    <row r="238" spans="2:3" x14ac:dyDescent="0.25">
      <c r="B238" s="6"/>
      <c r="C238" s="29"/>
    </row>
    <row r="239" spans="2:3" x14ac:dyDescent="0.25">
      <c r="B239" s="6"/>
      <c r="C239" s="29"/>
    </row>
    <row r="240" spans="2:3" x14ac:dyDescent="0.25">
      <c r="B240" s="6"/>
      <c r="C240" s="29"/>
    </row>
    <row r="241" spans="2:3" x14ac:dyDescent="0.25">
      <c r="B241" s="6"/>
      <c r="C241" s="29"/>
    </row>
    <row r="242" spans="2:3" x14ac:dyDescent="0.25">
      <c r="B242" s="6"/>
      <c r="C242" s="29"/>
    </row>
    <row r="243" spans="2:3" x14ac:dyDescent="0.25">
      <c r="B243" s="6"/>
      <c r="C243" s="29"/>
    </row>
    <row r="244" spans="2:3" x14ac:dyDescent="0.25">
      <c r="B244" s="6"/>
      <c r="C244" s="29"/>
    </row>
    <row r="245" spans="2:3" x14ac:dyDescent="0.25">
      <c r="B245" s="6"/>
      <c r="C245" s="29"/>
    </row>
    <row r="246" spans="2:3" x14ac:dyDescent="0.25">
      <c r="B246" s="6"/>
      <c r="C246" s="29"/>
    </row>
    <row r="247" spans="2:3" x14ac:dyDescent="0.25">
      <c r="B247" s="6"/>
      <c r="C247" s="29"/>
    </row>
    <row r="248" spans="2:3" x14ac:dyDescent="0.25">
      <c r="B248" s="6"/>
      <c r="C248" s="29"/>
    </row>
    <row r="249" spans="2:3" x14ac:dyDescent="0.25">
      <c r="B249" s="6"/>
      <c r="C249" s="29"/>
    </row>
    <row r="250" spans="2:3" x14ac:dyDescent="0.25">
      <c r="B250" s="6"/>
      <c r="C250" s="29"/>
    </row>
    <row r="251" spans="2:3" x14ac:dyDescent="0.25">
      <c r="B251" s="6"/>
      <c r="C251" s="29"/>
    </row>
    <row r="252" spans="2:3" x14ac:dyDescent="0.25">
      <c r="B252" s="6"/>
      <c r="C252" s="29"/>
    </row>
    <row r="253" spans="2:3" x14ac:dyDescent="0.25">
      <c r="B253" s="6"/>
      <c r="C253" s="29"/>
    </row>
    <row r="254" spans="2:3" x14ac:dyDescent="0.25">
      <c r="B254" s="6"/>
      <c r="C254" s="29"/>
    </row>
    <row r="255" spans="2:3" x14ac:dyDescent="0.25">
      <c r="B255" s="6"/>
      <c r="C255" s="29"/>
    </row>
    <row r="256" spans="2:3" x14ac:dyDescent="0.25">
      <c r="B256" s="6"/>
      <c r="C256" s="29"/>
    </row>
    <row r="257" spans="2:3" x14ac:dyDescent="0.25">
      <c r="B257" s="6"/>
      <c r="C257" s="29"/>
    </row>
    <row r="258" spans="2:3" x14ac:dyDescent="0.25">
      <c r="B258" s="6"/>
      <c r="C258" s="29"/>
    </row>
    <row r="259" spans="2:3" x14ac:dyDescent="0.25">
      <c r="B259" s="6"/>
      <c r="C259" s="29"/>
    </row>
    <row r="260" spans="2:3" x14ac:dyDescent="0.25">
      <c r="B260" s="6"/>
      <c r="C260" s="29"/>
    </row>
    <row r="261" spans="2:3" x14ac:dyDescent="0.25">
      <c r="B261" s="6"/>
      <c r="C261" s="29"/>
    </row>
    <row r="262" spans="2:3" x14ac:dyDescent="0.25">
      <c r="B262" s="6"/>
      <c r="C262" s="29"/>
    </row>
    <row r="263" spans="2:3" x14ac:dyDescent="0.25">
      <c r="B263" s="6"/>
      <c r="C263" s="29"/>
    </row>
    <row r="264" spans="2:3" x14ac:dyDescent="0.25">
      <c r="B264" s="6"/>
      <c r="C264" s="29"/>
    </row>
    <row r="265" spans="2:3" x14ac:dyDescent="0.25">
      <c r="B265" s="6"/>
      <c r="C265" s="29"/>
    </row>
    <row r="266" spans="2:3" x14ac:dyDescent="0.25">
      <c r="B266" s="6"/>
      <c r="C266" s="29"/>
    </row>
    <row r="267" spans="2:3" x14ac:dyDescent="0.25">
      <c r="B267" s="6"/>
      <c r="C267" s="29"/>
    </row>
    <row r="268" spans="2:3" x14ac:dyDescent="0.25">
      <c r="B268" s="6"/>
      <c r="C268" s="29"/>
    </row>
    <row r="269" spans="2:3" x14ac:dyDescent="0.25">
      <c r="B269" s="6"/>
      <c r="C269" s="29"/>
    </row>
    <row r="270" spans="2:3" x14ac:dyDescent="0.25">
      <c r="B270" s="6"/>
      <c r="C270" s="29"/>
    </row>
    <row r="271" spans="2:3" x14ac:dyDescent="0.25">
      <c r="B271" s="6"/>
      <c r="C271" s="29"/>
    </row>
    <row r="272" spans="2:3" x14ac:dyDescent="0.25">
      <c r="B272" s="6"/>
      <c r="C272" s="29"/>
    </row>
    <row r="273" spans="2:3" x14ac:dyDescent="0.25">
      <c r="B273" s="6"/>
      <c r="C273" s="29"/>
    </row>
    <row r="274" spans="2:3" x14ac:dyDescent="0.25">
      <c r="B274" s="6"/>
      <c r="C274" s="29"/>
    </row>
    <row r="275" spans="2:3" x14ac:dyDescent="0.25">
      <c r="B275" s="6"/>
      <c r="C275" s="29"/>
    </row>
    <row r="276" spans="2:3" x14ac:dyDescent="0.25">
      <c r="B276" s="6"/>
      <c r="C276" s="29"/>
    </row>
    <row r="277" spans="2:3" x14ac:dyDescent="0.25">
      <c r="B277" s="6"/>
      <c r="C277" s="29"/>
    </row>
    <row r="278" spans="2:3" x14ac:dyDescent="0.25">
      <c r="B278" s="6"/>
      <c r="C278" s="29"/>
    </row>
    <row r="279" spans="2:3" x14ac:dyDescent="0.25">
      <c r="B279" s="6"/>
      <c r="C279" s="29"/>
    </row>
    <row r="280" spans="2:3" x14ac:dyDescent="0.25">
      <c r="B280" s="6"/>
      <c r="C280" s="29"/>
    </row>
    <row r="281" spans="2:3" x14ac:dyDescent="0.25">
      <c r="B281" s="6"/>
      <c r="C281" s="29"/>
    </row>
    <row r="282" spans="2:3" x14ac:dyDescent="0.25">
      <c r="B282" s="6"/>
      <c r="C282" s="29"/>
    </row>
    <row r="283" spans="2:3" x14ac:dyDescent="0.25">
      <c r="B283" s="6"/>
      <c r="C283" s="29"/>
    </row>
    <row r="284" spans="2:3" x14ac:dyDescent="0.25">
      <c r="B284" s="6"/>
      <c r="C284" s="29"/>
    </row>
    <row r="285" spans="2:3" x14ac:dyDescent="0.25">
      <c r="B285" s="6"/>
      <c r="C285" s="29"/>
    </row>
    <row r="286" spans="2:3" x14ac:dyDescent="0.25">
      <c r="B286" s="6"/>
      <c r="C286" s="29"/>
    </row>
    <row r="287" spans="2:3" x14ac:dyDescent="0.25">
      <c r="B287" s="6"/>
      <c r="C287" s="29"/>
    </row>
    <row r="288" spans="2:3" x14ac:dyDescent="0.25">
      <c r="B288" s="6"/>
      <c r="C288" s="29"/>
    </row>
    <row r="289" spans="2:3" x14ac:dyDescent="0.25">
      <c r="B289" s="6"/>
      <c r="C289" s="29"/>
    </row>
    <row r="290" spans="2:3" x14ac:dyDescent="0.25">
      <c r="B290" s="6"/>
      <c r="C290" s="29"/>
    </row>
    <row r="291" spans="2:3" x14ac:dyDescent="0.25">
      <c r="B291" s="6"/>
      <c r="C291" s="29"/>
    </row>
    <row r="292" spans="2:3" x14ac:dyDescent="0.25">
      <c r="B292" s="6"/>
      <c r="C292" s="29"/>
    </row>
    <row r="293" spans="2:3" x14ac:dyDescent="0.25">
      <c r="B293" s="6"/>
      <c r="C293" s="29"/>
    </row>
    <row r="294" spans="2:3" x14ac:dyDescent="0.25">
      <c r="B294" s="6"/>
      <c r="C294" s="29"/>
    </row>
    <row r="295" spans="2:3" x14ac:dyDescent="0.25">
      <c r="B295" s="6"/>
      <c r="C295" s="29"/>
    </row>
    <row r="296" spans="2:3" x14ac:dyDescent="0.25">
      <c r="B296" s="6"/>
      <c r="C296" s="29"/>
    </row>
    <row r="297" spans="2:3" x14ac:dyDescent="0.25">
      <c r="B297" s="6"/>
      <c r="C297" s="29"/>
    </row>
    <row r="298" spans="2:3" x14ac:dyDescent="0.25">
      <c r="B298" s="6"/>
      <c r="C298" s="29"/>
    </row>
    <row r="299" spans="2:3" x14ac:dyDescent="0.25">
      <c r="B299" s="6"/>
      <c r="C299" s="29"/>
    </row>
    <row r="300" spans="2:3" x14ac:dyDescent="0.25">
      <c r="B300" s="6"/>
      <c r="C300" s="29"/>
    </row>
    <row r="301" spans="2:3" x14ac:dyDescent="0.25">
      <c r="B301" s="6"/>
      <c r="C301" s="29"/>
    </row>
    <row r="302" spans="2:3" x14ac:dyDescent="0.25">
      <c r="B302" s="6"/>
      <c r="C302" s="29"/>
    </row>
    <row r="303" spans="2:3" x14ac:dyDescent="0.25">
      <c r="B303" s="6"/>
      <c r="C303" s="29"/>
    </row>
    <row r="304" spans="2:3" x14ac:dyDescent="0.25">
      <c r="B304" s="6"/>
      <c r="C304" s="29"/>
    </row>
    <row r="305" spans="2:3" x14ac:dyDescent="0.25">
      <c r="B305" s="6"/>
      <c r="C305" s="29"/>
    </row>
    <row r="306" spans="2:3" x14ac:dyDescent="0.25">
      <c r="B306" s="6"/>
      <c r="C306" s="29"/>
    </row>
    <row r="307" spans="2:3" x14ac:dyDescent="0.25">
      <c r="B307" s="6"/>
      <c r="C307" s="29"/>
    </row>
    <row r="308" spans="2:3" x14ac:dyDescent="0.25">
      <c r="B308" s="6"/>
      <c r="C308" s="29"/>
    </row>
    <row r="309" spans="2:3" x14ac:dyDescent="0.25">
      <c r="B309" s="6"/>
      <c r="C309" s="29"/>
    </row>
    <row r="310" spans="2:3" x14ac:dyDescent="0.25">
      <c r="B310" s="6"/>
      <c r="C310" s="29"/>
    </row>
    <row r="311" spans="2:3" x14ac:dyDescent="0.25">
      <c r="B311" s="6"/>
      <c r="C311" s="29"/>
    </row>
    <row r="312" spans="2:3" x14ac:dyDescent="0.25">
      <c r="B312" s="6"/>
      <c r="C312" s="29"/>
    </row>
    <row r="313" spans="2:3" x14ac:dyDescent="0.25">
      <c r="B313" s="6"/>
      <c r="C313" s="29"/>
    </row>
    <row r="314" spans="2:3" x14ac:dyDescent="0.25">
      <c r="B314" s="6"/>
      <c r="C314" s="29"/>
    </row>
    <row r="315" spans="2:3" x14ac:dyDescent="0.25">
      <c r="B315" s="6"/>
      <c r="C315" s="29"/>
    </row>
    <row r="316" spans="2:3" x14ac:dyDescent="0.25">
      <c r="B316" s="6"/>
      <c r="C316" s="29"/>
    </row>
    <row r="317" spans="2:3" x14ac:dyDescent="0.25">
      <c r="B317" s="6"/>
      <c r="C317" s="29"/>
    </row>
    <row r="318" spans="2:3" x14ac:dyDescent="0.25">
      <c r="B318" s="6"/>
      <c r="C318" s="29"/>
    </row>
    <row r="319" spans="2:3" x14ac:dyDescent="0.25">
      <c r="B319" s="6"/>
      <c r="C319" s="29"/>
    </row>
    <row r="320" spans="2:3" x14ac:dyDescent="0.25">
      <c r="B320" s="6"/>
      <c r="C320" s="29"/>
    </row>
    <row r="321" spans="2:3" x14ac:dyDescent="0.25">
      <c r="B321" s="6"/>
      <c r="C321" s="29"/>
    </row>
    <row r="322" spans="2:3" x14ac:dyDescent="0.25">
      <c r="B322" s="6"/>
      <c r="C322" s="29"/>
    </row>
    <row r="323" spans="2:3" x14ac:dyDescent="0.25">
      <c r="B323" s="6"/>
      <c r="C323" s="29"/>
    </row>
    <row r="324" spans="2:3" x14ac:dyDescent="0.25">
      <c r="B324" s="6"/>
      <c r="C324" s="29"/>
    </row>
    <row r="325" spans="2:3" x14ac:dyDescent="0.25">
      <c r="B325" s="6"/>
      <c r="C325" s="29"/>
    </row>
    <row r="326" spans="2:3" x14ac:dyDescent="0.25">
      <c r="B326" s="6"/>
      <c r="C326" s="29"/>
    </row>
    <row r="327" spans="2:3" x14ac:dyDescent="0.25">
      <c r="B327" s="6"/>
      <c r="C327" s="29"/>
    </row>
    <row r="328" spans="2:3" x14ac:dyDescent="0.25">
      <c r="B328" s="6"/>
      <c r="C328" s="29"/>
    </row>
    <row r="329" spans="2:3" x14ac:dyDescent="0.25">
      <c r="B329" s="6"/>
      <c r="C329" s="29"/>
    </row>
    <row r="330" spans="2:3" x14ac:dyDescent="0.25">
      <c r="B330" s="6"/>
      <c r="C330" s="29"/>
    </row>
    <row r="331" spans="2:3" x14ac:dyDescent="0.25">
      <c r="B331" s="6"/>
      <c r="C331" s="29"/>
    </row>
    <row r="332" spans="2:3" x14ac:dyDescent="0.25">
      <c r="B332" s="6"/>
      <c r="C332" s="29"/>
    </row>
    <row r="333" spans="2:3" x14ac:dyDescent="0.25">
      <c r="B333" s="6"/>
      <c r="C333" s="29"/>
    </row>
    <row r="334" spans="2:3" x14ac:dyDescent="0.25">
      <c r="B334" s="6"/>
      <c r="C334" s="29"/>
    </row>
    <row r="335" spans="2:3" x14ac:dyDescent="0.25">
      <c r="B335" s="6"/>
      <c r="C335" s="29"/>
    </row>
    <row r="336" spans="2:3" x14ac:dyDescent="0.25">
      <c r="B336" s="6"/>
      <c r="C336" s="29"/>
    </row>
    <row r="337" spans="2:3" x14ac:dyDescent="0.25">
      <c r="B337" s="6"/>
      <c r="C337" s="29"/>
    </row>
    <row r="338" spans="2:3" x14ac:dyDescent="0.25">
      <c r="B338" s="6"/>
      <c r="C338" s="29"/>
    </row>
    <row r="339" spans="2:3" x14ac:dyDescent="0.25">
      <c r="B339" s="6"/>
      <c r="C339" s="29"/>
    </row>
    <row r="340" spans="2:3" x14ac:dyDescent="0.25">
      <c r="B340" s="6"/>
      <c r="C340" s="29"/>
    </row>
    <row r="341" spans="2:3" x14ac:dyDescent="0.25">
      <c r="B341" s="6"/>
      <c r="C341" s="29"/>
    </row>
    <row r="342" spans="2:3" x14ac:dyDescent="0.25">
      <c r="B342" s="6"/>
      <c r="C342" s="29"/>
    </row>
    <row r="343" spans="2:3" x14ac:dyDescent="0.25">
      <c r="B343" s="6"/>
      <c r="C343" s="29"/>
    </row>
    <row r="344" spans="2:3" x14ac:dyDescent="0.25">
      <c r="B344" s="6"/>
      <c r="C344" s="29"/>
    </row>
    <row r="345" spans="2:3" x14ac:dyDescent="0.25">
      <c r="B345" s="6"/>
      <c r="C345" s="29"/>
    </row>
    <row r="346" spans="2:3" x14ac:dyDescent="0.25">
      <c r="B346" s="6"/>
      <c r="C346" s="29"/>
    </row>
    <row r="347" spans="2:3" x14ac:dyDescent="0.25">
      <c r="B347" s="6"/>
      <c r="C347" s="29"/>
    </row>
    <row r="348" spans="2:3" x14ac:dyDescent="0.25">
      <c r="B348" s="6"/>
      <c r="C348" s="29"/>
    </row>
    <row r="349" spans="2:3" x14ac:dyDescent="0.25">
      <c r="B349" s="6"/>
      <c r="C349" s="29"/>
    </row>
    <row r="350" spans="2:3" x14ac:dyDescent="0.25">
      <c r="B350" s="6"/>
      <c r="C350" s="29"/>
    </row>
    <row r="351" spans="2:3" x14ac:dyDescent="0.25">
      <c r="B351" s="6"/>
      <c r="C351" s="29"/>
    </row>
    <row r="352" spans="2:3" x14ac:dyDescent="0.25">
      <c r="B352" s="6"/>
      <c r="C352" s="29"/>
    </row>
    <row r="353" spans="2:3" x14ac:dyDescent="0.25">
      <c r="B353" s="6"/>
      <c r="C353" s="29"/>
    </row>
    <row r="354" spans="2:3" x14ac:dyDescent="0.25">
      <c r="B354" s="6"/>
      <c r="C354" s="29"/>
    </row>
    <row r="355" spans="2:3" x14ac:dyDescent="0.25">
      <c r="B355" s="6"/>
      <c r="C355" s="29"/>
    </row>
    <row r="356" spans="2:3" x14ac:dyDescent="0.25">
      <c r="B356" s="6"/>
      <c r="C356" s="29"/>
    </row>
    <row r="357" spans="2:3" x14ac:dyDescent="0.25">
      <c r="B357" s="6"/>
      <c r="C357" s="29"/>
    </row>
    <row r="358" spans="2:3" x14ac:dyDescent="0.25">
      <c r="B358" s="6"/>
      <c r="C358" s="29"/>
    </row>
    <row r="359" spans="2:3" x14ac:dyDescent="0.25">
      <c r="B359" s="6"/>
      <c r="C359" s="29"/>
    </row>
    <row r="360" spans="2:3" x14ac:dyDescent="0.25">
      <c r="B360" s="6"/>
      <c r="C360" s="29"/>
    </row>
    <row r="361" spans="2:3" x14ac:dyDescent="0.25">
      <c r="B361" s="6"/>
      <c r="C361" s="29"/>
    </row>
    <row r="362" spans="2:3" x14ac:dyDescent="0.25">
      <c r="B362" s="6"/>
      <c r="C362" s="29"/>
    </row>
    <row r="363" spans="2:3" x14ac:dyDescent="0.25">
      <c r="B363" s="6"/>
      <c r="C363" s="29"/>
    </row>
    <row r="364" spans="2:3" x14ac:dyDescent="0.25">
      <c r="B364" s="6"/>
      <c r="C364" s="29"/>
    </row>
    <row r="365" spans="2:3" x14ac:dyDescent="0.25">
      <c r="B365" s="6"/>
      <c r="C365" s="29"/>
    </row>
    <row r="366" spans="2:3" x14ac:dyDescent="0.25">
      <c r="B366" s="6"/>
      <c r="C366" s="29"/>
    </row>
    <row r="367" spans="2:3" x14ac:dyDescent="0.25">
      <c r="B367" s="6"/>
      <c r="C367" s="29"/>
    </row>
    <row r="368" spans="2:3" x14ac:dyDescent="0.25">
      <c r="B368" s="6"/>
      <c r="C368" s="29"/>
    </row>
    <row r="369" spans="2:3" x14ac:dyDescent="0.25">
      <c r="B369" s="6"/>
      <c r="C369" s="29"/>
    </row>
    <row r="370" spans="2:3" x14ac:dyDescent="0.25">
      <c r="B370" s="6"/>
      <c r="C370" s="29"/>
    </row>
    <row r="371" spans="2:3" x14ac:dyDescent="0.25">
      <c r="B371" s="6"/>
      <c r="C371" s="29"/>
    </row>
    <row r="372" spans="2:3" x14ac:dyDescent="0.25">
      <c r="B372" s="6"/>
      <c r="C372" s="29"/>
    </row>
    <row r="373" spans="2:3" x14ac:dyDescent="0.25">
      <c r="B373" s="6"/>
      <c r="C373" s="29"/>
    </row>
    <row r="374" spans="2:3" x14ac:dyDescent="0.25">
      <c r="B374" s="6"/>
      <c r="C374" s="29"/>
    </row>
    <row r="375" spans="2:3" x14ac:dyDescent="0.25">
      <c r="B375" s="6"/>
      <c r="C375" s="29"/>
    </row>
    <row r="376" spans="2:3" x14ac:dyDescent="0.25">
      <c r="B376" s="6"/>
      <c r="C376" s="29"/>
    </row>
    <row r="377" spans="2:3" x14ac:dyDescent="0.25">
      <c r="B377" s="6"/>
      <c r="C377" s="29"/>
    </row>
    <row r="378" spans="2:3" x14ac:dyDescent="0.25">
      <c r="B378" s="6"/>
      <c r="C378" s="29"/>
    </row>
    <row r="379" spans="2:3" x14ac:dyDescent="0.25">
      <c r="B379" s="6"/>
      <c r="C379" s="29"/>
    </row>
    <row r="380" spans="2:3" x14ac:dyDescent="0.25">
      <c r="B380" s="6"/>
      <c r="C380" s="29"/>
    </row>
    <row r="381" spans="2:3" x14ac:dyDescent="0.25">
      <c r="B381" s="6"/>
      <c r="C381" s="29"/>
    </row>
    <row r="382" spans="2:3" x14ac:dyDescent="0.25">
      <c r="B382" s="6"/>
      <c r="C382" s="29"/>
    </row>
    <row r="383" spans="2:3" x14ac:dyDescent="0.25">
      <c r="B383" s="6"/>
      <c r="C383" s="29"/>
    </row>
    <row r="384" spans="2:3" x14ac:dyDescent="0.25">
      <c r="B384" s="6"/>
      <c r="C384" s="29"/>
    </row>
    <row r="385" spans="2:3" x14ac:dyDescent="0.25">
      <c r="B385" s="6"/>
      <c r="C385" s="29"/>
    </row>
    <row r="386" spans="2:3" x14ac:dyDescent="0.25">
      <c r="B386" s="6"/>
      <c r="C386" s="29"/>
    </row>
    <row r="387" spans="2:3" x14ac:dyDescent="0.25">
      <c r="B387" s="6"/>
      <c r="C387" s="29"/>
    </row>
    <row r="388" spans="2:3" x14ac:dyDescent="0.25">
      <c r="B388" s="6"/>
      <c r="C388" s="29"/>
    </row>
    <row r="389" spans="2:3" x14ac:dyDescent="0.25">
      <c r="B389" s="6"/>
      <c r="C389" s="29"/>
    </row>
    <row r="390" spans="2:3" x14ac:dyDescent="0.25">
      <c r="B390" s="6"/>
      <c r="C390" s="29"/>
    </row>
    <row r="391" spans="2:3" x14ac:dyDescent="0.25">
      <c r="B391" s="6"/>
      <c r="C391" s="29"/>
    </row>
    <row r="392" spans="2:3" x14ac:dyDescent="0.25">
      <c r="B392" s="6"/>
      <c r="C392" s="29"/>
    </row>
    <row r="393" spans="2:3" x14ac:dyDescent="0.25">
      <c r="B393" s="6"/>
      <c r="C393" s="29"/>
    </row>
    <row r="394" spans="2:3" x14ac:dyDescent="0.25">
      <c r="B394" s="6"/>
      <c r="C394" s="29"/>
    </row>
    <row r="395" spans="2:3" x14ac:dyDescent="0.25">
      <c r="B395" s="6"/>
      <c r="C395" s="29"/>
    </row>
    <row r="396" spans="2:3" x14ac:dyDescent="0.25">
      <c r="B396" s="6"/>
      <c r="C396" s="29"/>
    </row>
    <row r="397" spans="2:3" x14ac:dyDescent="0.25">
      <c r="B397" s="6"/>
      <c r="C397" s="29"/>
    </row>
    <row r="398" spans="2:3" x14ac:dyDescent="0.25">
      <c r="B398" s="6"/>
      <c r="C398" s="29"/>
    </row>
    <row r="399" spans="2:3" x14ac:dyDescent="0.25">
      <c r="B399" s="6"/>
      <c r="C399" s="29"/>
    </row>
    <row r="400" spans="2:3" x14ac:dyDescent="0.25">
      <c r="B400" s="6"/>
      <c r="C400" s="29"/>
    </row>
    <row r="401" spans="2:3" x14ac:dyDescent="0.25">
      <c r="B401" s="6"/>
      <c r="C401" s="29"/>
    </row>
    <row r="402" spans="2:3" x14ac:dyDescent="0.25">
      <c r="B402" s="6"/>
      <c r="C402" s="29"/>
    </row>
    <row r="403" spans="2:3" x14ac:dyDescent="0.25">
      <c r="B403" s="6"/>
      <c r="C403" s="29"/>
    </row>
    <row r="404" spans="2:3" x14ac:dyDescent="0.25">
      <c r="B404" s="6"/>
      <c r="C404" s="29"/>
    </row>
    <row r="405" spans="2:3" x14ac:dyDescent="0.25">
      <c r="B405" s="6"/>
      <c r="C405" s="29"/>
    </row>
    <row r="406" spans="2:3" x14ac:dyDescent="0.25">
      <c r="B406" s="6"/>
      <c r="C406" s="29"/>
    </row>
    <row r="407" spans="2:3" x14ac:dyDescent="0.25">
      <c r="B407" s="6"/>
      <c r="C407" s="29"/>
    </row>
    <row r="408" spans="2:3" x14ac:dyDescent="0.25">
      <c r="B408" s="6"/>
      <c r="C408" s="29"/>
    </row>
    <row r="409" spans="2:3" x14ac:dyDescent="0.25">
      <c r="B409" s="6"/>
      <c r="C409" s="29"/>
    </row>
    <row r="410" spans="2:3" x14ac:dyDescent="0.25">
      <c r="B410" s="6"/>
      <c r="C410" s="29"/>
    </row>
    <row r="411" spans="2:3" x14ac:dyDescent="0.25">
      <c r="B411" s="6"/>
      <c r="C411" s="29"/>
    </row>
    <row r="412" spans="2:3" x14ac:dyDescent="0.25">
      <c r="B412" s="6"/>
      <c r="C412" s="29"/>
    </row>
    <row r="413" spans="2:3" x14ac:dyDescent="0.25">
      <c r="B413" s="6"/>
      <c r="C413" s="29"/>
    </row>
    <row r="414" spans="2:3" x14ac:dyDescent="0.25">
      <c r="B414" s="6"/>
      <c r="C414" s="29"/>
    </row>
    <row r="415" spans="2:3" x14ac:dyDescent="0.25">
      <c r="B415" s="6"/>
      <c r="C415" s="29"/>
    </row>
    <row r="416" spans="2:3" x14ac:dyDescent="0.25">
      <c r="B416" s="6"/>
      <c r="C416" s="29"/>
    </row>
    <row r="417" spans="2:3" x14ac:dyDescent="0.25">
      <c r="B417" s="6"/>
      <c r="C417" s="29"/>
    </row>
    <row r="418" spans="2:3" x14ac:dyDescent="0.25">
      <c r="B418" s="6"/>
      <c r="C418" s="29"/>
    </row>
    <row r="419" spans="2:3" x14ac:dyDescent="0.25">
      <c r="B419" s="6"/>
      <c r="C419" s="29"/>
    </row>
    <row r="420" spans="2:3" x14ac:dyDescent="0.25">
      <c r="B420" s="6"/>
      <c r="C420" s="29"/>
    </row>
    <row r="421" spans="2:3" x14ac:dyDescent="0.25">
      <c r="B421" s="6"/>
      <c r="C421" s="29"/>
    </row>
    <row r="422" spans="2:3" x14ac:dyDescent="0.25">
      <c r="B422" s="6"/>
      <c r="C422" s="29"/>
    </row>
    <row r="423" spans="2:3" x14ac:dyDescent="0.25">
      <c r="B423" s="6"/>
      <c r="C423" s="29"/>
    </row>
    <row r="424" spans="2:3" x14ac:dyDescent="0.25">
      <c r="B424" s="6"/>
      <c r="C424" s="29"/>
    </row>
    <row r="425" spans="2:3" x14ac:dyDescent="0.25">
      <c r="B425" s="6"/>
      <c r="C425" s="29"/>
    </row>
    <row r="426" spans="2:3" x14ac:dyDescent="0.25">
      <c r="B426" s="6"/>
      <c r="C426" s="29"/>
    </row>
    <row r="427" spans="2:3" x14ac:dyDescent="0.25">
      <c r="B427" s="6"/>
      <c r="C427" s="29"/>
    </row>
    <row r="428" spans="2:3" x14ac:dyDescent="0.25">
      <c r="B428" s="6"/>
      <c r="C428" s="29"/>
    </row>
    <row r="429" spans="2:3" x14ac:dyDescent="0.25">
      <c r="B429" s="6"/>
      <c r="C429" s="29"/>
    </row>
    <row r="430" spans="2:3" x14ac:dyDescent="0.25">
      <c r="B430" s="6"/>
      <c r="C430" s="29"/>
    </row>
    <row r="431" spans="2:3" x14ac:dyDescent="0.25">
      <c r="B431" s="6"/>
      <c r="C431" s="29"/>
    </row>
    <row r="432" spans="2:3" x14ac:dyDescent="0.25">
      <c r="B432" s="6"/>
      <c r="C432" s="29"/>
    </row>
    <row r="433" spans="2:3" x14ac:dyDescent="0.25">
      <c r="B433" s="6"/>
      <c r="C433" s="29"/>
    </row>
    <row r="434" spans="2:3" x14ac:dyDescent="0.25">
      <c r="B434" s="6"/>
      <c r="C434" s="29"/>
    </row>
    <row r="435" spans="2:3" x14ac:dyDescent="0.25">
      <c r="B435" s="6"/>
      <c r="C435" s="29"/>
    </row>
    <row r="436" spans="2:3" x14ac:dyDescent="0.25">
      <c r="B436" s="6"/>
      <c r="C436" s="29"/>
    </row>
    <row r="437" spans="2:3" x14ac:dyDescent="0.25">
      <c r="B437" s="6"/>
      <c r="C437" s="29"/>
    </row>
    <row r="438" spans="2:3" x14ac:dyDescent="0.25">
      <c r="B438" s="6"/>
      <c r="C438" s="29"/>
    </row>
    <row r="439" spans="2:3" x14ac:dyDescent="0.25">
      <c r="B439" s="6"/>
      <c r="C439" s="29"/>
    </row>
    <row r="440" spans="2:3" x14ac:dyDescent="0.25">
      <c r="B440" s="6"/>
      <c r="C440" s="29"/>
    </row>
    <row r="441" spans="2:3" x14ac:dyDescent="0.25">
      <c r="B441" s="6"/>
      <c r="C441" s="29"/>
    </row>
    <row r="442" spans="2:3" x14ac:dyDescent="0.25">
      <c r="B442" s="6"/>
      <c r="C442" s="29"/>
    </row>
    <row r="443" spans="2:3" x14ac:dyDescent="0.25">
      <c r="B443" s="6"/>
      <c r="C443" s="29"/>
    </row>
    <row r="444" spans="2:3" x14ac:dyDescent="0.25">
      <c r="B444" s="6"/>
      <c r="C444" s="29"/>
    </row>
    <row r="445" spans="2:3" x14ac:dyDescent="0.25">
      <c r="B445" s="6"/>
      <c r="C445" s="29"/>
    </row>
    <row r="446" spans="2:3" x14ac:dyDescent="0.25">
      <c r="B446" s="6"/>
      <c r="C446" s="29"/>
    </row>
    <row r="447" spans="2:3" x14ac:dyDescent="0.25">
      <c r="B447" s="6"/>
      <c r="C447" s="29"/>
    </row>
    <row r="448" spans="2:3" x14ac:dyDescent="0.25">
      <c r="B448" s="6"/>
      <c r="C448" s="29"/>
    </row>
    <row r="449" spans="2:3" x14ac:dyDescent="0.25">
      <c r="B449" s="6"/>
      <c r="C449" s="29"/>
    </row>
    <row r="450" spans="2:3" x14ac:dyDescent="0.25">
      <c r="B450" s="6"/>
      <c r="C450" s="29"/>
    </row>
    <row r="451" spans="2:3" x14ac:dyDescent="0.25">
      <c r="B451" s="6"/>
      <c r="C451" s="29"/>
    </row>
    <row r="452" spans="2:3" x14ac:dyDescent="0.25">
      <c r="B452" s="6"/>
      <c r="C452" s="29"/>
    </row>
    <row r="453" spans="2:3" x14ac:dyDescent="0.25">
      <c r="B453" s="6"/>
      <c r="C453" s="29"/>
    </row>
    <row r="454" spans="2:3" x14ac:dyDescent="0.25">
      <c r="B454" s="6"/>
      <c r="C454" s="29"/>
    </row>
    <row r="455" spans="2:3" x14ac:dyDescent="0.25">
      <c r="B455" s="6"/>
      <c r="C455" s="29"/>
    </row>
    <row r="456" spans="2:3" x14ac:dyDescent="0.25">
      <c r="B456" s="6"/>
      <c r="C456" s="29"/>
    </row>
    <row r="457" spans="2:3" x14ac:dyDescent="0.25">
      <c r="B457" s="6"/>
      <c r="C457" s="29"/>
    </row>
    <row r="458" spans="2:3" x14ac:dyDescent="0.25">
      <c r="B458" s="6"/>
      <c r="C458" s="29"/>
    </row>
    <row r="459" spans="2:3" x14ac:dyDescent="0.25">
      <c r="B459" s="6"/>
      <c r="C459" s="29"/>
    </row>
    <row r="460" spans="2:3" x14ac:dyDescent="0.25">
      <c r="B460" s="6"/>
      <c r="C460" s="29"/>
    </row>
    <row r="461" spans="2:3" x14ac:dyDescent="0.25">
      <c r="B461" s="6"/>
      <c r="C461" s="29"/>
    </row>
    <row r="462" spans="2:3" x14ac:dyDescent="0.25">
      <c r="B462" s="6"/>
      <c r="C462" s="29"/>
    </row>
    <row r="463" spans="2:3" x14ac:dyDescent="0.25">
      <c r="B463" s="6"/>
      <c r="C463" s="29"/>
    </row>
    <row r="464" spans="2:3" x14ac:dyDescent="0.25">
      <c r="B464" s="6"/>
      <c r="C464" s="29"/>
    </row>
    <row r="465" spans="2:3" x14ac:dyDescent="0.25">
      <c r="B465" s="6"/>
      <c r="C465" s="29"/>
    </row>
    <row r="466" spans="2:3" x14ac:dyDescent="0.25">
      <c r="B466" s="6"/>
      <c r="C466" s="29"/>
    </row>
    <row r="467" spans="2:3" x14ac:dyDescent="0.25">
      <c r="B467" s="6"/>
      <c r="C467" s="29"/>
    </row>
    <row r="468" spans="2:3" x14ac:dyDescent="0.25">
      <c r="B468" s="6"/>
      <c r="C468" s="29"/>
    </row>
    <row r="469" spans="2:3" x14ac:dyDescent="0.25">
      <c r="B469" s="6"/>
      <c r="C469" s="29"/>
    </row>
    <row r="470" spans="2:3" x14ac:dyDescent="0.25">
      <c r="B470" s="6"/>
      <c r="C470" s="29"/>
    </row>
    <row r="471" spans="2:3" x14ac:dyDescent="0.25">
      <c r="B471" s="6"/>
      <c r="C471" s="29"/>
    </row>
    <row r="472" spans="2:3" x14ac:dyDescent="0.25">
      <c r="B472" s="6"/>
      <c r="C472" s="29"/>
    </row>
    <row r="473" spans="2:3" x14ac:dyDescent="0.25">
      <c r="B473" s="6"/>
      <c r="C473" s="29"/>
    </row>
    <row r="474" spans="2:3" x14ac:dyDescent="0.25">
      <c r="B474" s="6"/>
      <c r="C474" s="29"/>
    </row>
    <row r="475" spans="2:3" x14ac:dyDescent="0.25">
      <c r="B475" s="6"/>
      <c r="C475" s="29"/>
    </row>
    <row r="476" spans="2:3" x14ac:dyDescent="0.25">
      <c r="B476" s="6"/>
      <c r="C476" s="29"/>
    </row>
    <row r="477" spans="2:3" x14ac:dyDescent="0.25">
      <c r="B477" s="6"/>
      <c r="C477" s="29"/>
    </row>
    <row r="478" spans="2:3" x14ac:dyDescent="0.25">
      <c r="B478" s="6"/>
      <c r="C478" s="29"/>
    </row>
    <row r="479" spans="2:3" x14ac:dyDescent="0.25">
      <c r="B479" s="6"/>
      <c r="C479" s="29"/>
    </row>
    <row r="480" spans="2:3" x14ac:dyDescent="0.25">
      <c r="B480" s="6"/>
      <c r="C480" s="29"/>
    </row>
    <row r="481" spans="2:3" x14ac:dyDescent="0.25">
      <c r="B481" s="6"/>
      <c r="C481" s="29"/>
    </row>
    <row r="482" spans="2:3" x14ac:dyDescent="0.25">
      <c r="B482" s="6"/>
      <c r="C482" s="29"/>
    </row>
    <row r="483" spans="2:3" x14ac:dyDescent="0.25">
      <c r="B483" s="6"/>
      <c r="C483" s="29"/>
    </row>
    <row r="484" spans="2:3" x14ac:dyDescent="0.25">
      <c r="B484" s="6"/>
      <c r="C484" s="29"/>
    </row>
    <row r="485" spans="2:3" x14ac:dyDescent="0.25">
      <c r="B485" s="6"/>
      <c r="C485" s="29"/>
    </row>
    <row r="486" spans="2:3" x14ac:dyDescent="0.25">
      <c r="B486" s="6"/>
      <c r="C486" s="29"/>
    </row>
    <row r="487" spans="2:3" x14ac:dyDescent="0.25">
      <c r="B487" s="6"/>
      <c r="C487" s="29"/>
    </row>
    <row r="488" spans="2:3" x14ac:dyDescent="0.25">
      <c r="B488" s="6"/>
      <c r="C488" s="29"/>
    </row>
    <row r="489" spans="2:3" x14ac:dyDescent="0.25">
      <c r="B489" s="6"/>
      <c r="C489" s="29"/>
    </row>
    <row r="490" spans="2:3" x14ac:dyDescent="0.25">
      <c r="B490" s="6"/>
      <c r="C490" s="29"/>
    </row>
    <row r="491" spans="2:3" x14ac:dyDescent="0.25">
      <c r="B491" s="6"/>
      <c r="C491" s="29"/>
    </row>
    <row r="492" spans="2:3" x14ac:dyDescent="0.25">
      <c r="B492" s="6"/>
      <c r="C492" s="29"/>
    </row>
    <row r="493" spans="2:3" x14ac:dyDescent="0.25">
      <c r="B493" s="6"/>
      <c r="C493" s="29"/>
    </row>
    <row r="494" spans="2:3" x14ac:dyDescent="0.25">
      <c r="B494" s="6"/>
      <c r="C494" s="29"/>
    </row>
    <row r="495" spans="2:3" x14ac:dyDescent="0.25">
      <c r="B495" s="6"/>
      <c r="C495" s="29"/>
    </row>
    <row r="496" spans="2:3" x14ac:dyDescent="0.25">
      <c r="B496" s="6"/>
      <c r="C496" s="29"/>
    </row>
    <row r="497" spans="2:3" x14ac:dyDescent="0.25">
      <c r="B497" s="6"/>
      <c r="C497" s="29"/>
    </row>
    <row r="498" spans="2:3" x14ac:dyDescent="0.25">
      <c r="B498" s="6"/>
      <c r="C498" s="29"/>
    </row>
    <row r="499" spans="2:3" x14ac:dyDescent="0.25">
      <c r="B499" s="6"/>
      <c r="C499" s="29"/>
    </row>
    <row r="500" spans="2:3" x14ac:dyDescent="0.25">
      <c r="B500" s="6"/>
      <c r="C500" s="29"/>
    </row>
    <row r="501" spans="2:3" x14ac:dyDescent="0.25">
      <c r="B501" s="6"/>
      <c r="C501" s="29"/>
    </row>
    <row r="502" spans="2:3" x14ac:dyDescent="0.25">
      <c r="B502" s="6"/>
      <c r="C502" s="29"/>
    </row>
    <row r="503" spans="2:3" x14ac:dyDescent="0.25">
      <c r="B503" s="6"/>
      <c r="C503" s="29"/>
    </row>
    <row r="504" spans="2:3" x14ac:dyDescent="0.25">
      <c r="B504" s="6"/>
      <c r="C504" s="29"/>
    </row>
    <row r="505" spans="2:3" x14ac:dyDescent="0.25">
      <c r="B505" s="6"/>
      <c r="C505" s="29"/>
    </row>
    <row r="506" spans="2:3" x14ac:dyDescent="0.25">
      <c r="B506" s="6"/>
      <c r="C506" s="29"/>
    </row>
    <row r="507" spans="2:3" x14ac:dyDescent="0.25">
      <c r="B507" s="6"/>
      <c r="C507" s="29"/>
    </row>
    <row r="508" spans="2:3" x14ac:dyDescent="0.25">
      <c r="B508" s="6"/>
      <c r="C508" s="29"/>
    </row>
    <row r="509" spans="2:3" x14ac:dyDescent="0.25">
      <c r="B509" s="6"/>
      <c r="C509" s="29"/>
    </row>
    <row r="510" spans="2:3" x14ac:dyDescent="0.25">
      <c r="B510" s="6"/>
      <c r="C510" s="29"/>
    </row>
    <row r="511" spans="2:3" x14ac:dyDescent="0.25">
      <c r="B511" s="6"/>
      <c r="C511" s="29"/>
    </row>
    <row r="512" spans="2:3" x14ac:dyDescent="0.25">
      <c r="B512" s="6"/>
      <c r="C512" s="29"/>
    </row>
    <row r="513" spans="2:3" x14ac:dyDescent="0.25">
      <c r="B513" s="6"/>
      <c r="C513" s="29"/>
    </row>
    <row r="514" spans="2:3" x14ac:dyDescent="0.25">
      <c r="B514" s="6"/>
      <c r="C514" s="29"/>
    </row>
    <row r="515" spans="2:3" x14ac:dyDescent="0.25">
      <c r="B515" s="6"/>
      <c r="C515" s="29"/>
    </row>
    <row r="516" spans="2:3" x14ac:dyDescent="0.25">
      <c r="B516" s="6"/>
      <c r="C516" s="29"/>
    </row>
    <row r="517" spans="2:3" x14ac:dyDescent="0.25">
      <c r="B517" s="6"/>
      <c r="C517" s="29"/>
    </row>
    <row r="518" spans="2:3" x14ac:dyDescent="0.25">
      <c r="B518" s="6"/>
      <c r="C518" s="29"/>
    </row>
    <row r="519" spans="2:3" x14ac:dyDescent="0.25">
      <c r="B519" s="6"/>
      <c r="C519" s="29"/>
    </row>
    <row r="520" spans="2:3" x14ac:dyDescent="0.25">
      <c r="B520" s="6"/>
      <c r="C520" s="29"/>
    </row>
    <row r="521" spans="2:3" x14ac:dyDescent="0.25">
      <c r="B521" s="6"/>
      <c r="C521" s="29"/>
    </row>
    <row r="522" spans="2:3" x14ac:dyDescent="0.25">
      <c r="B522" s="6"/>
      <c r="C522" s="29"/>
    </row>
    <row r="523" spans="2:3" x14ac:dyDescent="0.25">
      <c r="B523" s="6"/>
      <c r="C523" s="29"/>
    </row>
    <row r="524" spans="2:3" x14ac:dyDescent="0.25">
      <c r="B524" s="6"/>
      <c r="C524" s="29"/>
    </row>
    <row r="525" spans="2:3" x14ac:dyDescent="0.25">
      <c r="B525" s="6"/>
      <c r="C525" s="29"/>
    </row>
    <row r="526" spans="2:3" x14ac:dyDescent="0.25">
      <c r="B526" s="6"/>
      <c r="C526" s="29"/>
    </row>
    <row r="527" spans="2:3" x14ac:dyDescent="0.25">
      <c r="B527" s="6"/>
      <c r="C527" s="29"/>
    </row>
    <row r="528" spans="2:3" x14ac:dyDescent="0.25">
      <c r="B528" s="6"/>
      <c r="C528" s="29"/>
    </row>
    <row r="529" spans="2:3" x14ac:dyDescent="0.25">
      <c r="B529" s="6"/>
      <c r="C529" s="29"/>
    </row>
    <row r="530" spans="2:3" x14ac:dyDescent="0.25">
      <c r="B530" s="6"/>
      <c r="C530" s="29"/>
    </row>
    <row r="531" spans="2:3" x14ac:dyDescent="0.25">
      <c r="B531" s="6"/>
      <c r="C531" s="29"/>
    </row>
    <row r="532" spans="2:3" x14ac:dyDescent="0.25">
      <c r="B532" s="6"/>
      <c r="C532" s="29"/>
    </row>
    <row r="533" spans="2:3" x14ac:dyDescent="0.25">
      <c r="B533" s="6"/>
      <c r="C533" s="29"/>
    </row>
    <row r="534" spans="2:3" x14ac:dyDescent="0.25">
      <c r="B534" s="6"/>
      <c r="C534" s="29"/>
    </row>
    <row r="535" spans="2:3" x14ac:dyDescent="0.25">
      <c r="B535" s="6"/>
      <c r="C535" s="29"/>
    </row>
    <row r="536" spans="2:3" x14ac:dyDescent="0.25">
      <c r="B536" s="6"/>
      <c r="C536" s="29"/>
    </row>
    <row r="537" spans="2:3" x14ac:dyDescent="0.25">
      <c r="B537" s="6"/>
      <c r="C537" s="29"/>
    </row>
    <row r="538" spans="2:3" x14ac:dyDescent="0.25">
      <c r="B538" s="6"/>
      <c r="C538" s="29"/>
    </row>
    <row r="539" spans="2:3" x14ac:dyDescent="0.25">
      <c r="B539" s="6"/>
      <c r="C539" s="29"/>
    </row>
    <row r="540" spans="2:3" x14ac:dyDescent="0.25">
      <c r="B540" s="6"/>
      <c r="C540" s="29"/>
    </row>
    <row r="541" spans="2:3" x14ac:dyDescent="0.25">
      <c r="B541" s="6"/>
      <c r="C541" s="29"/>
    </row>
    <row r="542" spans="2:3" x14ac:dyDescent="0.25">
      <c r="B542" s="6"/>
      <c r="C542" s="29"/>
    </row>
    <row r="543" spans="2:3" x14ac:dyDescent="0.25">
      <c r="B543" s="6"/>
      <c r="C543" s="29"/>
    </row>
    <row r="544" spans="2:3" x14ac:dyDescent="0.25">
      <c r="B544" s="6"/>
      <c r="C544" s="29"/>
    </row>
    <row r="545" spans="2:3" x14ac:dyDescent="0.25">
      <c r="B545" s="6"/>
      <c r="C545" s="29"/>
    </row>
    <row r="546" spans="2:3" x14ac:dyDescent="0.25">
      <c r="B546" s="6"/>
      <c r="C546" s="29"/>
    </row>
    <row r="547" spans="2:3" x14ac:dyDescent="0.25">
      <c r="B547" s="6"/>
      <c r="C547" s="29"/>
    </row>
    <row r="548" spans="2:3" x14ac:dyDescent="0.25">
      <c r="B548" s="6"/>
      <c r="C548" s="29"/>
    </row>
    <row r="549" spans="2:3" x14ac:dyDescent="0.25">
      <c r="B549" s="6"/>
      <c r="C549" s="29"/>
    </row>
    <row r="550" spans="2:3" x14ac:dyDescent="0.25">
      <c r="B550" s="6"/>
      <c r="C550" s="29"/>
    </row>
    <row r="551" spans="2:3" x14ac:dyDescent="0.25">
      <c r="B551" s="6"/>
      <c r="C551" s="29"/>
    </row>
    <row r="552" spans="2:3" x14ac:dyDescent="0.25">
      <c r="B552" s="6"/>
      <c r="C552" s="29"/>
    </row>
    <row r="553" spans="2:3" x14ac:dyDescent="0.25">
      <c r="B553" s="6"/>
      <c r="C553" s="29"/>
    </row>
    <row r="554" spans="2:3" x14ac:dyDescent="0.25">
      <c r="B554" s="6"/>
      <c r="C554" s="29"/>
    </row>
    <row r="555" spans="2:3" x14ac:dyDescent="0.25">
      <c r="B555" s="6"/>
      <c r="C555" s="29"/>
    </row>
    <row r="556" spans="2:3" x14ac:dyDescent="0.25">
      <c r="B556" s="6"/>
      <c r="C556" s="29"/>
    </row>
    <row r="557" spans="2:3" x14ac:dyDescent="0.25">
      <c r="B557" s="6"/>
      <c r="C557" s="29"/>
    </row>
    <row r="558" spans="2:3" x14ac:dyDescent="0.25">
      <c r="B558" s="6"/>
      <c r="C558" s="29"/>
    </row>
    <row r="559" spans="2:3" x14ac:dyDescent="0.25">
      <c r="B559" s="6"/>
      <c r="C559" s="29"/>
    </row>
    <row r="560" spans="2:3" x14ac:dyDescent="0.25">
      <c r="B560" s="6"/>
      <c r="C560" s="29"/>
    </row>
    <row r="561" spans="2:3" x14ac:dyDescent="0.25">
      <c r="B561" s="6"/>
      <c r="C561" s="29"/>
    </row>
    <row r="562" spans="2:3" x14ac:dyDescent="0.25">
      <c r="B562" s="6"/>
      <c r="C562" s="29"/>
    </row>
    <row r="563" spans="2:3" x14ac:dyDescent="0.25">
      <c r="B563" s="6"/>
      <c r="C563" s="29"/>
    </row>
    <row r="564" spans="2:3" x14ac:dyDescent="0.25">
      <c r="B564" s="6"/>
      <c r="C564" s="29"/>
    </row>
    <row r="565" spans="2:3" x14ac:dyDescent="0.25">
      <c r="B565" s="6"/>
      <c r="C565" s="29"/>
    </row>
    <row r="566" spans="2:3" x14ac:dyDescent="0.25">
      <c r="B566" s="6"/>
      <c r="C566" s="29"/>
    </row>
    <row r="567" spans="2:3" x14ac:dyDescent="0.25">
      <c r="B567" s="6"/>
      <c r="C567" s="29"/>
    </row>
    <row r="568" spans="2:3" x14ac:dyDescent="0.25">
      <c r="B568" s="6"/>
      <c r="C568" s="29"/>
    </row>
    <row r="569" spans="2:3" x14ac:dyDescent="0.25">
      <c r="B569" s="6"/>
      <c r="C569" s="29"/>
    </row>
    <row r="570" spans="2:3" x14ac:dyDescent="0.25">
      <c r="B570" s="6"/>
      <c r="C570" s="29"/>
    </row>
    <row r="571" spans="2:3" x14ac:dyDescent="0.25">
      <c r="B571" s="6"/>
      <c r="C571" s="29"/>
    </row>
    <row r="572" spans="2:3" x14ac:dyDescent="0.25">
      <c r="B572" s="6"/>
      <c r="C572" s="29"/>
    </row>
    <row r="573" spans="2:3" x14ac:dyDescent="0.25">
      <c r="B573" s="6"/>
      <c r="C573" s="29"/>
    </row>
    <row r="574" spans="2:3" x14ac:dyDescent="0.25">
      <c r="B574" s="6"/>
      <c r="C574" s="29"/>
    </row>
    <row r="575" spans="2:3" x14ac:dyDescent="0.25">
      <c r="B575" s="6"/>
      <c r="C575" s="29"/>
    </row>
    <row r="576" spans="2:3" x14ac:dyDescent="0.25">
      <c r="B576" s="6"/>
      <c r="C576" s="29"/>
    </row>
    <row r="577" spans="2:3" x14ac:dyDescent="0.25">
      <c r="B577" s="6"/>
      <c r="C577" s="29"/>
    </row>
    <row r="578" spans="2:3" x14ac:dyDescent="0.25">
      <c r="B578" s="6"/>
      <c r="C578" s="29"/>
    </row>
    <row r="579" spans="2:3" x14ac:dyDescent="0.25">
      <c r="B579" s="6"/>
      <c r="C579" s="29"/>
    </row>
    <row r="580" spans="2:3" x14ac:dyDescent="0.25">
      <c r="B580" s="6"/>
      <c r="C580" s="29"/>
    </row>
    <row r="581" spans="2:3" x14ac:dyDescent="0.25">
      <c r="B581" s="6"/>
      <c r="C581" s="29"/>
    </row>
    <row r="582" spans="2:3" x14ac:dyDescent="0.25">
      <c r="B582" s="6"/>
      <c r="C582" s="29"/>
    </row>
    <row r="583" spans="2:3" x14ac:dyDescent="0.25">
      <c r="B583" s="6"/>
      <c r="C583" s="29"/>
    </row>
    <row r="584" spans="2:3" x14ac:dyDescent="0.25">
      <c r="B584" s="6"/>
      <c r="C584" s="29"/>
    </row>
    <row r="585" spans="2:3" x14ac:dyDescent="0.25">
      <c r="B585" s="6"/>
      <c r="C585" s="29"/>
    </row>
    <row r="586" spans="2:3" x14ac:dyDescent="0.25">
      <c r="B586" s="6"/>
      <c r="C586" s="29"/>
    </row>
    <row r="587" spans="2:3" x14ac:dyDescent="0.25">
      <c r="B587" s="6"/>
      <c r="C587" s="29"/>
    </row>
    <row r="588" spans="2:3" x14ac:dyDescent="0.25">
      <c r="B588" s="6"/>
      <c r="C588" s="29"/>
    </row>
    <row r="589" spans="2:3" x14ac:dyDescent="0.25">
      <c r="B589" s="6"/>
      <c r="C589" s="29"/>
    </row>
    <row r="590" spans="2:3" x14ac:dyDescent="0.25">
      <c r="B590" s="6"/>
      <c r="C590" s="29"/>
    </row>
    <row r="591" spans="2:3" x14ac:dyDescent="0.25">
      <c r="B591" s="6"/>
      <c r="C591" s="29"/>
    </row>
    <row r="592" spans="2:3" x14ac:dyDescent="0.25">
      <c r="B592" s="6"/>
      <c r="C592" s="29"/>
    </row>
    <row r="593" spans="2:3" x14ac:dyDescent="0.25">
      <c r="B593" s="6"/>
      <c r="C593" s="29"/>
    </row>
    <row r="594" spans="2:3" x14ac:dyDescent="0.25">
      <c r="B594" s="6"/>
      <c r="C594" s="29"/>
    </row>
    <row r="595" spans="2:3" x14ac:dyDescent="0.25">
      <c r="B595" s="6"/>
      <c r="C595" s="29"/>
    </row>
    <row r="596" spans="2:3" x14ac:dyDescent="0.25">
      <c r="B596" s="6"/>
      <c r="C596" s="29"/>
    </row>
    <row r="597" spans="2:3" x14ac:dyDescent="0.25">
      <c r="B597" s="6"/>
      <c r="C597" s="29"/>
    </row>
    <row r="598" spans="2:3" x14ac:dyDescent="0.25">
      <c r="B598" s="6"/>
      <c r="C598" s="29"/>
    </row>
    <row r="599" spans="2:3" x14ac:dyDescent="0.25">
      <c r="B599" s="6"/>
      <c r="C599" s="29"/>
    </row>
    <row r="600" spans="2:3" x14ac:dyDescent="0.25">
      <c r="B600" s="6"/>
      <c r="C600" s="29"/>
    </row>
    <row r="601" spans="2:3" x14ac:dyDescent="0.25">
      <c r="B601" s="6"/>
      <c r="C601" s="29"/>
    </row>
    <row r="602" spans="2:3" x14ac:dyDescent="0.25">
      <c r="B602" s="6"/>
      <c r="C602" s="29"/>
    </row>
    <row r="603" spans="2:3" x14ac:dyDescent="0.25">
      <c r="B603" s="6"/>
      <c r="C603" s="29"/>
    </row>
    <row r="604" spans="2:3" x14ac:dyDescent="0.25">
      <c r="B604" s="6"/>
      <c r="C604" s="29"/>
    </row>
    <row r="605" spans="2:3" x14ac:dyDescent="0.25">
      <c r="B605" s="6"/>
      <c r="C605" s="29"/>
    </row>
    <row r="606" spans="2:3" x14ac:dyDescent="0.25">
      <c r="B606" s="6"/>
      <c r="C606" s="29"/>
    </row>
    <row r="607" spans="2:3" x14ac:dyDescent="0.25">
      <c r="B607" s="6"/>
      <c r="C607" s="29"/>
    </row>
    <row r="608" spans="2:3" x14ac:dyDescent="0.25">
      <c r="B608" s="6"/>
      <c r="C608" s="29"/>
    </row>
    <row r="609" spans="2:3" x14ac:dyDescent="0.25">
      <c r="B609" s="6"/>
      <c r="C609" s="29"/>
    </row>
    <row r="610" spans="2:3" x14ac:dyDescent="0.25">
      <c r="B610" s="6"/>
      <c r="C610" s="29"/>
    </row>
    <row r="611" spans="2:3" x14ac:dyDescent="0.25">
      <c r="B611" s="6"/>
      <c r="C611" s="29"/>
    </row>
    <row r="612" spans="2:3" x14ac:dyDescent="0.25">
      <c r="B612" s="6"/>
      <c r="C612" s="29"/>
    </row>
    <row r="613" spans="2:3" x14ac:dyDescent="0.25">
      <c r="B613" s="6"/>
      <c r="C613" s="29"/>
    </row>
    <row r="614" spans="2:3" x14ac:dyDescent="0.25">
      <c r="B614" s="6"/>
      <c r="C614" s="29"/>
    </row>
    <row r="615" spans="2:3" x14ac:dyDescent="0.25">
      <c r="B615" s="6"/>
      <c r="C615" s="29"/>
    </row>
    <row r="616" spans="2:3" x14ac:dyDescent="0.25">
      <c r="B616" s="6"/>
      <c r="C616" s="29"/>
    </row>
    <row r="617" spans="2:3" x14ac:dyDescent="0.25">
      <c r="B617" s="6"/>
      <c r="C617" s="29"/>
    </row>
    <row r="618" spans="2:3" x14ac:dyDescent="0.25">
      <c r="B618" s="6"/>
      <c r="C618" s="29"/>
    </row>
    <row r="619" spans="2:3" x14ac:dyDescent="0.25">
      <c r="B619" s="6"/>
      <c r="C619" s="29"/>
    </row>
    <row r="620" spans="2:3" x14ac:dyDescent="0.25">
      <c r="B620" s="6"/>
      <c r="C620" s="29"/>
    </row>
    <row r="621" spans="2:3" x14ac:dyDescent="0.25">
      <c r="B621" s="6"/>
      <c r="C621" s="29"/>
    </row>
    <row r="622" spans="2:3" x14ac:dyDescent="0.25">
      <c r="B622" s="6"/>
      <c r="C622" s="29"/>
    </row>
    <row r="623" spans="2:3" x14ac:dyDescent="0.25">
      <c r="B623" s="6"/>
      <c r="C623" s="29"/>
    </row>
    <row r="624" spans="2:3" x14ac:dyDescent="0.25">
      <c r="B624" s="6"/>
      <c r="C624" s="29"/>
    </row>
    <row r="625" spans="2:3" x14ac:dyDescent="0.25">
      <c r="B625" s="6"/>
      <c r="C625" s="29"/>
    </row>
    <row r="626" spans="2:3" x14ac:dyDescent="0.25">
      <c r="B626" s="6"/>
      <c r="C626" s="29"/>
    </row>
    <row r="627" spans="2:3" x14ac:dyDescent="0.25">
      <c r="B627" s="6"/>
      <c r="C627" s="29"/>
    </row>
    <row r="628" spans="2:3" x14ac:dyDescent="0.25">
      <c r="B628" s="6"/>
      <c r="C628" s="29"/>
    </row>
    <row r="629" spans="2:3" x14ac:dyDescent="0.25">
      <c r="B629" s="6"/>
      <c r="C629" s="29"/>
    </row>
    <row r="630" spans="2:3" x14ac:dyDescent="0.25">
      <c r="B630" s="6"/>
      <c r="C630" s="29"/>
    </row>
    <row r="631" spans="2:3" x14ac:dyDescent="0.25">
      <c r="B631" s="6"/>
      <c r="C631" s="29"/>
    </row>
    <row r="632" spans="2:3" x14ac:dyDescent="0.25">
      <c r="B632" s="6"/>
      <c r="C632" s="29"/>
    </row>
    <row r="633" spans="2:3" x14ac:dyDescent="0.25">
      <c r="B633" s="6"/>
      <c r="C633" s="29"/>
    </row>
    <row r="634" spans="2:3" x14ac:dyDescent="0.25">
      <c r="B634" s="6"/>
      <c r="C634" s="29"/>
    </row>
    <row r="635" spans="2:3" x14ac:dyDescent="0.25">
      <c r="B635" s="6"/>
      <c r="C635" s="29"/>
    </row>
    <row r="636" spans="2:3" x14ac:dyDescent="0.25">
      <c r="B636" s="6"/>
      <c r="C636" s="29"/>
    </row>
    <row r="637" spans="2:3" x14ac:dyDescent="0.25">
      <c r="B637" s="6"/>
      <c r="C637" s="29"/>
    </row>
    <row r="638" spans="2:3" x14ac:dyDescent="0.25">
      <c r="B638" s="6"/>
      <c r="C638" s="29"/>
    </row>
    <row r="639" spans="2:3" x14ac:dyDescent="0.25">
      <c r="B639" s="6"/>
      <c r="C639" s="29"/>
    </row>
    <row r="640" spans="2:3" x14ac:dyDescent="0.25">
      <c r="B640" s="6"/>
      <c r="C640" s="29"/>
    </row>
    <row r="641" spans="2:3" x14ac:dyDescent="0.25">
      <c r="B641" s="6"/>
      <c r="C641" s="29"/>
    </row>
    <row r="642" spans="2:3" x14ac:dyDescent="0.25">
      <c r="B642" s="6"/>
      <c r="C642" s="29"/>
    </row>
    <row r="643" spans="2:3" x14ac:dyDescent="0.25">
      <c r="B643" s="6"/>
      <c r="C643" s="29"/>
    </row>
    <row r="644" spans="2:3" x14ac:dyDescent="0.25">
      <c r="B644" s="6"/>
      <c r="C644" s="29"/>
    </row>
    <row r="645" spans="2:3" x14ac:dyDescent="0.25">
      <c r="B645" s="6"/>
      <c r="C645" s="29"/>
    </row>
    <row r="646" spans="2:3" x14ac:dyDescent="0.25">
      <c r="B646" s="6"/>
      <c r="C646" s="29"/>
    </row>
    <row r="647" spans="2:3" x14ac:dyDescent="0.25">
      <c r="B647" s="6"/>
      <c r="C647" s="29"/>
    </row>
    <row r="648" spans="2:3" x14ac:dyDescent="0.25">
      <c r="B648" s="6"/>
      <c r="C648" s="29"/>
    </row>
    <row r="649" spans="2:3" x14ac:dyDescent="0.25">
      <c r="B649" s="6"/>
      <c r="C649" s="29"/>
    </row>
    <row r="650" spans="2:3" x14ac:dyDescent="0.25">
      <c r="B650" s="6"/>
      <c r="C650" s="29"/>
    </row>
    <row r="651" spans="2:3" x14ac:dyDescent="0.25">
      <c r="B651" s="6"/>
      <c r="C651" s="29"/>
    </row>
    <row r="652" spans="2:3" x14ac:dyDescent="0.25">
      <c r="B652" s="6"/>
      <c r="C652" s="29"/>
    </row>
    <row r="653" spans="2:3" x14ac:dyDescent="0.25">
      <c r="B653" s="6"/>
      <c r="C653" s="29"/>
    </row>
    <row r="654" spans="2:3" x14ac:dyDescent="0.25">
      <c r="B654" s="6"/>
      <c r="C654" s="29"/>
    </row>
    <row r="655" spans="2:3" x14ac:dyDescent="0.25">
      <c r="B655" s="6"/>
      <c r="C655" s="29"/>
    </row>
    <row r="656" spans="2:3" x14ac:dyDescent="0.25">
      <c r="B656" s="6"/>
      <c r="C656" s="29"/>
    </row>
    <row r="657" spans="2:3" x14ac:dyDescent="0.25">
      <c r="B657" s="6"/>
      <c r="C657" s="29"/>
    </row>
    <row r="658" spans="2:3" x14ac:dyDescent="0.25">
      <c r="B658" s="6"/>
      <c r="C658" s="29"/>
    </row>
    <row r="659" spans="2:3" x14ac:dyDescent="0.25">
      <c r="B659" s="6"/>
      <c r="C659" s="29"/>
    </row>
    <row r="660" spans="2:3" x14ac:dyDescent="0.25">
      <c r="B660" s="6"/>
      <c r="C660" s="29"/>
    </row>
    <row r="661" spans="2:3" x14ac:dyDescent="0.25">
      <c r="B661" s="6"/>
      <c r="C661" s="29"/>
    </row>
    <row r="662" spans="2:3" x14ac:dyDescent="0.25">
      <c r="B662" s="6"/>
      <c r="C662" s="29"/>
    </row>
    <row r="663" spans="2:3" x14ac:dyDescent="0.25">
      <c r="B663" s="6"/>
      <c r="C663" s="29"/>
    </row>
    <row r="664" spans="2:3" x14ac:dyDescent="0.25">
      <c r="B664" s="6"/>
      <c r="C664" s="29"/>
    </row>
    <row r="665" spans="2:3" x14ac:dyDescent="0.25">
      <c r="B665" s="6"/>
      <c r="C665" s="29"/>
    </row>
    <row r="666" spans="2:3" x14ac:dyDescent="0.25">
      <c r="B666" s="6"/>
      <c r="C666" s="29"/>
    </row>
    <row r="667" spans="2:3" x14ac:dyDescent="0.25">
      <c r="B667" s="6"/>
      <c r="C667" s="29"/>
    </row>
    <row r="668" spans="2:3" x14ac:dyDescent="0.25">
      <c r="B668" s="6"/>
      <c r="C668" s="29"/>
    </row>
    <row r="669" spans="2:3" x14ac:dyDescent="0.25">
      <c r="B669" s="6"/>
      <c r="C669" s="29"/>
    </row>
    <row r="670" spans="2:3" x14ac:dyDescent="0.25">
      <c r="B670" s="6"/>
      <c r="C670" s="29"/>
    </row>
    <row r="671" spans="2:3" x14ac:dyDescent="0.25">
      <c r="B671" s="6"/>
      <c r="C671" s="29"/>
    </row>
    <row r="672" spans="2:3" x14ac:dyDescent="0.25">
      <c r="B672" s="6"/>
      <c r="C672" s="29"/>
    </row>
    <row r="673" spans="2:3" x14ac:dyDescent="0.25">
      <c r="B673" s="6"/>
      <c r="C673" s="29"/>
    </row>
    <row r="674" spans="2:3" x14ac:dyDescent="0.25">
      <c r="B674" s="6"/>
      <c r="C674" s="29"/>
    </row>
    <row r="675" spans="2:3" x14ac:dyDescent="0.25">
      <c r="B675" s="6"/>
      <c r="C675" s="29"/>
    </row>
    <row r="676" spans="2:3" x14ac:dyDescent="0.25">
      <c r="B676" s="6"/>
      <c r="C676" s="29"/>
    </row>
    <row r="677" spans="2:3" x14ac:dyDescent="0.25">
      <c r="B677" s="6"/>
      <c r="C677" s="29"/>
    </row>
    <row r="678" spans="2:3" x14ac:dyDescent="0.25">
      <c r="B678" s="6"/>
      <c r="C678" s="29"/>
    </row>
    <row r="679" spans="2:3" x14ac:dyDescent="0.25">
      <c r="B679" s="6"/>
      <c r="C679" s="29"/>
    </row>
    <row r="680" spans="2:3" x14ac:dyDescent="0.25">
      <c r="B680" s="6"/>
      <c r="C680" s="29"/>
    </row>
    <row r="681" spans="2:3" x14ac:dyDescent="0.25">
      <c r="B681" s="6"/>
      <c r="C681" s="29"/>
    </row>
    <row r="682" spans="2:3" x14ac:dyDescent="0.25">
      <c r="B682" s="6"/>
      <c r="C682" s="29"/>
    </row>
    <row r="683" spans="2:3" x14ac:dyDescent="0.25">
      <c r="B683" s="6"/>
      <c r="C683" s="29"/>
    </row>
    <row r="684" spans="2:3" x14ac:dyDescent="0.25">
      <c r="B684" s="6"/>
      <c r="C684" s="29"/>
    </row>
    <row r="685" spans="2:3" x14ac:dyDescent="0.25">
      <c r="B685" s="6"/>
      <c r="C685" s="29"/>
    </row>
    <row r="686" spans="2:3" x14ac:dyDescent="0.25">
      <c r="B686" s="6"/>
      <c r="C686" s="29"/>
    </row>
    <row r="687" spans="2:3" x14ac:dyDescent="0.25">
      <c r="B687" s="6"/>
      <c r="C687" s="29"/>
    </row>
    <row r="688" spans="2:3" x14ac:dyDescent="0.25">
      <c r="B688" s="6"/>
      <c r="C688" s="29"/>
    </row>
    <row r="689" spans="2:3" x14ac:dyDescent="0.25">
      <c r="B689" s="6"/>
      <c r="C689" s="29"/>
    </row>
    <row r="690" spans="2:3" x14ac:dyDescent="0.25">
      <c r="B690" s="6"/>
      <c r="C690" s="29"/>
    </row>
    <row r="691" spans="2:3" x14ac:dyDescent="0.25">
      <c r="B691" s="6"/>
      <c r="C691" s="29"/>
    </row>
    <row r="692" spans="2:3" x14ac:dyDescent="0.25">
      <c r="B692" s="6"/>
      <c r="C692" s="29"/>
    </row>
    <row r="693" spans="2:3" x14ac:dyDescent="0.25">
      <c r="B693" s="6"/>
      <c r="C693" s="29"/>
    </row>
    <row r="694" spans="2:3" x14ac:dyDescent="0.25">
      <c r="B694" s="6"/>
      <c r="C694" s="29"/>
    </row>
    <row r="695" spans="2:3" x14ac:dyDescent="0.25">
      <c r="B695" s="6"/>
      <c r="C695" s="29"/>
    </row>
    <row r="696" spans="2:3" x14ac:dyDescent="0.25">
      <c r="B696" s="6"/>
      <c r="C696" s="29"/>
    </row>
    <row r="697" spans="2:3" x14ac:dyDescent="0.25">
      <c r="B697" s="6"/>
      <c r="C697" s="29"/>
    </row>
    <row r="698" spans="2:3" x14ac:dyDescent="0.25">
      <c r="B698" s="6"/>
      <c r="C698" s="29"/>
    </row>
    <row r="699" spans="2:3" x14ac:dyDescent="0.25">
      <c r="B699" s="6"/>
      <c r="C699" s="29"/>
    </row>
    <row r="700" spans="2:3" x14ac:dyDescent="0.25">
      <c r="B700" s="6"/>
      <c r="C700" s="29"/>
    </row>
    <row r="701" spans="2:3" x14ac:dyDescent="0.25">
      <c r="B701" s="6"/>
      <c r="C701" s="29"/>
    </row>
    <row r="702" spans="2:3" x14ac:dyDescent="0.25">
      <c r="B702" s="6"/>
      <c r="C702" s="29"/>
    </row>
    <row r="703" spans="2:3" x14ac:dyDescent="0.25">
      <c r="B703" s="6"/>
      <c r="C703" s="29"/>
    </row>
    <row r="704" spans="2:3" x14ac:dyDescent="0.25">
      <c r="B704" s="6"/>
      <c r="C704" s="29"/>
    </row>
    <row r="705" spans="2:3" x14ac:dyDescent="0.25">
      <c r="B705" s="6"/>
      <c r="C705" s="29"/>
    </row>
    <row r="706" spans="2:3" x14ac:dyDescent="0.25">
      <c r="B706" s="6"/>
      <c r="C706" s="29"/>
    </row>
    <row r="707" spans="2:3" x14ac:dyDescent="0.25">
      <c r="B707" s="6"/>
      <c r="C707" s="29"/>
    </row>
    <row r="708" spans="2:3" x14ac:dyDescent="0.25">
      <c r="B708" s="6"/>
      <c r="C708" s="29"/>
    </row>
    <row r="709" spans="2:3" x14ac:dyDescent="0.25">
      <c r="B709" s="6"/>
      <c r="C709" s="29"/>
    </row>
    <row r="710" spans="2:3" x14ac:dyDescent="0.25">
      <c r="B710" s="6"/>
      <c r="C710" s="29"/>
    </row>
    <row r="711" spans="2:3" x14ac:dyDescent="0.25">
      <c r="B711" s="6"/>
      <c r="C711" s="29"/>
    </row>
    <row r="712" spans="2:3" x14ac:dyDescent="0.25">
      <c r="B712" s="6"/>
      <c r="C712" s="29"/>
    </row>
    <row r="713" spans="2:3" x14ac:dyDescent="0.25">
      <c r="B713" s="6"/>
      <c r="C713" s="29"/>
    </row>
    <row r="714" spans="2:3" x14ac:dyDescent="0.25">
      <c r="B714" s="6"/>
      <c r="C714" s="29"/>
    </row>
    <row r="715" spans="2:3" x14ac:dyDescent="0.25">
      <c r="B715" s="6"/>
      <c r="C715" s="29"/>
    </row>
    <row r="716" spans="2:3" x14ac:dyDescent="0.25">
      <c r="B716" s="6"/>
      <c r="C716" s="29"/>
    </row>
    <row r="717" spans="2:3" x14ac:dyDescent="0.25">
      <c r="B717" s="6"/>
      <c r="C717" s="29"/>
    </row>
    <row r="718" spans="2:3" x14ac:dyDescent="0.25">
      <c r="B718" s="6"/>
      <c r="C718" s="29"/>
    </row>
    <row r="719" spans="2:3" x14ac:dyDescent="0.25">
      <c r="B719" s="6"/>
      <c r="C719" s="29"/>
    </row>
    <row r="720" spans="2:3" x14ac:dyDescent="0.25">
      <c r="B720" s="6"/>
      <c r="C720" s="29"/>
    </row>
    <row r="721" spans="2:3" x14ac:dyDescent="0.25">
      <c r="B721" s="6"/>
      <c r="C721" s="29"/>
    </row>
    <row r="722" spans="2:3" x14ac:dyDescent="0.25">
      <c r="B722" s="6"/>
      <c r="C722" s="29"/>
    </row>
    <row r="723" spans="2:3" x14ac:dyDescent="0.25">
      <c r="B723" s="6"/>
      <c r="C723" s="29"/>
    </row>
    <row r="724" spans="2:3" x14ac:dyDescent="0.25">
      <c r="B724" s="6"/>
      <c r="C724" s="29"/>
    </row>
    <row r="725" spans="2:3" x14ac:dyDescent="0.25">
      <c r="B725" s="6"/>
      <c r="C725" s="29"/>
    </row>
    <row r="726" spans="2:3" x14ac:dyDescent="0.25">
      <c r="B726" s="6"/>
      <c r="C726" s="29"/>
    </row>
    <row r="727" spans="2:3" x14ac:dyDescent="0.25">
      <c r="B727" s="6"/>
      <c r="C727" s="29"/>
    </row>
    <row r="728" spans="2:3" x14ac:dyDescent="0.25">
      <c r="B728" s="6"/>
      <c r="C728" s="29"/>
    </row>
    <row r="729" spans="2:3" x14ac:dyDescent="0.25">
      <c r="B729" s="6"/>
      <c r="C729" s="29"/>
    </row>
    <row r="730" spans="2:3" x14ac:dyDescent="0.25">
      <c r="B730" s="6"/>
      <c r="C730" s="29"/>
    </row>
    <row r="731" spans="2:3" x14ac:dyDescent="0.25">
      <c r="B731" s="6"/>
      <c r="C731" s="29"/>
    </row>
    <row r="732" spans="2:3" x14ac:dyDescent="0.25">
      <c r="B732" s="6"/>
      <c r="C732" s="29"/>
    </row>
    <row r="733" spans="2:3" x14ac:dyDescent="0.25">
      <c r="B733" s="6"/>
      <c r="C733" s="29"/>
    </row>
    <row r="734" spans="2:3" x14ac:dyDescent="0.25">
      <c r="B734" s="6"/>
      <c r="C734" s="29"/>
    </row>
    <row r="735" spans="2:3" x14ac:dyDescent="0.25">
      <c r="B735" s="6"/>
      <c r="C735" s="29"/>
    </row>
    <row r="736" spans="2:3" x14ac:dyDescent="0.25">
      <c r="B736" s="6"/>
      <c r="C736" s="29"/>
    </row>
    <row r="737" spans="2:3" x14ac:dyDescent="0.25">
      <c r="B737" s="6"/>
      <c r="C737" s="29"/>
    </row>
    <row r="738" spans="2:3" x14ac:dyDescent="0.25">
      <c r="B738" s="6"/>
      <c r="C738" s="29"/>
    </row>
    <row r="739" spans="2:3" x14ac:dyDescent="0.25">
      <c r="B739" s="6"/>
      <c r="C739" s="29"/>
    </row>
    <row r="740" spans="2:3" x14ac:dyDescent="0.25">
      <c r="B740" s="6"/>
      <c r="C740" s="29"/>
    </row>
    <row r="741" spans="2:3" x14ac:dyDescent="0.25">
      <c r="B741" s="6"/>
      <c r="C741" s="29"/>
    </row>
    <row r="742" spans="2:3" x14ac:dyDescent="0.25">
      <c r="B742" s="6"/>
      <c r="C742" s="29"/>
    </row>
    <row r="743" spans="2:3" x14ac:dyDescent="0.25">
      <c r="B743" s="6"/>
      <c r="C743" s="29"/>
    </row>
    <row r="744" spans="2:3" x14ac:dyDescent="0.25">
      <c r="B744" s="6"/>
      <c r="C744" s="29"/>
    </row>
    <row r="745" spans="2:3" x14ac:dyDescent="0.25">
      <c r="B745" s="6"/>
      <c r="C745" s="29"/>
    </row>
    <row r="746" spans="2:3" x14ac:dyDescent="0.25">
      <c r="B746" s="6"/>
      <c r="C746" s="29"/>
    </row>
    <row r="747" spans="2:3" x14ac:dyDescent="0.25">
      <c r="B747" s="6"/>
      <c r="C747" s="29"/>
    </row>
    <row r="748" spans="2:3" x14ac:dyDescent="0.25">
      <c r="B748" s="6"/>
      <c r="C748" s="29"/>
    </row>
    <row r="749" spans="2:3" x14ac:dyDescent="0.25">
      <c r="B749" s="6"/>
      <c r="C749" s="29"/>
    </row>
    <row r="750" spans="2:3" x14ac:dyDescent="0.25">
      <c r="B750" s="6"/>
      <c r="C750" s="29"/>
    </row>
    <row r="751" spans="2:3" x14ac:dyDescent="0.25">
      <c r="B751" s="6"/>
      <c r="C751" s="29"/>
    </row>
    <row r="752" spans="2:3" x14ac:dyDescent="0.25">
      <c r="B752" s="6"/>
      <c r="C752" s="29"/>
    </row>
    <row r="753" spans="2:3" x14ac:dyDescent="0.25">
      <c r="B753" s="6"/>
      <c r="C753" s="29"/>
    </row>
    <row r="754" spans="2:3" x14ac:dyDescent="0.25">
      <c r="B754" s="6"/>
      <c r="C754" s="29"/>
    </row>
    <row r="755" spans="2:3" x14ac:dyDescent="0.25">
      <c r="B755" s="6"/>
      <c r="C755" s="29"/>
    </row>
    <row r="756" spans="2:3" x14ac:dyDescent="0.25">
      <c r="B756" s="6"/>
      <c r="C756" s="29"/>
    </row>
    <row r="757" spans="2:3" x14ac:dyDescent="0.25">
      <c r="B757" s="6"/>
      <c r="C757" s="29"/>
    </row>
    <row r="758" spans="2:3" x14ac:dyDescent="0.25">
      <c r="B758" s="6"/>
      <c r="C758" s="29"/>
    </row>
    <row r="759" spans="2:3" x14ac:dyDescent="0.25">
      <c r="B759" s="6"/>
      <c r="C759" s="29"/>
    </row>
    <row r="760" spans="2:3" x14ac:dyDescent="0.25">
      <c r="B760" s="6"/>
      <c r="C760" s="29"/>
    </row>
    <row r="761" spans="2:3" x14ac:dyDescent="0.25">
      <c r="B761" s="6"/>
      <c r="C761" s="29"/>
    </row>
    <row r="762" spans="2:3" x14ac:dyDescent="0.25">
      <c r="B762" s="6"/>
      <c r="C762" s="29"/>
    </row>
    <row r="763" spans="2:3" x14ac:dyDescent="0.25">
      <c r="B763" s="6"/>
      <c r="C763" s="29"/>
    </row>
    <row r="764" spans="2:3" x14ac:dyDescent="0.25">
      <c r="B764" s="6"/>
      <c r="C764" s="29"/>
    </row>
    <row r="765" spans="2:3" x14ac:dyDescent="0.25">
      <c r="B765" s="6"/>
      <c r="C765" s="29"/>
    </row>
    <row r="766" spans="2:3" x14ac:dyDescent="0.25">
      <c r="B766" s="6"/>
      <c r="C766" s="29"/>
    </row>
    <row r="767" spans="2:3" x14ac:dyDescent="0.25">
      <c r="B767" s="6"/>
      <c r="C767" s="29"/>
    </row>
    <row r="768" spans="2:3" x14ac:dyDescent="0.25">
      <c r="B768" s="6"/>
      <c r="C768" s="29"/>
    </row>
    <row r="769" spans="2:3" x14ac:dyDescent="0.25">
      <c r="B769" s="6"/>
      <c r="C769" s="29"/>
    </row>
    <row r="770" spans="2:3" x14ac:dyDescent="0.25">
      <c r="B770" s="6"/>
      <c r="C770" s="29"/>
    </row>
    <row r="771" spans="2:3" x14ac:dyDescent="0.25">
      <c r="B771" s="6"/>
      <c r="C771" s="29"/>
    </row>
    <row r="772" spans="2:3" x14ac:dyDescent="0.25">
      <c r="B772" s="6"/>
      <c r="C772" s="29"/>
    </row>
    <row r="773" spans="2:3" x14ac:dyDescent="0.25">
      <c r="B773" s="6"/>
      <c r="C773" s="29"/>
    </row>
    <row r="774" spans="2:3" x14ac:dyDescent="0.25">
      <c r="B774" s="6"/>
      <c r="C774" s="29"/>
    </row>
    <row r="775" spans="2:3" x14ac:dyDescent="0.25">
      <c r="B775" s="6"/>
      <c r="C775" s="29"/>
    </row>
    <row r="776" spans="2:3" x14ac:dyDescent="0.25">
      <c r="B776" s="6"/>
      <c r="C776" s="29"/>
    </row>
    <row r="777" spans="2:3" x14ac:dyDescent="0.25">
      <c r="B777" s="6"/>
      <c r="C777" s="29"/>
    </row>
    <row r="778" spans="2:3" x14ac:dyDescent="0.25">
      <c r="B778" s="6"/>
      <c r="C778" s="29"/>
    </row>
    <row r="779" spans="2:3" x14ac:dyDescent="0.25">
      <c r="B779" s="6"/>
      <c r="C779" s="29"/>
    </row>
    <row r="780" spans="2:3" x14ac:dyDescent="0.25">
      <c r="B780" s="6"/>
      <c r="C780" s="29"/>
    </row>
    <row r="781" spans="2:3" x14ac:dyDescent="0.25">
      <c r="B781" s="6"/>
      <c r="C781" s="29"/>
    </row>
    <row r="782" spans="2:3" x14ac:dyDescent="0.25">
      <c r="B782" s="6"/>
      <c r="C782" s="29"/>
    </row>
    <row r="783" spans="2:3" x14ac:dyDescent="0.25">
      <c r="B783" s="6"/>
      <c r="C783" s="29"/>
    </row>
    <row r="784" spans="2:3" x14ac:dyDescent="0.25">
      <c r="B784" s="6"/>
      <c r="C784" s="29"/>
    </row>
    <row r="785" spans="2:3" x14ac:dyDescent="0.25">
      <c r="B785" s="6"/>
      <c r="C785" s="29"/>
    </row>
    <row r="786" spans="2:3" x14ac:dyDescent="0.25">
      <c r="B786" s="6"/>
      <c r="C786" s="29"/>
    </row>
    <row r="787" spans="2:3" x14ac:dyDescent="0.25">
      <c r="B787" s="6"/>
      <c r="C787" s="29"/>
    </row>
    <row r="788" spans="2:3" x14ac:dyDescent="0.25">
      <c r="B788" s="6"/>
      <c r="C788" s="29"/>
    </row>
    <row r="789" spans="2:3" x14ac:dyDescent="0.25">
      <c r="B789" s="6"/>
      <c r="C789" s="29"/>
    </row>
    <row r="790" spans="2:3" x14ac:dyDescent="0.25">
      <c r="B790" s="6"/>
      <c r="C790" s="29"/>
    </row>
    <row r="791" spans="2:3" x14ac:dyDescent="0.25">
      <c r="B791" s="6"/>
      <c r="C791" s="29"/>
    </row>
    <row r="792" spans="2:3" x14ac:dyDescent="0.25">
      <c r="B792" s="6"/>
      <c r="C792" s="29"/>
    </row>
    <row r="793" spans="2:3" x14ac:dyDescent="0.25">
      <c r="B793" s="6"/>
      <c r="C793" s="29"/>
    </row>
    <row r="794" spans="2:3" x14ac:dyDescent="0.25">
      <c r="B794" s="6"/>
      <c r="C794" s="29"/>
    </row>
    <row r="795" spans="2:3" x14ac:dyDescent="0.25">
      <c r="B795" s="6"/>
      <c r="C795" s="29"/>
    </row>
    <row r="796" spans="2:3" x14ac:dyDescent="0.25">
      <c r="B796" s="6"/>
      <c r="C796" s="29"/>
    </row>
    <row r="797" spans="2:3" x14ac:dyDescent="0.25">
      <c r="B797" s="6"/>
      <c r="C797" s="29"/>
    </row>
    <row r="798" spans="2:3" x14ac:dyDescent="0.25">
      <c r="B798" s="6"/>
      <c r="C798" s="29"/>
    </row>
    <row r="799" spans="2:3" x14ac:dyDescent="0.25">
      <c r="B799" s="6"/>
      <c r="C799" s="29"/>
    </row>
    <row r="800" spans="2:3" x14ac:dyDescent="0.25">
      <c r="B800" s="6"/>
      <c r="C800" s="29"/>
    </row>
    <row r="801" spans="2:3" x14ac:dyDescent="0.25">
      <c r="B801" s="6"/>
      <c r="C801" s="29"/>
    </row>
    <row r="802" spans="2:3" x14ac:dyDescent="0.25">
      <c r="B802" s="6"/>
      <c r="C802" s="29"/>
    </row>
    <row r="803" spans="2:3" x14ac:dyDescent="0.25">
      <c r="B803" s="6"/>
      <c r="C803" s="29"/>
    </row>
    <row r="804" spans="2:3" x14ac:dyDescent="0.25">
      <c r="B804" s="6"/>
      <c r="C804" s="29"/>
    </row>
    <row r="805" spans="2:3" x14ac:dyDescent="0.25">
      <c r="B805" s="6"/>
      <c r="C805" s="29"/>
    </row>
    <row r="806" spans="2:3" x14ac:dyDescent="0.25">
      <c r="B806" s="6"/>
      <c r="C806" s="29"/>
    </row>
    <row r="807" spans="2:3" x14ac:dyDescent="0.25">
      <c r="B807" s="6"/>
      <c r="C807" s="29"/>
    </row>
    <row r="808" spans="2:3" x14ac:dyDescent="0.25">
      <c r="B808" s="6"/>
      <c r="C808" s="29"/>
    </row>
    <row r="809" spans="2:3" x14ac:dyDescent="0.25">
      <c r="B809" s="6"/>
      <c r="C809" s="29"/>
    </row>
    <row r="810" spans="2:3" x14ac:dyDescent="0.25">
      <c r="B810" s="6"/>
      <c r="C810" s="29"/>
    </row>
    <row r="811" spans="2:3" x14ac:dyDescent="0.25">
      <c r="B811" s="6"/>
      <c r="C811" s="29"/>
    </row>
    <row r="812" spans="2:3" x14ac:dyDescent="0.25">
      <c r="B812" s="6"/>
      <c r="C812" s="29"/>
    </row>
    <row r="813" spans="2:3" x14ac:dyDescent="0.25">
      <c r="B813" s="6"/>
      <c r="C813" s="29"/>
    </row>
    <row r="814" spans="2:3" x14ac:dyDescent="0.25">
      <c r="B814" s="6"/>
      <c r="C814" s="29"/>
    </row>
    <row r="815" spans="2:3" x14ac:dyDescent="0.25">
      <c r="B815" s="6"/>
      <c r="C815" s="29"/>
    </row>
    <row r="816" spans="2:3" x14ac:dyDescent="0.25">
      <c r="B816" s="6"/>
      <c r="C816" s="29"/>
    </row>
    <row r="817" spans="2:3" x14ac:dyDescent="0.25">
      <c r="B817" s="6"/>
      <c r="C817" s="29"/>
    </row>
    <row r="818" spans="2:3" x14ac:dyDescent="0.25">
      <c r="B818" s="6"/>
      <c r="C818" s="29"/>
    </row>
    <row r="819" spans="2:3" x14ac:dyDescent="0.25">
      <c r="B819" s="6"/>
      <c r="C819" s="29"/>
    </row>
    <row r="820" spans="2:3" x14ac:dyDescent="0.25">
      <c r="B820" s="6"/>
      <c r="C820" s="29"/>
    </row>
    <row r="821" spans="2:3" x14ac:dyDescent="0.25">
      <c r="B821" s="6"/>
      <c r="C821" s="29"/>
    </row>
    <row r="822" spans="2:3" x14ac:dyDescent="0.25">
      <c r="B822" s="6"/>
      <c r="C822" s="29"/>
    </row>
    <row r="823" spans="2:3" x14ac:dyDescent="0.25">
      <c r="B823" s="6"/>
      <c r="C823" s="29"/>
    </row>
    <row r="824" spans="2:3" x14ac:dyDescent="0.25">
      <c r="B824" s="6"/>
      <c r="C824" s="29"/>
    </row>
    <row r="825" spans="2:3" x14ac:dyDescent="0.25">
      <c r="B825" s="6"/>
      <c r="C825" s="29"/>
    </row>
    <row r="826" spans="2:3" x14ac:dyDescent="0.25">
      <c r="B826" s="6"/>
      <c r="C826" s="29"/>
    </row>
    <row r="827" spans="2:3" x14ac:dyDescent="0.25">
      <c r="B827" s="6"/>
      <c r="C827" s="29"/>
    </row>
    <row r="828" spans="2:3" x14ac:dyDescent="0.25">
      <c r="B828" s="6"/>
      <c r="C828" s="29"/>
    </row>
    <row r="829" spans="2:3" x14ac:dyDescent="0.25">
      <c r="B829" s="6"/>
      <c r="C829" s="29"/>
    </row>
    <row r="830" spans="2:3" x14ac:dyDescent="0.25">
      <c r="B830" s="6"/>
      <c r="C830" s="29"/>
    </row>
    <row r="831" spans="2:3" x14ac:dyDescent="0.25">
      <c r="B831" s="6"/>
      <c r="C831" s="29"/>
    </row>
    <row r="832" spans="2:3" x14ac:dyDescent="0.25">
      <c r="B832" s="6"/>
      <c r="C832" s="29"/>
    </row>
    <row r="833" spans="2:3" x14ac:dyDescent="0.25">
      <c r="B833" s="6"/>
      <c r="C833" s="29"/>
    </row>
    <row r="834" spans="2:3" x14ac:dyDescent="0.25">
      <c r="B834" s="6"/>
      <c r="C834" s="29"/>
    </row>
    <row r="835" spans="2:3" x14ac:dyDescent="0.25">
      <c r="B835" s="6"/>
      <c r="C835" s="29"/>
    </row>
    <row r="836" spans="2:3" x14ac:dyDescent="0.25">
      <c r="B836" s="6"/>
      <c r="C836" s="29"/>
    </row>
    <row r="837" spans="2:3" x14ac:dyDescent="0.25">
      <c r="B837" s="6"/>
      <c r="C837" s="29"/>
    </row>
    <row r="838" spans="2:3" x14ac:dyDescent="0.25">
      <c r="B838" s="6"/>
      <c r="C838" s="29"/>
    </row>
    <row r="839" spans="2:3" x14ac:dyDescent="0.25">
      <c r="B839" s="6"/>
      <c r="C839" s="29"/>
    </row>
    <row r="840" spans="2:3" x14ac:dyDescent="0.25">
      <c r="B840" s="6"/>
      <c r="C840" s="29"/>
    </row>
    <row r="841" spans="2:3" x14ac:dyDescent="0.25">
      <c r="B841" s="6"/>
      <c r="C841" s="29"/>
    </row>
    <row r="842" spans="2:3" x14ac:dyDescent="0.25">
      <c r="B842" s="6"/>
      <c r="C842" s="29"/>
    </row>
    <row r="843" spans="2:3" x14ac:dyDescent="0.25">
      <c r="B843" s="6"/>
      <c r="C843" s="29"/>
    </row>
    <row r="844" spans="2:3" x14ac:dyDescent="0.25">
      <c r="B844" s="6"/>
      <c r="C844" s="29"/>
    </row>
    <row r="845" spans="2:3" x14ac:dyDescent="0.25">
      <c r="B845" s="6"/>
      <c r="C845" s="29"/>
    </row>
    <row r="846" spans="2:3" x14ac:dyDescent="0.25">
      <c r="B846" s="6"/>
      <c r="C846" s="29"/>
    </row>
    <row r="847" spans="2:3" x14ac:dyDescent="0.25">
      <c r="B847" s="6"/>
      <c r="C847" s="29"/>
    </row>
    <row r="848" spans="2:3" x14ac:dyDescent="0.25">
      <c r="B848" s="6"/>
      <c r="C848" s="29"/>
    </row>
    <row r="849" spans="2:3" x14ac:dyDescent="0.25">
      <c r="B849" s="6"/>
      <c r="C849" s="29"/>
    </row>
    <row r="850" spans="2:3" x14ac:dyDescent="0.25">
      <c r="B850" s="6"/>
      <c r="C850" s="29"/>
    </row>
    <row r="851" spans="2:3" x14ac:dyDescent="0.25">
      <c r="B851" s="6"/>
      <c r="C851" s="29"/>
    </row>
    <row r="852" spans="2:3" x14ac:dyDescent="0.25">
      <c r="B852" s="6"/>
      <c r="C852" s="29"/>
    </row>
    <row r="853" spans="2:3" x14ac:dyDescent="0.25">
      <c r="B853" s="6"/>
      <c r="C853" s="29"/>
    </row>
    <row r="854" spans="2:3" x14ac:dyDescent="0.25">
      <c r="B854" s="6"/>
      <c r="C854" s="29"/>
    </row>
    <row r="855" spans="2:3" x14ac:dyDescent="0.25">
      <c r="B855" s="6"/>
      <c r="C855" s="29"/>
    </row>
    <row r="856" spans="2:3" x14ac:dyDescent="0.25">
      <c r="B856" s="6"/>
      <c r="C856" s="29"/>
    </row>
    <row r="857" spans="2:3" x14ac:dyDescent="0.25">
      <c r="B857" s="6"/>
      <c r="C857" s="29"/>
    </row>
    <row r="858" spans="2:3" x14ac:dyDescent="0.25">
      <c r="B858" s="6"/>
      <c r="C858" s="29"/>
    </row>
    <row r="859" spans="2:3" x14ac:dyDescent="0.25">
      <c r="B859" s="6"/>
      <c r="C859" s="29"/>
    </row>
    <row r="860" spans="2:3" x14ac:dyDescent="0.25">
      <c r="B860" s="6"/>
      <c r="C860" s="29"/>
    </row>
    <row r="861" spans="2:3" x14ac:dyDescent="0.25">
      <c r="B861" s="6"/>
      <c r="C861" s="29"/>
    </row>
    <row r="862" spans="2:3" x14ac:dyDescent="0.25">
      <c r="B862" s="6"/>
      <c r="C862" s="29"/>
    </row>
    <row r="863" spans="2:3" x14ac:dyDescent="0.25">
      <c r="B863" s="6"/>
      <c r="C863" s="29"/>
    </row>
    <row r="864" spans="2:3" x14ac:dyDescent="0.25">
      <c r="B864" s="6"/>
      <c r="C864" s="29"/>
    </row>
    <row r="865" spans="2:3" x14ac:dyDescent="0.25">
      <c r="B865" s="6"/>
      <c r="C865" s="29"/>
    </row>
    <row r="866" spans="2:3" x14ac:dyDescent="0.25">
      <c r="B866" s="6"/>
      <c r="C866" s="29"/>
    </row>
    <row r="867" spans="2:3" x14ac:dyDescent="0.25">
      <c r="B867" s="6"/>
      <c r="C867" s="29"/>
    </row>
    <row r="868" spans="2:3" x14ac:dyDescent="0.25">
      <c r="B868" s="6"/>
      <c r="C868" s="29"/>
    </row>
    <row r="869" spans="2:3" x14ac:dyDescent="0.25">
      <c r="B869" s="6"/>
      <c r="C869" s="29"/>
    </row>
    <row r="870" spans="2:3" x14ac:dyDescent="0.25">
      <c r="B870" s="6"/>
      <c r="C870" s="29"/>
    </row>
    <row r="871" spans="2:3" x14ac:dyDescent="0.25">
      <c r="B871" s="6"/>
      <c r="C871" s="29"/>
    </row>
    <row r="872" spans="2:3" x14ac:dyDescent="0.25">
      <c r="B872" s="6"/>
      <c r="C872" s="29"/>
    </row>
    <row r="873" spans="2:3" x14ac:dyDescent="0.25">
      <c r="B873" s="6"/>
      <c r="C873" s="29"/>
    </row>
    <row r="874" spans="2:3" x14ac:dyDescent="0.25">
      <c r="B874" s="6"/>
      <c r="C874" s="29"/>
    </row>
    <row r="875" spans="2:3" x14ac:dyDescent="0.25">
      <c r="B875" s="6"/>
      <c r="C875" s="29"/>
    </row>
    <row r="876" spans="2:3" x14ac:dyDescent="0.25">
      <c r="B876" s="6"/>
      <c r="C876" s="29"/>
    </row>
    <row r="877" spans="2:3" x14ac:dyDescent="0.25">
      <c r="B877" s="6"/>
      <c r="C877" s="29"/>
    </row>
    <row r="878" spans="2:3" x14ac:dyDescent="0.25">
      <c r="B878" s="6"/>
      <c r="C878" s="29"/>
    </row>
    <row r="879" spans="2:3" x14ac:dyDescent="0.25">
      <c r="B879" s="6"/>
      <c r="C879" s="29"/>
    </row>
    <row r="880" spans="2:3" x14ac:dyDescent="0.25">
      <c r="B880" s="6"/>
      <c r="C880" s="29"/>
    </row>
    <row r="881" spans="2:3" x14ac:dyDescent="0.25">
      <c r="B881" s="6"/>
      <c r="C881" s="29"/>
    </row>
    <row r="882" spans="2:3" x14ac:dyDescent="0.25">
      <c r="B882" s="6"/>
      <c r="C882" s="29"/>
    </row>
    <row r="883" spans="2:3" x14ac:dyDescent="0.25">
      <c r="B883" s="6"/>
      <c r="C883" s="29"/>
    </row>
    <row r="884" spans="2:3" x14ac:dyDescent="0.25">
      <c r="B884" s="6"/>
      <c r="C884" s="29"/>
    </row>
    <row r="885" spans="2:3" x14ac:dyDescent="0.25">
      <c r="B885" s="6"/>
      <c r="C885" s="29"/>
    </row>
    <row r="886" spans="2:3" x14ac:dyDescent="0.25">
      <c r="B886" s="6"/>
      <c r="C886" s="29"/>
    </row>
    <row r="887" spans="2:3" x14ac:dyDescent="0.25">
      <c r="B887" s="6"/>
      <c r="C887" s="29"/>
    </row>
    <row r="888" spans="2:3" x14ac:dyDescent="0.25">
      <c r="B888" s="6"/>
      <c r="C888" s="29"/>
    </row>
    <row r="889" spans="2:3" x14ac:dyDescent="0.25">
      <c r="B889" s="6"/>
      <c r="C889" s="29"/>
    </row>
    <row r="890" spans="2:3" x14ac:dyDescent="0.25">
      <c r="B890" s="6"/>
      <c r="C890" s="29"/>
    </row>
    <row r="891" spans="2:3" x14ac:dyDescent="0.25">
      <c r="B891" s="6"/>
      <c r="C891" s="29"/>
    </row>
    <row r="892" spans="2:3" x14ac:dyDescent="0.25">
      <c r="B892" s="6"/>
      <c r="C892" s="29"/>
    </row>
    <row r="893" spans="2:3" x14ac:dyDescent="0.25">
      <c r="B893" s="6"/>
      <c r="C893" s="29"/>
    </row>
    <row r="894" spans="2:3" x14ac:dyDescent="0.25">
      <c r="B894" s="6"/>
      <c r="C894" s="29"/>
    </row>
    <row r="895" spans="2:3" x14ac:dyDescent="0.25">
      <c r="B895" s="6"/>
      <c r="C895" s="29"/>
    </row>
    <row r="896" spans="2:3" x14ac:dyDescent="0.25">
      <c r="B896" s="6"/>
      <c r="C896" s="29"/>
    </row>
    <row r="897" spans="2:3" x14ac:dyDescent="0.25">
      <c r="B897" s="6"/>
      <c r="C897" s="29"/>
    </row>
    <row r="898" spans="2:3" x14ac:dyDescent="0.25">
      <c r="B898" s="6"/>
      <c r="C898" s="29"/>
    </row>
    <row r="899" spans="2:3" x14ac:dyDescent="0.25">
      <c r="B899" s="6"/>
      <c r="C899" s="29"/>
    </row>
    <row r="900" spans="2:3" x14ac:dyDescent="0.25">
      <c r="B900" s="6"/>
      <c r="C900" s="29"/>
    </row>
    <row r="901" spans="2:3" x14ac:dyDescent="0.25">
      <c r="B901" s="6"/>
      <c r="C901" s="29"/>
    </row>
    <row r="902" spans="2:3" x14ac:dyDescent="0.25">
      <c r="B902" s="6"/>
      <c r="C902" s="29"/>
    </row>
    <row r="903" spans="2:3" x14ac:dyDescent="0.25">
      <c r="B903" s="6"/>
      <c r="C903" s="29"/>
    </row>
    <row r="904" spans="2:3" x14ac:dyDescent="0.25">
      <c r="B904" s="6"/>
      <c r="C904" s="29"/>
    </row>
    <row r="905" spans="2:3" x14ac:dyDescent="0.25">
      <c r="B905" s="6"/>
      <c r="C905" s="29"/>
    </row>
    <row r="906" spans="2:3" x14ac:dyDescent="0.25">
      <c r="B906" s="6"/>
      <c r="C906" s="29"/>
    </row>
    <row r="907" spans="2:3" x14ac:dyDescent="0.25">
      <c r="B907" s="6"/>
      <c r="C907" s="29"/>
    </row>
    <row r="908" spans="2:3" x14ac:dyDescent="0.25">
      <c r="B908" s="6"/>
      <c r="C908" s="29"/>
    </row>
    <row r="909" spans="2:3" x14ac:dyDescent="0.25">
      <c r="B909" s="6"/>
      <c r="C909" s="29"/>
    </row>
    <row r="910" spans="2:3" x14ac:dyDescent="0.25">
      <c r="B910" s="6"/>
      <c r="C910" s="29"/>
    </row>
    <row r="911" spans="2:3" x14ac:dyDescent="0.25">
      <c r="B911" s="6"/>
      <c r="C911" s="29"/>
    </row>
    <row r="912" spans="2:3" x14ac:dyDescent="0.25">
      <c r="B912" s="6"/>
      <c r="C912" s="29"/>
    </row>
    <row r="913" spans="2:3" x14ac:dyDescent="0.25">
      <c r="B913" s="6"/>
      <c r="C913" s="29"/>
    </row>
    <row r="914" spans="2:3" x14ac:dyDescent="0.25">
      <c r="B914" s="6"/>
      <c r="C914" s="29"/>
    </row>
    <row r="915" spans="2:3" x14ac:dyDescent="0.25">
      <c r="B915" s="6"/>
      <c r="C915" s="29"/>
    </row>
    <row r="916" spans="2:3" x14ac:dyDescent="0.25">
      <c r="B916" s="6"/>
      <c r="C916" s="29"/>
    </row>
    <row r="917" spans="2:3" x14ac:dyDescent="0.25">
      <c r="B917" s="6"/>
      <c r="C917" s="29"/>
    </row>
    <row r="918" spans="2:3" x14ac:dyDescent="0.25">
      <c r="B918" s="6"/>
      <c r="C918" s="29"/>
    </row>
    <row r="919" spans="2:3" x14ac:dyDescent="0.25">
      <c r="B919" s="6"/>
      <c r="C919" s="29"/>
    </row>
    <row r="920" spans="2:3" x14ac:dyDescent="0.25">
      <c r="B920" s="6"/>
      <c r="C920" s="29"/>
    </row>
    <row r="921" spans="2:3" x14ac:dyDescent="0.25">
      <c r="B921" s="6"/>
      <c r="C921" s="29"/>
    </row>
    <row r="922" spans="2:3" x14ac:dyDescent="0.25">
      <c r="B922" s="6"/>
      <c r="C922" s="29"/>
    </row>
    <row r="923" spans="2:3" x14ac:dyDescent="0.25">
      <c r="B923" s="6"/>
      <c r="C923" s="29"/>
    </row>
    <row r="924" spans="2:3" x14ac:dyDescent="0.25">
      <c r="B924" s="6"/>
      <c r="C924" s="29"/>
    </row>
    <row r="925" spans="2:3" x14ac:dyDescent="0.25">
      <c r="B925" s="6"/>
      <c r="C925" s="29"/>
    </row>
    <row r="926" spans="2:3" x14ac:dyDescent="0.25">
      <c r="B926" s="6"/>
      <c r="C926" s="29"/>
    </row>
    <row r="927" spans="2:3" x14ac:dyDescent="0.25">
      <c r="B927" s="6"/>
      <c r="C927" s="29"/>
    </row>
    <row r="928" spans="2:3" x14ac:dyDescent="0.25">
      <c r="B928" s="6"/>
      <c r="C928" s="29"/>
    </row>
    <row r="929" spans="2:3" x14ac:dyDescent="0.25">
      <c r="B929" s="6"/>
      <c r="C929" s="29"/>
    </row>
    <row r="930" spans="2:3" x14ac:dyDescent="0.25">
      <c r="B930" s="6"/>
      <c r="C930" s="29"/>
    </row>
    <row r="931" spans="2:3" x14ac:dyDescent="0.25">
      <c r="B931" s="6"/>
      <c r="C931" s="29"/>
    </row>
    <row r="932" spans="2:3" x14ac:dyDescent="0.25">
      <c r="B932" s="6"/>
      <c r="C932" s="29"/>
    </row>
    <row r="933" spans="2:3" x14ac:dyDescent="0.25">
      <c r="B933" s="6"/>
      <c r="C933" s="29"/>
    </row>
    <row r="934" spans="2:3" x14ac:dyDescent="0.25">
      <c r="B934" s="6"/>
      <c r="C934" s="29"/>
    </row>
    <row r="935" spans="2:3" x14ac:dyDescent="0.25">
      <c r="B935" s="6"/>
      <c r="C935" s="29"/>
    </row>
    <row r="936" spans="2:3" x14ac:dyDescent="0.25">
      <c r="B936" s="6"/>
      <c r="C936" s="29"/>
    </row>
    <row r="937" spans="2:3" x14ac:dyDescent="0.25">
      <c r="B937" s="6"/>
      <c r="C937" s="29"/>
    </row>
    <row r="938" spans="2:3" x14ac:dyDescent="0.25">
      <c r="B938" s="6"/>
      <c r="C938" s="29"/>
    </row>
    <row r="939" spans="2:3" x14ac:dyDescent="0.25">
      <c r="B939" s="6"/>
      <c r="C939" s="29"/>
    </row>
    <row r="940" spans="2:3" x14ac:dyDescent="0.25">
      <c r="B940" s="6"/>
      <c r="C940" s="29"/>
    </row>
    <row r="941" spans="2:3" x14ac:dyDescent="0.25">
      <c r="B941" s="6"/>
      <c r="C941" s="29"/>
    </row>
    <row r="942" spans="2:3" x14ac:dyDescent="0.25">
      <c r="B942" s="6"/>
      <c r="C942" s="29"/>
    </row>
    <row r="943" spans="2:3" x14ac:dyDescent="0.25">
      <c r="B943" s="6"/>
      <c r="C943" s="29"/>
    </row>
    <row r="944" spans="2:3" x14ac:dyDescent="0.25">
      <c r="B944" s="6"/>
      <c r="C944" s="29"/>
    </row>
    <row r="945" spans="2:3" x14ac:dyDescent="0.25">
      <c r="B945" s="6"/>
      <c r="C945" s="29"/>
    </row>
    <row r="946" spans="2:3" x14ac:dyDescent="0.25">
      <c r="B946" s="6"/>
      <c r="C946" s="29"/>
    </row>
    <row r="947" spans="2:3" x14ac:dyDescent="0.25">
      <c r="B947" s="6"/>
      <c r="C947" s="29"/>
    </row>
    <row r="948" spans="2:3" x14ac:dyDescent="0.25">
      <c r="B948" s="6"/>
      <c r="C948" s="29"/>
    </row>
    <row r="949" spans="2:3" x14ac:dyDescent="0.25">
      <c r="B949" s="6"/>
      <c r="C949" s="29"/>
    </row>
    <row r="950" spans="2:3" x14ac:dyDescent="0.25">
      <c r="B950" s="6"/>
      <c r="C950" s="29"/>
    </row>
    <row r="951" spans="2:3" x14ac:dyDescent="0.25">
      <c r="B951" s="6"/>
      <c r="C951" s="29"/>
    </row>
    <row r="952" spans="2:3" x14ac:dyDescent="0.25">
      <c r="B952" s="6"/>
      <c r="C952" s="29"/>
    </row>
    <row r="953" spans="2:3" x14ac:dyDescent="0.25">
      <c r="B953" s="6"/>
      <c r="C953" s="29"/>
    </row>
    <row r="954" spans="2:3" x14ac:dyDescent="0.25">
      <c r="B954" s="6"/>
      <c r="C954" s="29"/>
    </row>
    <row r="955" spans="2:3" x14ac:dyDescent="0.25">
      <c r="B955" s="6"/>
      <c r="C955" s="29"/>
    </row>
    <row r="956" spans="2:3" x14ac:dyDescent="0.25">
      <c r="B956" s="6"/>
      <c r="C956" s="29"/>
    </row>
    <row r="957" spans="2:3" x14ac:dyDescent="0.25">
      <c r="B957" s="6"/>
      <c r="C957" s="29"/>
    </row>
    <row r="958" spans="2:3" x14ac:dyDescent="0.25">
      <c r="B958" s="6"/>
      <c r="C958" s="29"/>
    </row>
    <row r="959" spans="2:3" x14ac:dyDescent="0.25">
      <c r="B959" s="6"/>
      <c r="C959" s="29"/>
    </row>
    <row r="960" spans="2:3" x14ac:dyDescent="0.25">
      <c r="B960" s="6"/>
      <c r="C960" s="29"/>
    </row>
    <row r="961" spans="2:3" x14ac:dyDescent="0.25">
      <c r="B961" s="6"/>
      <c r="C961" s="29"/>
    </row>
    <row r="962" spans="2:3" x14ac:dyDescent="0.25">
      <c r="B962" s="6"/>
      <c r="C962" s="29"/>
    </row>
    <row r="963" spans="2:3" x14ac:dyDescent="0.25">
      <c r="B963" s="6"/>
      <c r="C963" s="29"/>
    </row>
    <row r="964" spans="2:3" x14ac:dyDescent="0.25">
      <c r="B964" s="6"/>
      <c r="C964" s="29"/>
    </row>
    <row r="965" spans="2:3" x14ac:dyDescent="0.25">
      <c r="B965" s="6"/>
      <c r="C965" s="29"/>
    </row>
    <row r="966" spans="2:3" x14ac:dyDescent="0.25">
      <c r="B966" s="6"/>
      <c r="C966" s="29"/>
    </row>
    <row r="967" spans="2:3" x14ac:dyDescent="0.25">
      <c r="B967" s="6"/>
      <c r="C967" s="29"/>
    </row>
    <row r="968" spans="2:3" x14ac:dyDescent="0.25">
      <c r="B968" s="6"/>
      <c r="C968" s="29"/>
    </row>
    <row r="969" spans="2:3" x14ac:dyDescent="0.25">
      <c r="B969" s="6"/>
      <c r="C969" s="29"/>
    </row>
    <row r="970" spans="2:3" x14ac:dyDescent="0.25">
      <c r="B970" s="6"/>
      <c r="C970" s="29"/>
    </row>
    <row r="971" spans="2:3" x14ac:dyDescent="0.25">
      <c r="B971" s="6"/>
      <c r="C971" s="29"/>
    </row>
    <row r="972" spans="2:3" x14ac:dyDescent="0.25">
      <c r="B972" s="6"/>
      <c r="C972" s="29"/>
    </row>
    <row r="973" spans="2:3" x14ac:dyDescent="0.25">
      <c r="B973" s="6"/>
      <c r="C973" s="29"/>
    </row>
    <row r="974" spans="2:3" x14ac:dyDescent="0.25">
      <c r="B974" s="6"/>
      <c r="C974" s="29"/>
    </row>
    <row r="975" spans="2:3" x14ac:dyDescent="0.25">
      <c r="B975" s="6"/>
      <c r="C975" s="29"/>
    </row>
    <row r="976" spans="2:3" x14ac:dyDescent="0.25">
      <c r="B976" s="6"/>
      <c r="C976" s="29"/>
    </row>
    <row r="977" spans="2:3" x14ac:dyDescent="0.25">
      <c r="B977" s="6"/>
      <c r="C977" s="29"/>
    </row>
    <row r="978" spans="2:3" x14ac:dyDescent="0.25">
      <c r="B978" s="6"/>
      <c r="C978" s="29"/>
    </row>
    <row r="979" spans="2:3" x14ac:dyDescent="0.25">
      <c r="B979" s="6"/>
      <c r="C979" s="29"/>
    </row>
    <row r="980" spans="2:3" x14ac:dyDescent="0.25">
      <c r="B980" s="6"/>
      <c r="C980" s="29"/>
    </row>
    <row r="981" spans="2:3" x14ac:dyDescent="0.25">
      <c r="B981" s="6"/>
      <c r="C981" s="29"/>
    </row>
    <row r="982" spans="2:3" x14ac:dyDescent="0.25">
      <c r="B982" s="6"/>
      <c r="C982" s="29"/>
    </row>
    <row r="983" spans="2:3" x14ac:dyDescent="0.25">
      <c r="B983" s="6"/>
      <c r="C983" s="29"/>
    </row>
    <row r="984" spans="2:3" x14ac:dyDescent="0.25">
      <c r="B984" s="6"/>
      <c r="C984" s="29"/>
    </row>
    <row r="985" spans="2:3" x14ac:dyDescent="0.25">
      <c r="B985" s="6"/>
      <c r="C985" s="29"/>
    </row>
    <row r="986" spans="2:3" x14ac:dyDescent="0.25">
      <c r="B986" s="6"/>
      <c r="C986" s="29"/>
    </row>
    <row r="987" spans="2:3" x14ac:dyDescent="0.25">
      <c r="B987" s="6"/>
      <c r="C987" s="29"/>
    </row>
    <row r="988" spans="2:3" x14ac:dyDescent="0.25">
      <c r="B988" s="6"/>
      <c r="C988" s="29"/>
    </row>
    <row r="989" spans="2:3" x14ac:dyDescent="0.25">
      <c r="B989" s="6"/>
      <c r="C989" s="29"/>
    </row>
    <row r="990" spans="2:3" x14ac:dyDescent="0.25">
      <c r="B990" s="6"/>
      <c r="C990" s="29"/>
    </row>
    <row r="991" spans="2:3" x14ac:dyDescent="0.25">
      <c r="B991" s="6"/>
      <c r="C991" s="29"/>
    </row>
    <row r="992" spans="2:3" x14ac:dyDescent="0.25">
      <c r="B992" s="6"/>
      <c r="C992" s="29"/>
    </row>
    <row r="993" spans="2:3" x14ac:dyDescent="0.25">
      <c r="B993" s="6"/>
      <c r="C993" s="29"/>
    </row>
    <row r="994" spans="2:3" x14ac:dyDescent="0.25">
      <c r="B994" s="6"/>
      <c r="C994" s="29"/>
    </row>
    <row r="995" spans="2:3" x14ac:dyDescent="0.25">
      <c r="B995" s="6"/>
      <c r="C995" s="29"/>
    </row>
    <row r="996" spans="2:3" x14ac:dyDescent="0.25">
      <c r="B996" s="6"/>
      <c r="C996" s="29"/>
    </row>
    <row r="997" spans="2:3" x14ac:dyDescent="0.25">
      <c r="B997" s="6"/>
      <c r="C997" s="29"/>
    </row>
    <row r="998" spans="2:3" x14ac:dyDescent="0.25">
      <c r="B998" s="6"/>
      <c r="C998" s="29"/>
    </row>
    <row r="999" spans="2:3" x14ac:dyDescent="0.25">
      <c r="B999" s="6"/>
      <c r="C999" s="29"/>
    </row>
    <row r="1000" spans="2:3" x14ac:dyDescent="0.25">
      <c r="B1000" s="6"/>
      <c r="C1000" s="29"/>
    </row>
    <row r="1001" spans="2:3" x14ac:dyDescent="0.25">
      <c r="B1001" s="6"/>
      <c r="C1001" s="29"/>
    </row>
    <row r="1002" spans="2:3" x14ac:dyDescent="0.25">
      <c r="B1002" s="6"/>
      <c r="C1002" s="29"/>
    </row>
    <row r="1003" spans="2:3" x14ac:dyDescent="0.25">
      <c r="B1003" s="6"/>
      <c r="C1003" s="29"/>
    </row>
    <row r="1004" spans="2:3" x14ac:dyDescent="0.25">
      <c r="B1004" s="6"/>
      <c r="C1004" s="29"/>
    </row>
    <row r="1005" spans="2:3" x14ac:dyDescent="0.25">
      <c r="B1005" s="6"/>
      <c r="C1005" s="29"/>
    </row>
    <row r="1006" spans="2:3" x14ac:dyDescent="0.25">
      <c r="B1006" s="6"/>
      <c r="C1006" s="29"/>
    </row>
    <row r="1007" spans="2:3" x14ac:dyDescent="0.25">
      <c r="B1007" s="6"/>
      <c r="C1007" s="29"/>
    </row>
    <row r="1008" spans="2:3" x14ac:dyDescent="0.25">
      <c r="B1008" s="6"/>
      <c r="C1008" s="29"/>
    </row>
    <row r="1009" spans="2:3" x14ac:dyDescent="0.25">
      <c r="B1009" s="6"/>
      <c r="C1009" s="29"/>
    </row>
    <row r="1010" spans="2:3" x14ac:dyDescent="0.25">
      <c r="B1010" s="6"/>
      <c r="C1010" s="29"/>
    </row>
    <row r="1011" spans="2:3" x14ac:dyDescent="0.25">
      <c r="B1011" s="6"/>
      <c r="C1011" s="29"/>
    </row>
  </sheetData>
  <mergeCells count="10">
    <mergeCell ref="N34:O35"/>
    <mergeCell ref="R33:S34"/>
    <mergeCell ref="R1:S1"/>
    <mergeCell ref="F1:G1"/>
    <mergeCell ref="J1:K1"/>
    <mergeCell ref="N1:O1"/>
    <mergeCell ref="N32:O32"/>
    <mergeCell ref="R31:S31"/>
    <mergeCell ref="J22:K22"/>
    <mergeCell ref="J24:K25"/>
  </mergeCells>
  <pageMargins left="0.7" right="0.7" top="0.75" bottom="0.75" header="0.3" footer="0.3"/>
  <drawing r:id="rId13"/>
  <tableParts count="1">
    <tablePart r:id="rId14"/>
  </tableParts>
  <extLst>
    <ext xmlns:x14="http://schemas.microsoft.com/office/spreadsheetml/2009/9/main" uri="{78C0D931-6437-407d-A8EE-F0AAD7539E65}">
      <x14:conditionalFormattings>
        <x14:conditionalFormatting xmlns:xm="http://schemas.microsoft.com/office/excel/2006/main">
          <x14:cfRule type="iconSet" priority="1" id="{43B91A35-EB38-4D21-8150-C4E39B4FC7B9}">
            <x14:iconSet iconSet="3Triangles" custom="1">
              <x14:cfvo type="percent">
                <xm:f>0</xm:f>
              </x14:cfvo>
              <x14:cfvo type="percent">
                <xm:f>33</xm:f>
              </x14:cfvo>
              <x14:cfvo type="percent">
                <xm:f>67</xm:f>
              </x14:cfvo>
              <x14:cfIcon iconSet="3Triangles" iconId="0"/>
              <x14:cfIcon iconSet="3Triangles" iconId="2"/>
              <x14:cfIcon iconSet="3Triangles" iconId="2"/>
            </x14:iconSet>
          </x14:cfRule>
          <xm:sqref>H4:H15</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theme="3" tint="0.79998168889431442"/>
  </sheetPr>
  <dimension ref="B2:Q64"/>
  <sheetViews>
    <sheetView topLeftCell="A18" zoomScale="50" zoomScaleNormal="50" workbookViewId="0">
      <selection activeCell="E41" sqref="E41"/>
    </sheetView>
  </sheetViews>
  <sheetFormatPr defaultRowHeight="15" x14ac:dyDescent="0.25"/>
  <cols>
    <col min="1" max="1" width="9.140625" style="15"/>
    <col min="2" max="2" width="15.5703125" style="15" customWidth="1"/>
    <col min="3" max="3" width="21.5703125" style="15" customWidth="1"/>
    <col min="4" max="4" width="20.42578125" style="15" customWidth="1"/>
    <col min="5" max="5" width="21" style="15" customWidth="1"/>
    <col min="6" max="6" width="2.85546875" style="15" customWidth="1"/>
    <col min="7" max="7" width="15.5703125" style="15" customWidth="1"/>
    <col min="8" max="8" width="20.42578125" style="15" customWidth="1"/>
    <col min="9" max="9" width="17.7109375" style="15" customWidth="1"/>
    <col min="10" max="10" width="22.140625" style="15" customWidth="1"/>
    <col min="11" max="11" width="2.85546875" style="15" customWidth="1"/>
    <col min="12" max="12" width="13.28515625" style="15" customWidth="1"/>
    <col min="13" max="13" width="15.5703125" style="15" customWidth="1"/>
    <col min="14" max="14" width="20.42578125" style="15" customWidth="1"/>
    <col min="15" max="15" width="13.28515625" style="15" customWidth="1"/>
    <col min="16" max="16" width="18.85546875" style="15" customWidth="1"/>
    <col min="17" max="20" width="19" style="15" bestFit="1" customWidth="1"/>
    <col min="21" max="16384" width="9.140625" style="15"/>
  </cols>
  <sheetData>
    <row r="2" spans="2:17" x14ac:dyDescent="0.25">
      <c r="B2" s="237" t="s">
        <v>1090</v>
      </c>
      <c r="C2" s="237"/>
      <c r="G2" s="237" t="s">
        <v>1091</v>
      </c>
      <c r="H2" s="237"/>
    </row>
    <row r="3" spans="2:17" x14ac:dyDescent="0.25">
      <c r="B3" s="14" t="s">
        <v>546</v>
      </c>
      <c r="C3" s="15" t="s">
        <v>545</v>
      </c>
      <c r="G3" s="14" t="s">
        <v>546</v>
      </c>
      <c r="H3" s="15" t="s">
        <v>545</v>
      </c>
      <c r="L3" s="20" t="s">
        <v>42</v>
      </c>
      <c r="M3" s="188">
        <v>2.4572294399963912</v>
      </c>
      <c r="N3" s="16" t="s">
        <v>556</v>
      </c>
      <c r="O3" s="188">
        <v>-0.71259746799332635</v>
      </c>
      <c r="P3" s="16" t="s">
        <v>555</v>
      </c>
    </row>
    <row r="4" spans="2:17" x14ac:dyDescent="0.25">
      <c r="B4" s="17" t="s">
        <v>547</v>
      </c>
      <c r="C4" s="98">
        <v>102989.92000000003</v>
      </c>
      <c r="D4" s="18"/>
      <c r="E4" s="18"/>
      <c r="F4" s="18"/>
      <c r="G4" s="17" t="s">
        <v>547</v>
      </c>
      <c r="H4" s="19"/>
      <c r="I4" s="17" t="s">
        <v>547</v>
      </c>
      <c r="J4" s="19"/>
      <c r="L4" s="20" t="s">
        <v>14</v>
      </c>
      <c r="M4" s="188">
        <v>2.1387347006141475</v>
      </c>
      <c r="N4" s="16" t="s">
        <v>1068</v>
      </c>
      <c r="O4" s="188">
        <v>-0.62250991116838661</v>
      </c>
      <c r="P4" s="16" t="s">
        <v>557</v>
      </c>
      <c r="Q4"/>
    </row>
    <row r="5" spans="2:17" x14ac:dyDescent="0.25">
      <c r="B5" s="17" t="s">
        <v>554</v>
      </c>
      <c r="C5" s="98">
        <v>128723.41999999995</v>
      </c>
      <c r="D5" s="18"/>
      <c r="E5" s="18"/>
      <c r="F5" s="18"/>
      <c r="G5" s="17" t="s">
        <v>554</v>
      </c>
      <c r="H5" s="21">
        <v>0.24986425856044864</v>
      </c>
      <c r="I5" s="17" t="s">
        <v>554</v>
      </c>
      <c r="J5" s="21"/>
      <c r="L5" s="20" t="s">
        <v>39</v>
      </c>
      <c r="M5" s="188">
        <v>0.83902021184035935</v>
      </c>
      <c r="N5" s="16" t="s">
        <v>554</v>
      </c>
      <c r="O5" s="188">
        <v>-0.55103631206278225</v>
      </c>
      <c r="P5" s="16" t="s">
        <v>549</v>
      </c>
      <c r="Q5"/>
    </row>
    <row r="6" spans="2:17" x14ac:dyDescent="0.25">
      <c r="B6" s="17" t="s">
        <v>548</v>
      </c>
      <c r="C6" s="98">
        <v>118450.73999999999</v>
      </c>
      <c r="D6" s="18"/>
      <c r="E6" s="18"/>
      <c r="F6" s="18"/>
      <c r="G6" s="17" t="s">
        <v>548</v>
      </c>
      <c r="H6" s="21">
        <v>-7.9804281147905859E-2</v>
      </c>
      <c r="I6" s="17" t="s">
        <v>548</v>
      </c>
      <c r="J6" s="21"/>
      <c r="L6" s="20" t="s">
        <v>61</v>
      </c>
      <c r="M6" s="188">
        <v>4.0116014231573871</v>
      </c>
      <c r="N6" s="16" t="s">
        <v>558</v>
      </c>
      <c r="O6" s="188">
        <v>-0.73253928043466443</v>
      </c>
      <c r="P6" s="16" t="s">
        <v>554</v>
      </c>
      <c r="Q6"/>
    </row>
    <row r="7" spans="2:17" x14ac:dyDescent="0.25">
      <c r="B7" s="17" t="s">
        <v>555</v>
      </c>
      <c r="C7" s="98">
        <v>115753.37</v>
      </c>
      <c r="D7" s="18"/>
      <c r="E7" s="18"/>
      <c r="F7" s="18"/>
      <c r="G7" s="17" t="s">
        <v>555</v>
      </c>
      <c r="H7" s="21">
        <v>-2.2772082301891872E-2</v>
      </c>
      <c r="I7" s="17" t="s">
        <v>555</v>
      </c>
      <c r="J7" s="21"/>
      <c r="L7" s="20" t="s">
        <v>32</v>
      </c>
      <c r="M7" s="188">
        <v>1.8697855470747036</v>
      </c>
      <c r="N7" s="16" t="s">
        <v>552</v>
      </c>
      <c r="O7" s="188">
        <v>-0.50083791462084426</v>
      </c>
      <c r="P7" s="16" t="s">
        <v>559</v>
      </c>
      <c r="Q7"/>
    </row>
    <row r="8" spans="2:17" x14ac:dyDescent="0.25">
      <c r="B8" s="17" t="s">
        <v>556</v>
      </c>
      <c r="C8" s="98">
        <v>125637.77999999998</v>
      </c>
      <c r="D8" s="18"/>
      <c r="E8" s="18"/>
      <c r="F8" s="18"/>
      <c r="G8" s="17" t="s">
        <v>556</v>
      </c>
      <c r="H8" s="21">
        <v>8.5391984699883808E-2</v>
      </c>
      <c r="I8" s="17" t="s">
        <v>556</v>
      </c>
      <c r="J8" s="21"/>
      <c r="L8" s="20" t="s">
        <v>19</v>
      </c>
      <c r="M8" s="188">
        <v>1.7608582344599268</v>
      </c>
      <c r="N8" s="16" t="s">
        <v>553</v>
      </c>
      <c r="O8" s="188">
        <v>-0.72755785126919148</v>
      </c>
      <c r="P8" s="16" t="s">
        <v>1068</v>
      </c>
      <c r="Q8"/>
    </row>
    <row r="9" spans="2:17" x14ac:dyDescent="0.25">
      <c r="B9" s="17" t="s">
        <v>549</v>
      </c>
      <c r="C9" s="98">
        <v>126802.88</v>
      </c>
      <c r="D9" s="18"/>
      <c r="E9" s="18"/>
      <c r="F9" s="18"/>
      <c r="G9" s="17" t="s">
        <v>549</v>
      </c>
      <c r="H9" s="21">
        <v>9.2734844566659848E-3</v>
      </c>
      <c r="I9" s="17" t="s">
        <v>549</v>
      </c>
      <c r="J9" s="21"/>
      <c r="L9" s="20" t="s">
        <v>28</v>
      </c>
      <c r="M9" s="188">
        <v>2.9704874665882852</v>
      </c>
      <c r="N9" s="16" t="s">
        <v>552</v>
      </c>
      <c r="O9" s="188">
        <v>-0.72132389643300532</v>
      </c>
      <c r="P9" s="16" t="s">
        <v>558</v>
      </c>
      <c r="Q9"/>
    </row>
    <row r="10" spans="2:17" x14ac:dyDescent="0.25">
      <c r="B10" s="17" t="s">
        <v>557</v>
      </c>
      <c r="C10" s="98">
        <v>140198.13</v>
      </c>
      <c r="D10" s="18"/>
      <c r="E10" s="18"/>
      <c r="F10" s="18"/>
      <c r="G10" s="17" t="s">
        <v>557</v>
      </c>
      <c r="H10" s="21">
        <v>0.10563837351328298</v>
      </c>
      <c r="I10" s="17" t="s">
        <v>557</v>
      </c>
      <c r="J10" s="21"/>
      <c r="L10" s="22"/>
      <c r="M10" s="22"/>
      <c r="N10" s="22"/>
      <c r="O10" s="6"/>
      <c r="P10" s="7"/>
      <c r="Q10"/>
    </row>
    <row r="11" spans="2:17" x14ac:dyDescent="0.25">
      <c r="B11" s="17" t="s">
        <v>1068</v>
      </c>
      <c r="C11" s="98">
        <v>96240.749999999985</v>
      </c>
      <c r="D11" s="18"/>
      <c r="E11" s="18"/>
      <c r="F11" s="18"/>
      <c r="G11" s="17" t="s">
        <v>1068</v>
      </c>
      <c r="H11" s="21">
        <v>-0.31353756287619539</v>
      </c>
      <c r="I11" s="17" t="s">
        <v>1068</v>
      </c>
      <c r="J11" s="21"/>
      <c r="L11" s="16"/>
      <c r="M11" s="16"/>
      <c r="N11" s="16"/>
      <c r="O11" s="6"/>
      <c r="P11" s="29"/>
      <c r="Q11"/>
    </row>
    <row r="12" spans="2:17" x14ac:dyDescent="0.25">
      <c r="B12" s="17" t="s">
        <v>558</v>
      </c>
      <c r="C12" s="98">
        <v>98831.169999999955</v>
      </c>
      <c r="D12" s="18"/>
      <c r="E12" s="18"/>
      <c r="F12" s="18"/>
      <c r="G12" s="17" t="s">
        <v>558</v>
      </c>
      <c r="H12" s="21">
        <v>2.6916041281889111E-2</v>
      </c>
      <c r="I12" s="17" t="s">
        <v>558</v>
      </c>
      <c r="J12" s="21"/>
      <c r="L12" s="16"/>
      <c r="M12" s="16"/>
      <c r="N12" s="16"/>
      <c r="O12"/>
      <c r="P12"/>
      <c r="Q12"/>
    </row>
    <row r="13" spans="2:17" x14ac:dyDescent="0.25">
      <c r="B13" s="17" t="s">
        <v>552</v>
      </c>
      <c r="C13" s="98">
        <v>146726.46000000002</v>
      </c>
      <c r="D13" s="18"/>
      <c r="E13" s="18"/>
      <c r="F13" s="18"/>
      <c r="G13" s="17" t="s">
        <v>552</v>
      </c>
      <c r="H13" s="21">
        <v>0.48461725182450122</v>
      </c>
      <c r="I13" s="17" t="s">
        <v>552</v>
      </c>
      <c r="J13" s="21"/>
      <c r="L13" s="16"/>
      <c r="M13" s="16"/>
      <c r="N13" s="16"/>
      <c r="O13"/>
      <c r="P13"/>
      <c r="Q13"/>
    </row>
    <row r="14" spans="2:17" x14ac:dyDescent="0.25">
      <c r="B14" s="17" t="s">
        <v>559</v>
      </c>
      <c r="C14" s="98">
        <v>131542.52999999994</v>
      </c>
      <c r="D14" s="18"/>
      <c r="E14" s="18"/>
      <c r="F14" s="18"/>
      <c r="G14" s="17" t="s">
        <v>559</v>
      </c>
      <c r="H14" s="21">
        <v>-0.10348460666194821</v>
      </c>
      <c r="I14" s="17" t="s">
        <v>559</v>
      </c>
      <c r="J14" s="21"/>
      <c r="L14" s="16"/>
      <c r="M14" s="16"/>
      <c r="N14" s="16"/>
      <c r="O14"/>
      <c r="P14"/>
      <c r="Q14"/>
    </row>
    <row r="15" spans="2:17" x14ac:dyDescent="0.25">
      <c r="B15" s="17" t="s">
        <v>553</v>
      </c>
      <c r="C15" s="98">
        <v>127951.48000000003</v>
      </c>
      <c r="D15" s="18"/>
      <c r="E15" s="18"/>
      <c r="F15" s="18"/>
      <c r="G15" s="17" t="s">
        <v>553</v>
      </c>
      <c r="H15" s="21">
        <v>-2.7299535747107168E-2</v>
      </c>
      <c r="I15" s="17" t="s">
        <v>553</v>
      </c>
      <c r="J15" s="21"/>
      <c r="L15" s="16"/>
      <c r="M15" s="16"/>
      <c r="N15" s="16"/>
      <c r="O15"/>
      <c r="P15"/>
      <c r="Q15"/>
    </row>
    <row r="16" spans="2:17" x14ac:dyDescent="0.25">
      <c r="B16" s="17"/>
      <c r="C16" s="18"/>
      <c r="D16" s="18"/>
      <c r="E16" s="18"/>
      <c r="F16" s="18"/>
      <c r="G16" s="17"/>
      <c r="H16" s="21"/>
      <c r="I16" s="21"/>
      <c r="J16" s="21"/>
      <c r="L16" s="16"/>
      <c r="M16" s="16"/>
      <c r="N16" s="16"/>
      <c r="O16"/>
      <c r="P16"/>
      <c r="Q16"/>
    </row>
    <row r="17" spans="2:17" x14ac:dyDescent="0.25">
      <c r="B17" s="39" t="s">
        <v>1067</v>
      </c>
      <c r="C17" s="24" t="s">
        <v>1066</v>
      </c>
      <c r="D17" s="40" t="s">
        <v>1070</v>
      </c>
      <c r="E17" s="40" t="s">
        <v>1071</v>
      </c>
      <c r="F17" s="18"/>
      <c r="G17" s="39" t="s">
        <v>1067</v>
      </c>
      <c r="H17" s="24" t="s">
        <v>1069</v>
      </c>
      <c r="I17" s="40" t="s">
        <v>1070</v>
      </c>
      <c r="J17" s="40" t="s">
        <v>1071</v>
      </c>
      <c r="L17" s="16"/>
      <c r="M17" s="16"/>
      <c r="N17" s="16"/>
      <c r="O17"/>
      <c r="P17"/>
      <c r="Q17"/>
    </row>
    <row r="18" spans="2:17" x14ac:dyDescent="0.25">
      <c r="B18" s="41" t="s">
        <v>547</v>
      </c>
      <c r="C18" s="42">
        <f>IFERROR(VLOOKUP(B18,$B$4:$C$15,2,0),0)</f>
        <v>102989.92000000003</v>
      </c>
      <c r="D18" s="42" t="e">
        <f>IF(C18=MAX($C$18:$C$29),C18,NA())</f>
        <v>#N/A</v>
      </c>
      <c r="E18" s="42" t="e">
        <f>IF(C18=MIN($C$18:$C$29),C18,NA())</f>
        <v>#N/A</v>
      </c>
      <c r="F18" s="18"/>
      <c r="G18" s="41" t="s">
        <v>547</v>
      </c>
      <c r="H18" s="43">
        <f>IFERROR(VLOOKUP(G18,$G$4:$H$15,2,0),0)</f>
        <v>0</v>
      </c>
      <c r="I18" s="43" t="e">
        <f>IF(H18=MAX($H$18:$H$29),H18,NA())</f>
        <v>#N/A</v>
      </c>
      <c r="J18" s="43" t="e">
        <f>IF(H18=MIN($H$18:$H$29),H18,NA())</f>
        <v>#N/A</v>
      </c>
      <c r="L18" s="16"/>
      <c r="M18" s="16"/>
      <c r="N18" s="16"/>
      <c r="O18"/>
      <c r="P18"/>
      <c r="Q18"/>
    </row>
    <row r="19" spans="2:17" x14ac:dyDescent="0.25">
      <c r="B19" s="41" t="s">
        <v>554</v>
      </c>
      <c r="C19" s="42">
        <f t="shared" ref="C19:C29" si="0">IFERROR(VLOOKUP(B19,$B$4:$C$15,2,0),0)</f>
        <v>128723.41999999995</v>
      </c>
      <c r="D19" s="42" t="e">
        <f t="shared" ref="D19:D30" si="1">IF(C19=MAX($C$18:$C$29),C19,NA())</f>
        <v>#N/A</v>
      </c>
      <c r="E19" s="42" t="e">
        <f t="shared" ref="E19:E30" si="2">IF(C19=MIN($C$18:$C$29),C19,NA())</f>
        <v>#N/A</v>
      </c>
      <c r="F19" s="18"/>
      <c r="G19" s="41" t="s">
        <v>554</v>
      </c>
      <c r="H19" s="43">
        <f t="shared" ref="H19:H29" si="3">IFERROR(VLOOKUP(G19,$G$4:$H$15,2,0),0)</f>
        <v>0.24986425856044864</v>
      </c>
      <c r="I19" s="43" t="e">
        <f t="shared" ref="I19:I29" si="4">IF(H19=MAX($H$18:$H$29),H19,NA())</f>
        <v>#N/A</v>
      </c>
      <c r="J19" s="43" t="e">
        <f t="shared" ref="J19:J29" si="5">IF(H19=MIN($H$18:$H$29),H19,NA())</f>
        <v>#N/A</v>
      </c>
      <c r="L19" s="16"/>
      <c r="M19" s="16"/>
      <c r="N19" s="16"/>
      <c r="O19"/>
      <c r="P19"/>
      <c r="Q19"/>
    </row>
    <row r="20" spans="2:17" x14ac:dyDescent="0.25">
      <c r="B20" s="41" t="s">
        <v>548</v>
      </c>
      <c r="C20" s="42">
        <f t="shared" si="0"/>
        <v>118450.73999999999</v>
      </c>
      <c r="D20" s="42" t="e">
        <f t="shared" si="1"/>
        <v>#N/A</v>
      </c>
      <c r="E20" s="42" t="e">
        <f t="shared" si="2"/>
        <v>#N/A</v>
      </c>
      <c r="F20" s="18"/>
      <c r="G20" s="41" t="s">
        <v>548</v>
      </c>
      <c r="H20" s="43">
        <f t="shared" si="3"/>
        <v>-7.9804281147905859E-2</v>
      </c>
      <c r="I20" s="43" t="e">
        <f t="shared" si="4"/>
        <v>#N/A</v>
      </c>
      <c r="J20" s="43" t="e">
        <f t="shared" si="5"/>
        <v>#N/A</v>
      </c>
      <c r="O20"/>
      <c r="P20"/>
      <c r="Q20"/>
    </row>
    <row r="21" spans="2:17" x14ac:dyDescent="0.25">
      <c r="B21" s="41" t="s">
        <v>555</v>
      </c>
      <c r="C21" s="42">
        <f t="shared" si="0"/>
        <v>115753.37</v>
      </c>
      <c r="D21" s="42" t="e">
        <f t="shared" si="1"/>
        <v>#N/A</v>
      </c>
      <c r="E21" s="42" t="e">
        <f t="shared" si="2"/>
        <v>#N/A</v>
      </c>
      <c r="F21" s="18"/>
      <c r="G21" s="41" t="s">
        <v>555</v>
      </c>
      <c r="H21" s="43">
        <f t="shared" si="3"/>
        <v>-2.2772082301891872E-2</v>
      </c>
      <c r="I21" s="43" t="e">
        <f t="shared" si="4"/>
        <v>#N/A</v>
      </c>
      <c r="J21" s="43" t="e">
        <f t="shared" si="5"/>
        <v>#N/A</v>
      </c>
      <c r="O21"/>
      <c r="P21"/>
      <c r="Q21"/>
    </row>
    <row r="22" spans="2:17" x14ac:dyDescent="0.25">
      <c r="B22" s="41" t="s">
        <v>556</v>
      </c>
      <c r="C22" s="42">
        <f t="shared" si="0"/>
        <v>125637.77999999998</v>
      </c>
      <c r="D22" s="42" t="e">
        <f t="shared" si="1"/>
        <v>#N/A</v>
      </c>
      <c r="E22" s="42" t="e">
        <f t="shared" si="2"/>
        <v>#N/A</v>
      </c>
      <c r="F22" s="18"/>
      <c r="G22" s="41" t="s">
        <v>556</v>
      </c>
      <c r="H22" s="43">
        <f t="shared" si="3"/>
        <v>8.5391984699883808E-2</v>
      </c>
      <c r="I22" s="43" t="e">
        <f t="shared" si="4"/>
        <v>#N/A</v>
      </c>
      <c r="J22" s="43" t="e">
        <f t="shared" si="5"/>
        <v>#N/A</v>
      </c>
    </row>
    <row r="23" spans="2:17" x14ac:dyDescent="0.25">
      <c r="B23" s="41" t="s">
        <v>549</v>
      </c>
      <c r="C23" s="42">
        <f t="shared" si="0"/>
        <v>126802.88</v>
      </c>
      <c r="D23" s="42" t="e">
        <f t="shared" si="1"/>
        <v>#N/A</v>
      </c>
      <c r="E23" s="42" t="e">
        <f t="shared" si="2"/>
        <v>#N/A</v>
      </c>
      <c r="F23" s="18"/>
      <c r="G23" s="41" t="s">
        <v>549</v>
      </c>
      <c r="H23" s="43">
        <f t="shared" si="3"/>
        <v>9.2734844566659848E-3</v>
      </c>
      <c r="I23" s="43" t="e">
        <f t="shared" si="4"/>
        <v>#N/A</v>
      </c>
      <c r="J23" s="43" t="e">
        <f t="shared" si="5"/>
        <v>#N/A</v>
      </c>
    </row>
    <row r="24" spans="2:17" x14ac:dyDescent="0.25">
      <c r="B24" s="41" t="s">
        <v>557</v>
      </c>
      <c r="C24" s="42">
        <f t="shared" si="0"/>
        <v>140198.13</v>
      </c>
      <c r="D24" s="42" t="e">
        <f t="shared" si="1"/>
        <v>#N/A</v>
      </c>
      <c r="E24" s="42" t="e">
        <f t="shared" si="2"/>
        <v>#N/A</v>
      </c>
      <c r="F24" s="18"/>
      <c r="G24" s="41" t="s">
        <v>557</v>
      </c>
      <c r="H24" s="43">
        <f t="shared" si="3"/>
        <v>0.10563837351328298</v>
      </c>
      <c r="I24" s="43" t="e">
        <f t="shared" si="4"/>
        <v>#N/A</v>
      </c>
      <c r="J24" s="43" t="e">
        <f t="shared" si="5"/>
        <v>#N/A</v>
      </c>
    </row>
    <row r="25" spans="2:17" x14ac:dyDescent="0.25">
      <c r="B25" s="41" t="s">
        <v>1068</v>
      </c>
      <c r="C25" s="42">
        <f t="shared" si="0"/>
        <v>96240.749999999985</v>
      </c>
      <c r="D25" s="42" t="e">
        <f t="shared" si="1"/>
        <v>#N/A</v>
      </c>
      <c r="E25" s="42">
        <f t="shared" si="2"/>
        <v>96240.749999999985</v>
      </c>
      <c r="F25" s="18"/>
      <c r="G25" s="41" t="s">
        <v>1068</v>
      </c>
      <c r="H25" s="43">
        <f t="shared" si="3"/>
        <v>-0.31353756287619539</v>
      </c>
      <c r="I25" s="43" t="e">
        <f t="shared" si="4"/>
        <v>#N/A</v>
      </c>
      <c r="J25" s="43">
        <f t="shared" si="5"/>
        <v>-0.31353756287619539</v>
      </c>
    </row>
    <row r="26" spans="2:17" x14ac:dyDescent="0.25">
      <c r="B26" s="41" t="s">
        <v>558</v>
      </c>
      <c r="C26" s="42">
        <f t="shared" si="0"/>
        <v>98831.169999999955</v>
      </c>
      <c r="D26" s="42" t="e">
        <f t="shared" si="1"/>
        <v>#N/A</v>
      </c>
      <c r="E26" s="42" t="e">
        <f t="shared" si="2"/>
        <v>#N/A</v>
      </c>
      <c r="F26" s="18"/>
      <c r="G26" s="41" t="s">
        <v>558</v>
      </c>
      <c r="H26" s="43">
        <f t="shared" si="3"/>
        <v>2.6916041281889111E-2</v>
      </c>
      <c r="I26" s="43" t="e">
        <f t="shared" si="4"/>
        <v>#N/A</v>
      </c>
      <c r="J26" s="43" t="e">
        <f t="shared" si="5"/>
        <v>#N/A</v>
      </c>
    </row>
    <row r="27" spans="2:17" x14ac:dyDescent="0.25">
      <c r="B27" s="41" t="s">
        <v>552</v>
      </c>
      <c r="C27" s="42">
        <f t="shared" si="0"/>
        <v>146726.46000000002</v>
      </c>
      <c r="D27" s="42">
        <f t="shared" si="1"/>
        <v>146726.46000000002</v>
      </c>
      <c r="E27" s="42" t="e">
        <f t="shared" si="2"/>
        <v>#N/A</v>
      </c>
      <c r="F27" s="18"/>
      <c r="G27" s="41" t="s">
        <v>552</v>
      </c>
      <c r="H27" s="43">
        <f t="shared" si="3"/>
        <v>0.48461725182450122</v>
      </c>
      <c r="I27" s="43">
        <f t="shared" si="4"/>
        <v>0.48461725182450122</v>
      </c>
      <c r="J27" s="43" t="e">
        <f t="shared" si="5"/>
        <v>#N/A</v>
      </c>
      <c r="Q27" s="15" t="s">
        <v>1125</v>
      </c>
    </row>
    <row r="28" spans="2:17" x14ac:dyDescent="0.25">
      <c r="B28" s="41" t="s">
        <v>559</v>
      </c>
      <c r="C28" s="42">
        <f t="shared" si="0"/>
        <v>131542.52999999994</v>
      </c>
      <c r="D28" s="42" t="e">
        <f t="shared" si="1"/>
        <v>#N/A</v>
      </c>
      <c r="E28" s="42" t="e">
        <f t="shared" si="2"/>
        <v>#N/A</v>
      </c>
      <c r="F28" s="18"/>
      <c r="G28" s="41" t="s">
        <v>559</v>
      </c>
      <c r="H28" s="43">
        <f t="shared" si="3"/>
        <v>-0.10348460666194821</v>
      </c>
      <c r="I28" s="43" t="e">
        <f t="shared" si="4"/>
        <v>#N/A</v>
      </c>
      <c r="J28" s="43" t="e">
        <f t="shared" si="5"/>
        <v>#N/A</v>
      </c>
      <c r="M28" s="14" t="s">
        <v>546</v>
      </c>
      <c r="N28" s="15" t="s">
        <v>545</v>
      </c>
    </row>
    <row r="29" spans="2:17" x14ac:dyDescent="0.25">
      <c r="B29" s="41" t="s">
        <v>553</v>
      </c>
      <c r="C29" s="42">
        <f t="shared" si="0"/>
        <v>127951.48000000003</v>
      </c>
      <c r="D29" s="42" t="e">
        <f t="shared" si="1"/>
        <v>#N/A</v>
      </c>
      <c r="E29" s="42" t="e">
        <f t="shared" si="2"/>
        <v>#N/A</v>
      </c>
      <c r="F29" s="18"/>
      <c r="G29" s="41" t="s">
        <v>553</v>
      </c>
      <c r="H29" s="43">
        <f t="shared" si="3"/>
        <v>-2.7299535747107168E-2</v>
      </c>
      <c r="I29" s="43" t="e">
        <f t="shared" si="4"/>
        <v>#N/A</v>
      </c>
      <c r="J29" s="43" t="e">
        <f t="shared" si="5"/>
        <v>#N/A</v>
      </c>
      <c r="M29" s="17" t="s">
        <v>547</v>
      </c>
      <c r="N29" s="21">
        <v>7.0548355414081554E-2</v>
      </c>
    </row>
    <row r="30" spans="2:17" x14ac:dyDescent="0.25">
      <c r="B30" s="47"/>
      <c r="C30" s="48"/>
      <c r="D30" s="48" t="e">
        <f t="shared" si="1"/>
        <v>#N/A</v>
      </c>
      <c r="E30" s="42" t="e">
        <f t="shared" si="2"/>
        <v>#N/A</v>
      </c>
      <c r="F30" s="18"/>
      <c r="H30" s="49"/>
      <c r="I30" s="49"/>
      <c r="J30" s="49"/>
      <c r="M30" s="17" t="s">
        <v>554</v>
      </c>
      <c r="N30" s="21">
        <v>8.817586793228005E-2</v>
      </c>
    </row>
    <row r="31" spans="2:17" ht="14.25" customHeight="1" x14ac:dyDescent="0.25">
      <c r="B31" s="238" t="s">
        <v>1093</v>
      </c>
      <c r="C31" s="238"/>
      <c r="D31" s="18"/>
      <c r="E31" s="18"/>
      <c r="F31" s="18"/>
      <c r="G31" s="158"/>
      <c r="H31" s="158"/>
      <c r="I31" s="158"/>
      <c r="M31" s="17" t="s">
        <v>548</v>
      </c>
      <c r="N31" s="21">
        <v>8.1139056177351759E-2</v>
      </c>
    </row>
    <row r="32" spans="2:17" x14ac:dyDescent="0.25">
      <c r="B32" s="14" t="s">
        <v>546</v>
      </c>
      <c r="C32" s="15" t="s">
        <v>1092</v>
      </c>
      <c r="D32" s="15" t="s">
        <v>545</v>
      </c>
      <c r="E32"/>
      <c r="I32"/>
      <c r="J32"/>
      <c r="L32" s="118"/>
      <c r="M32" s="17" t="s">
        <v>555</v>
      </c>
      <c r="N32" s="21">
        <v>7.929135091218327E-2</v>
      </c>
    </row>
    <row r="33" spans="2:14" x14ac:dyDescent="0.25">
      <c r="B33" s="20" t="s">
        <v>42</v>
      </c>
      <c r="C33" s="18">
        <v>177959.75999999992</v>
      </c>
      <c r="D33" s="21">
        <v>0.12190288523269699</v>
      </c>
      <c r="E33"/>
      <c r="G33" s="20"/>
      <c r="H33" s="99"/>
      <c r="I33"/>
      <c r="J33"/>
      <c r="M33" s="17" t="s">
        <v>556</v>
      </c>
      <c r="N33" s="21">
        <v>8.6062196736109542E-2</v>
      </c>
    </row>
    <row r="34" spans="2:14" x14ac:dyDescent="0.25">
      <c r="B34" s="20" t="s">
        <v>14</v>
      </c>
      <c r="C34" s="18">
        <v>186632.60999999993</v>
      </c>
      <c r="D34" s="21">
        <v>0.12784380939549872</v>
      </c>
      <c r="E34"/>
      <c r="G34" s="20"/>
      <c r="H34" s="99"/>
      <c r="I34"/>
      <c r="J34"/>
      <c r="M34" s="17" t="s">
        <v>549</v>
      </c>
      <c r="N34" s="21">
        <v>8.6860293179848391E-2</v>
      </c>
    </row>
    <row r="35" spans="2:14" x14ac:dyDescent="0.25">
      <c r="B35" s="20" t="s">
        <v>39</v>
      </c>
      <c r="C35" s="18">
        <v>191782.69999999998</v>
      </c>
      <c r="D35" s="21">
        <v>0.13137163405770363</v>
      </c>
      <c r="E35"/>
      <c r="G35" s="20"/>
      <c r="H35" s="99"/>
      <c r="I35"/>
      <c r="J35"/>
      <c r="M35" s="17" t="s">
        <v>557</v>
      </c>
      <c r="N35" s="21">
        <v>9.603607327425448E-2</v>
      </c>
    </row>
    <row r="36" spans="2:14" x14ac:dyDescent="0.25">
      <c r="B36" s="20" t="s">
        <v>61</v>
      </c>
      <c r="C36" s="18">
        <v>202201.71</v>
      </c>
      <c r="D36" s="21">
        <v>0.138508682232349</v>
      </c>
      <c r="E36"/>
      <c r="G36" s="20"/>
      <c r="H36" s="99"/>
      <c r="I36"/>
      <c r="J36"/>
      <c r="M36" s="17" t="s">
        <v>1068</v>
      </c>
      <c r="N36" s="21">
        <v>6.5925156911645008E-2</v>
      </c>
    </row>
    <row r="37" spans="2:14" x14ac:dyDescent="0.25">
      <c r="B37" s="20" t="s">
        <v>32</v>
      </c>
      <c r="C37" s="18">
        <v>229435.44999999987</v>
      </c>
      <c r="D37" s="21">
        <v>0.1571638629410502</v>
      </c>
      <c r="E37"/>
      <c r="G37" s="20"/>
      <c r="H37" s="99"/>
      <c r="I37"/>
      <c r="J37"/>
      <c r="M37" s="17" t="s">
        <v>558</v>
      </c>
      <c r="N37" s="21">
        <v>6.7699601156593861E-2</v>
      </c>
    </row>
    <row r="38" spans="2:14" x14ac:dyDescent="0.25">
      <c r="B38" s="20" t="s">
        <v>19</v>
      </c>
      <c r="C38" s="18">
        <v>231784.47999999992</v>
      </c>
      <c r="D38" s="21">
        <v>0.1587729544261037</v>
      </c>
      <c r="E38"/>
      <c r="G38" s="20"/>
      <c r="H38" s="99"/>
      <c r="I38"/>
      <c r="J38"/>
      <c r="M38" s="17" t="s">
        <v>552</v>
      </c>
      <c r="N38" s="21">
        <v>0.10050799581871719</v>
      </c>
    </row>
    <row r="39" spans="2:14" x14ac:dyDescent="0.25">
      <c r="B39" s="20" t="s">
        <v>28</v>
      </c>
      <c r="C39" s="18">
        <v>240051.9200000001</v>
      </c>
      <c r="D39" s="21">
        <v>0.16443617171459765</v>
      </c>
      <c r="E39"/>
      <c r="G39" s="20"/>
      <c r="H39" s="99"/>
      <c r="I39"/>
      <c r="J39"/>
      <c r="M39" s="17" t="s">
        <v>559</v>
      </c>
      <c r="N39" s="21">
        <v>9.0106965405036515E-2</v>
      </c>
    </row>
    <row r="40" spans="2:14" x14ac:dyDescent="0.25">
      <c r="B40"/>
      <c r="C40"/>
      <c r="M40" s="17" t="s">
        <v>553</v>
      </c>
      <c r="N40" s="21">
        <v>8.7647087081898375E-2</v>
      </c>
    </row>
    <row r="41" spans="2:14" x14ac:dyDescent="0.25">
      <c r="B41"/>
      <c r="C41"/>
      <c r="L41"/>
    </row>
    <row r="42" spans="2:14" x14ac:dyDescent="0.25">
      <c r="B42" s="237" t="s">
        <v>1094</v>
      </c>
      <c r="C42" s="237"/>
      <c r="D42" s="237"/>
      <c r="G42" s="159"/>
      <c r="H42" s="159"/>
      <c r="I42" s="159"/>
      <c r="L42"/>
    </row>
    <row r="43" spans="2:14" x14ac:dyDescent="0.25">
      <c r="B43" s="14" t="s">
        <v>546</v>
      </c>
      <c r="C43" s="15" t="s">
        <v>545</v>
      </c>
      <c r="D43" s="15" t="s">
        <v>1092</v>
      </c>
      <c r="L43"/>
    </row>
    <row r="44" spans="2:14" x14ac:dyDescent="0.25">
      <c r="B44" s="20" t="s">
        <v>11</v>
      </c>
      <c r="C44" s="18">
        <v>192770.14999999997</v>
      </c>
      <c r="D44" s="21">
        <v>0.13204803980259239</v>
      </c>
      <c r="G44" s="20"/>
      <c r="H44" s="99"/>
      <c r="I44" s="99"/>
      <c r="L44"/>
    </row>
    <row r="45" spans="2:14" x14ac:dyDescent="0.25">
      <c r="B45" s="20" t="s">
        <v>38</v>
      </c>
      <c r="C45" s="18">
        <v>238826.94000000003</v>
      </c>
      <c r="D45" s="21">
        <v>0.16359705731956611</v>
      </c>
      <c r="G45" s="20"/>
      <c r="H45" s="99"/>
      <c r="I45" s="99"/>
      <c r="L45"/>
    </row>
    <row r="46" spans="2:14" x14ac:dyDescent="0.25">
      <c r="B46" s="20" t="s">
        <v>34</v>
      </c>
      <c r="C46" s="18">
        <v>239055.77999999997</v>
      </c>
      <c r="D46" s="21">
        <v>0.16375381329775265</v>
      </c>
      <c r="G46" s="20"/>
      <c r="H46" s="99"/>
      <c r="I46" s="99"/>
      <c r="L46"/>
    </row>
    <row r="47" spans="2:14" x14ac:dyDescent="0.25">
      <c r="B47" s="20" t="s">
        <v>30</v>
      </c>
      <c r="C47" s="18">
        <v>257039.03999999989</v>
      </c>
      <c r="D47" s="21">
        <v>0.17607239183421361</v>
      </c>
      <c r="G47" s="20"/>
      <c r="H47" s="99"/>
      <c r="I47" s="99"/>
    </row>
    <row r="48" spans="2:14" x14ac:dyDescent="0.25">
      <c r="B48" s="20" t="s">
        <v>25</v>
      </c>
      <c r="C48" s="18">
        <v>261631.67999999993</v>
      </c>
      <c r="D48" s="21">
        <v>0.17921836183796669</v>
      </c>
      <c r="G48" s="20"/>
      <c r="H48" s="99"/>
      <c r="I48" s="99"/>
    </row>
    <row r="49" spans="2:9" x14ac:dyDescent="0.25">
      <c r="B49" s="20" t="s">
        <v>17</v>
      </c>
      <c r="C49" s="18">
        <v>270525.0400000001</v>
      </c>
      <c r="D49" s="21">
        <v>0.18531033590790855</v>
      </c>
      <c r="G49" s="20"/>
      <c r="H49" s="99"/>
      <c r="I49" s="99"/>
    </row>
    <row r="50" spans="2:9" x14ac:dyDescent="0.25">
      <c r="B50"/>
      <c r="C50"/>
      <c r="D50"/>
    </row>
    <row r="51" spans="2:9" x14ac:dyDescent="0.25">
      <c r="B51" s="237" t="s">
        <v>1112</v>
      </c>
      <c r="C51" s="237"/>
      <c r="D51"/>
    </row>
    <row r="52" spans="2:9" x14ac:dyDescent="0.25">
      <c r="B52" s="14" t="s">
        <v>546</v>
      </c>
      <c r="C52" s="15" t="s">
        <v>545</v>
      </c>
      <c r="D52" s="15" t="s">
        <v>1092</v>
      </c>
      <c r="I52"/>
    </row>
    <row r="53" spans="2:9" x14ac:dyDescent="0.25">
      <c r="B53" s="20" t="s">
        <v>20</v>
      </c>
      <c r="C53" s="18">
        <v>483057.52000000019</v>
      </c>
      <c r="D53" s="21">
        <v>0.33089562169195597</v>
      </c>
      <c r="G53" s="18"/>
      <c r="H53" s="18"/>
      <c r="I53"/>
    </row>
    <row r="54" spans="2:9" x14ac:dyDescent="0.25">
      <c r="B54" s="20" t="s">
        <v>15</v>
      </c>
      <c r="C54" s="18">
        <v>470665.9800000001</v>
      </c>
      <c r="D54" s="21">
        <v>0.3224073854835211</v>
      </c>
      <c r="G54"/>
      <c r="H54"/>
      <c r="I54"/>
    </row>
    <row r="55" spans="2:9" x14ac:dyDescent="0.25">
      <c r="B55" s="20" t="s">
        <v>36</v>
      </c>
      <c r="C55" s="18">
        <v>506125.1299999996</v>
      </c>
      <c r="D55" s="21">
        <v>0.34669699282452293</v>
      </c>
      <c r="G55"/>
      <c r="H55"/>
      <c r="I55"/>
    </row>
    <row r="56" spans="2:9" x14ac:dyDescent="0.25">
      <c r="B56"/>
      <c r="C56"/>
      <c r="D56"/>
    </row>
    <row r="57" spans="2:9" x14ac:dyDescent="0.25">
      <c r="B57" s="237" t="s">
        <v>1113</v>
      </c>
      <c r="C57" s="237"/>
      <c r="D57" s="73"/>
    </row>
    <row r="58" spans="2:9" x14ac:dyDescent="0.25">
      <c r="B58" s="14" t="s">
        <v>546</v>
      </c>
      <c r="C58" s="15" t="s">
        <v>545</v>
      </c>
      <c r="D58" s="15" t="s">
        <v>1092</v>
      </c>
    </row>
    <row r="59" spans="2:9" x14ac:dyDescent="0.25">
      <c r="B59" s="20" t="s">
        <v>35</v>
      </c>
      <c r="C59" s="18">
        <v>203885.75000000009</v>
      </c>
      <c r="D59" s="21">
        <v>0.13966225388724043</v>
      </c>
    </row>
    <row r="60" spans="2:9" x14ac:dyDescent="0.25">
      <c r="B60" s="20" t="s">
        <v>26</v>
      </c>
      <c r="C60" s="18">
        <v>223235.78000000012</v>
      </c>
      <c r="D60" s="21">
        <v>0.15291707332697921</v>
      </c>
    </row>
    <row r="61" spans="2:9" x14ac:dyDescent="0.25">
      <c r="B61" s="20" t="s">
        <v>22</v>
      </c>
      <c r="C61" s="18">
        <v>230560.18999999994</v>
      </c>
      <c r="D61" s="21">
        <v>0.15793431268281558</v>
      </c>
    </row>
    <row r="62" spans="2:9" x14ac:dyDescent="0.25">
      <c r="B62" s="20" t="s">
        <v>31</v>
      </c>
      <c r="C62" s="18">
        <v>246771.00999999998</v>
      </c>
      <c r="D62" s="21">
        <v>0.16903876534103401</v>
      </c>
    </row>
    <row r="63" spans="2:9" x14ac:dyDescent="0.25">
      <c r="B63" s="20" t="s">
        <v>12</v>
      </c>
      <c r="C63" s="18">
        <v>270824.45999999996</v>
      </c>
      <c r="D63" s="21">
        <v>0.1855154393644223</v>
      </c>
    </row>
    <row r="64" spans="2:9" x14ac:dyDescent="0.25">
      <c r="B64" s="20" t="s">
        <v>55</v>
      </c>
      <c r="C64" s="18">
        <v>284571.43999999989</v>
      </c>
      <c r="D64" s="21">
        <v>0.19493215539750852</v>
      </c>
    </row>
  </sheetData>
  <mergeCells count="6">
    <mergeCell ref="B57:C57"/>
    <mergeCell ref="B51:C51"/>
    <mergeCell ref="B2:C2"/>
    <mergeCell ref="G2:H2"/>
    <mergeCell ref="B31:C31"/>
    <mergeCell ref="B42:D42"/>
  </mergeCells>
  <pageMargins left="0.7" right="0.7" top="0.75" bottom="0.75" header="0.3" footer="0.3"/>
  <pageSetup paperSize="9" orientation="portrait" r:id="rId8"/>
  <extLst>
    <ext xmlns:x14="http://schemas.microsoft.com/office/spreadsheetml/2009/9/main" uri="{78C0D931-6437-407d-A8EE-F0AAD7539E65}">
      <x14:conditionalFormattings>
        <x14:conditionalFormatting xmlns:xm="http://schemas.microsoft.com/office/excel/2006/main" pivot="1">
          <x14:cfRule type="iconSet" priority="7" id="{7E9E5BEF-C0EB-41E3-BD11-2895DC468239}">
            <x14:iconSet iconSet="3Arrows" custom="1">
              <x14:cfvo type="percent">
                <xm:f>0</xm:f>
              </x14:cfvo>
              <x14:cfvo type="percent">
                <xm:f>0</xm:f>
              </x14:cfvo>
              <x14:cfvo type="percent">
                <xm:f>0</xm:f>
              </x14:cfvo>
              <x14:cfIcon iconSet="3Arrows" iconId="0"/>
              <x14:cfIcon iconSet="3Arrows" iconId="2"/>
              <x14:cfIcon iconSet="3Arrows" iconId="2"/>
            </x14:iconSet>
          </x14:cfRule>
          <xm:sqref>H4</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79998168889431442"/>
  </sheetPr>
  <dimension ref="B1:K14"/>
  <sheetViews>
    <sheetView workbookViewId="0">
      <selection activeCell="J8" sqref="J8"/>
    </sheetView>
  </sheetViews>
  <sheetFormatPr defaultRowHeight="15" x14ac:dyDescent="0.25"/>
  <cols>
    <col min="2" max="2" width="13.140625" bestFit="1" customWidth="1"/>
    <col min="3" max="3" width="15.7109375" bestFit="1" customWidth="1"/>
    <col min="4" max="4" width="20.42578125" bestFit="1" customWidth="1"/>
    <col min="10" max="10" width="12.28515625" customWidth="1"/>
  </cols>
  <sheetData>
    <row r="1" spans="2:11" x14ac:dyDescent="0.25">
      <c r="B1" s="234" t="s">
        <v>1114</v>
      </c>
      <c r="C1" s="234"/>
      <c r="D1" s="234"/>
    </row>
    <row r="2" spans="2:11" x14ac:dyDescent="0.25">
      <c r="B2" s="14" t="s">
        <v>546</v>
      </c>
      <c r="C2" s="15" t="s">
        <v>1064</v>
      </c>
      <c r="D2" s="15" t="s">
        <v>545</v>
      </c>
      <c r="K2" s="35" t="s">
        <v>1115</v>
      </c>
    </row>
    <row r="3" spans="2:11" x14ac:dyDescent="0.25">
      <c r="B3" s="17" t="s">
        <v>547</v>
      </c>
      <c r="C3" s="105">
        <v>70</v>
      </c>
      <c r="D3" s="106">
        <v>102989.92000000003</v>
      </c>
      <c r="F3" t="s">
        <v>547</v>
      </c>
      <c r="G3">
        <f>IFERROR(VLOOKUP(F3,$B$3:$D$14,2,0),0)</f>
        <v>70</v>
      </c>
      <c r="H3" s="85">
        <f>IFERROR(VLOOKUP(F3,$B$3:$D$14,3,0),0)</f>
        <v>102989.92000000003</v>
      </c>
      <c r="I3" t="str">
        <f t="array" ref="I3">IF(AND(H3=$K$3,ROW()=MIN(IF($H$3:$H$14=$K$3,ROW($H$3:$H$14)))),F3,"")</f>
        <v/>
      </c>
      <c r="J3" s="86"/>
      <c r="K3">
        <f>_xlfn.AGGREGATE(4,5,H3:H14)</f>
        <v>146726.46000000002</v>
      </c>
    </row>
    <row r="4" spans="2:11" x14ac:dyDescent="0.25">
      <c r="B4" s="17" t="s">
        <v>554</v>
      </c>
      <c r="C4" s="100">
        <v>93</v>
      </c>
      <c r="D4" s="101">
        <v>128723.41999999995</v>
      </c>
      <c r="F4" t="s">
        <v>554</v>
      </c>
      <c r="G4">
        <f t="shared" ref="G4:G14" si="0">IFERROR(VLOOKUP(F4,$B$3:$D$14,2,0),0)</f>
        <v>93</v>
      </c>
      <c r="H4" s="85">
        <f t="shared" ref="H4:H14" si="1">IFERROR(VLOOKUP(F4,$B$3:$D$14,3,0),0)</f>
        <v>128723.41999999995</v>
      </c>
      <c r="I4" t="str">
        <f t="array" ref="I4">IF(AND(H4=$K$3,ROW()=MIN(IF($H$3:$H$14=$K$3,ROW($H$3:$H$14)))),F4,"")</f>
        <v/>
      </c>
      <c r="J4" s="86" t="str">
        <f t="shared" ref="J4:J14" si="2">I4</f>
        <v/>
      </c>
    </row>
    <row r="5" spans="2:11" x14ac:dyDescent="0.25">
      <c r="B5" s="17" t="s">
        <v>548</v>
      </c>
      <c r="C5" s="100">
        <v>86</v>
      </c>
      <c r="D5" s="101">
        <v>118450.73999999999</v>
      </c>
      <c r="F5" t="s">
        <v>548</v>
      </c>
      <c r="G5">
        <f t="shared" si="0"/>
        <v>86</v>
      </c>
      <c r="H5" s="85">
        <f t="shared" si="1"/>
        <v>118450.73999999999</v>
      </c>
      <c r="I5" t="str">
        <f t="array" ref="I5">IF(AND(H5=$K$3,ROW()=MIN(IF($H$3:$H$14=$K$3,ROW($H$3:$H$14)))),F5,"")</f>
        <v/>
      </c>
      <c r="J5" s="86" t="str">
        <f t="shared" si="2"/>
        <v/>
      </c>
    </row>
    <row r="6" spans="2:11" x14ac:dyDescent="0.25">
      <c r="B6" s="17" t="s">
        <v>555</v>
      </c>
      <c r="C6" s="100">
        <v>77</v>
      </c>
      <c r="D6" s="101">
        <v>115753.37</v>
      </c>
      <c r="F6" t="s">
        <v>555</v>
      </c>
      <c r="G6">
        <f t="shared" si="0"/>
        <v>77</v>
      </c>
      <c r="H6" s="85">
        <f t="shared" si="1"/>
        <v>115753.37</v>
      </c>
      <c r="I6" t="str">
        <f t="array" ref="I6">IF(AND(H6=$K$3,ROW()=MIN(IF($H$3:$H$14=$K$3,ROW($H$3:$H$14)))),F6,"")</f>
        <v/>
      </c>
      <c r="J6" s="86" t="str">
        <f t="shared" si="2"/>
        <v/>
      </c>
    </row>
    <row r="7" spans="2:11" x14ac:dyDescent="0.25">
      <c r="B7" s="17" t="s">
        <v>556</v>
      </c>
      <c r="C7" s="100">
        <v>91</v>
      </c>
      <c r="D7" s="101">
        <v>125637.77999999998</v>
      </c>
      <c r="F7" t="s">
        <v>556</v>
      </c>
      <c r="G7">
        <f t="shared" si="0"/>
        <v>91</v>
      </c>
      <c r="H7" s="85">
        <f t="shared" si="1"/>
        <v>125637.77999999998</v>
      </c>
      <c r="I7" t="str">
        <f t="array" ref="I7">IF(AND(H7=$K$3,ROW()=MIN(IF($H$3:$H$14=$K$3,ROW($H$3:$H$14)))),F7,"")</f>
        <v/>
      </c>
      <c r="J7" s="86" t="str">
        <f t="shared" si="2"/>
        <v/>
      </c>
    </row>
    <row r="8" spans="2:11" x14ac:dyDescent="0.25">
      <c r="B8" s="17" t="s">
        <v>549</v>
      </c>
      <c r="C8" s="100">
        <v>91</v>
      </c>
      <c r="D8" s="101">
        <v>126802.88</v>
      </c>
      <c r="F8" t="s">
        <v>549</v>
      </c>
      <c r="G8">
        <f t="shared" si="0"/>
        <v>91</v>
      </c>
      <c r="H8" s="85">
        <f t="shared" si="1"/>
        <v>126802.88</v>
      </c>
      <c r="I8" t="str">
        <f t="array" ref="I8">IF(AND(H8=$K$3,ROW()=MIN(IF($H$3:$H$14=$K$3,ROW($H$3:$H$14)))),F8,"")</f>
        <v/>
      </c>
      <c r="J8" s="86" t="str">
        <f t="shared" si="2"/>
        <v/>
      </c>
    </row>
    <row r="9" spans="2:11" x14ac:dyDescent="0.25">
      <c r="B9" s="17" t="s">
        <v>557</v>
      </c>
      <c r="C9" s="100">
        <v>90</v>
      </c>
      <c r="D9" s="101">
        <v>140198.13</v>
      </c>
      <c r="F9" t="s">
        <v>557</v>
      </c>
      <c r="G9">
        <f t="shared" si="0"/>
        <v>90</v>
      </c>
      <c r="H9" s="85">
        <f t="shared" si="1"/>
        <v>140198.13</v>
      </c>
      <c r="I9" t="str">
        <f t="array" ref="I9">IF(AND(H9=$K$3,ROW()=MIN(IF($H$3:$H$14=$K$3,ROW($H$3:$H$14)))),F9,"")</f>
        <v/>
      </c>
      <c r="J9" s="86" t="str">
        <f t="shared" si="2"/>
        <v/>
      </c>
    </row>
    <row r="10" spans="2:11" x14ac:dyDescent="0.25">
      <c r="B10" s="17" t="s">
        <v>1068</v>
      </c>
      <c r="C10" s="100">
        <v>77</v>
      </c>
      <c r="D10" s="101">
        <v>96240.749999999985</v>
      </c>
      <c r="F10" t="s">
        <v>1068</v>
      </c>
      <c r="G10">
        <f t="shared" si="0"/>
        <v>77</v>
      </c>
      <c r="H10" s="85">
        <f t="shared" si="1"/>
        <v>96240.749999999985</v>
      </c>
      <c r="I10" t="str">
        <f t="array" ref="I10">IF(AND(H10=$K$3,ROW()=MIN(IF($H$3:$H$14=$K$3,ROW($H$3:$H$14)))),F10,"")</f>
        <v/>
      </c>
      <c r="J10" s="86" t="str">
        <f t="shared" si="2"/>
        <v/>
      </c>
    </row>
    <row r="11" spans="2:11" x14ac:dyDescent="0.25">
      <c r="B11" s="17" t="s">
        <v>558</v>
      </c>
      <c r="C11" s="100">
        <v>70</v>
      </c>
      <c r="D11" s="101">
        <v>98831.169999999955</v>
      </c>
      <c r="F11" t="s">
        <v>558</v>
      </c>
      <c r="G11">
        <f t="shared" si="0"/>
        <v>70</v>
      </c>
      <c r="H11" s="85">
        <f t="shared" si="1"/>
        <v>98831.169999999955</v>
      </c>
      <c r="I11" t="str">
        <f t="array" ref="I11">IF(AND(H11=$K$3,ROW()=MIN(IF($H$3:$H$14=$K$3,ROW($H$3:$H$14)))),F11,"")</f>
        <v/>
      </c>
      <c r="J11" s="86" t="str">
        <f t="shared" si="2"/>
        <v/>
      </c>
    </row>
    <row r="12" spans="2:11" x14ac:dyDescent="0.25">
      <c r="B12" s="17" t="s">
        <v>552</v>
      </c>
      <c r="C12" s="100">
        <v>98</v>
      </c>
      <c r="D12" s="101">
        <v>146726.46000000002</v>
      </c>
      <c r="F12" t="s">
        <v>552</v>
      </c>
      <c r="G12">
        <f t="shared" si="0"/>
        <v>98</v>
      </c>
      <c r="H12" s="85">
        <f t="shared" si="1"/>
        <v>146726.46000000002</v>
      </c>
      <c r="I12" t="str">
        <f t="array" ref="I12">IF(AND(H12=$K$3,ROW()=MIN(IF($H$3:$H$14=$K$3,ROW($H$3:$H$14)))),F12,"")</f>
        <v>Okt</v>
      </c>
      <c r="J12" s="86"/>
    </row>
    <row r="13" spans="2:11" x14ac:dyDescent="0.25">
      <c r="B13" s="17" t="s">
        <v>559</v>
      </c>
      <c r="C13" s="100">
        <v>76</v>
      </c>
      <c r="D13" s="101">
        <v>131542.52999999994</v>
      </c>
      <c r="F13" t="s">
        <v>559</v>
      </c>
      <c r="G13">
        <f t="shared" si="0"/>
        <v>76</v>
      </c>
      <c r="H13" s="85">
        <f t="shared" si="1"/>
        <v>131542.52999999994</v>
      </c>
      <c r="I13" t="str">
        <f t="array" ref="I13">IF(AND(H13=$K$3,ROW()=MIN(IF($H$3:$H$14=$K$3,ROW($H$3:$H$14)))),F13,"")</f>
        <v/>
      </c>
      <c r="J13" s="86" t="str">
        <f t="shared" si="2"/>
        <v/>
      </c>
    </row>
    <row r="14" spans="2:11" x14ac:dyDescent="0.25">
      <c r="B14" s="17" t="s">
        <v>553</v>
      </c>
      <c r="C14" s="100">
        <v>87</v>
      </c>
      <c r="D14" s="101">
        <v>127951.48000000003</v>
      </c>
      <c r="F14" t="s">
        <v>553</v>
      </c>
      <c r="G14">
        <f t="shared" si="0"/>
        <v>87</v>
      </c>
      <c r="H14" s="85">
        <f t="shared" si="1"/>
        <v>127951.48000000003</v>
      </c>
      <c r="I14" t="str">
        <f t="array" ref="I14">IF(AND(H14=$K$3,ROW()=MIN(IF($H$3:$H$14=$K$3,ROW($H$3:$H$14)))),F14,"")</f>
        <v/>
      </c>
      <c r="J14" s="86" t="str">
        <f t="shared" si="2"/>
        <v/>
      </c>
    </row>
  </sheetData>
  <mergeCells count="1">
    <mergeCell ref="B1:D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3" tint="0.79998168889431442"/>
  </sheetPr>
  <dimension ref="A1:AF55"/>
  <sheetViews>
    <sheetView zoomScale="60" zoomScaleNormal="60" workbookViewId="0">
      <selection activeCell="N28" sqref="N28"/>
    </sheetView>
  </sheetViews>
  <sheetFormatPr defaultRowHeight="15" x14ac:dyDescent="0.25"/>
  <cols>
    <col min="1" max="1" width="24.5703125" customWidth="1"/>
    <col min="2" max="5" width="10.7109375" customWidth="1"/>
    <col min="6" max="6" width="9.42578125" customWidth="1"/>
    <col min="7" max="7" width="10.7109375" customWidth="1"/>
    <col min="8" max="8" width="14.85546875" customWidth="1"/>
    <col min="10" max="10" width="12.42578125" customWidth="1"/>
    <col min="11" max="16" width="10.7109375" customWidth="1"/>
    <col min="17" max="19" width="12.140625" customWidth="1"/>
    <col min="20" max="20" width="14.7109375" customWidth="1"/>
    <col min="21" max="21" width="24.140625" bestFit="1" customWidth="1"/>
    <col min="22" max="23" width="20.28515625" customWidth="1"/>
    <col min="24" max="24" width="10.5703125" customWidth="1"/>
    <col min="25" max="25" width="26.5703125" customWidth="1"/>
    <col min="26" max="26" width="16.7109375" customWidth="1"/>
    <col min="29" max="29" width="8.85546875" bestFit="1" customWidth="1"/>
    <col min="30" max="30" width="24.140625" bestFit="1" customWidth="1"/>
    <col min="31" max="31" width="19.28515625" bestFit="1" customWidth="1"/>
    <col min="32" max="32" width="19.5703125" customWidth="1"/>
  </cols>
  <sheetData>
    <row r="1" spans="1:32" ht="15.75" x14ac:dyDescent="0.25">
      <c r="A1" s="4" t="s">
        <v>551</v>
      </c>
      <c r="B1" s="4" t="s">
        <v>1063</v>
      </c>
      <c r="J1" s="4" t="s">
        <v>551</v>
      </c>
      <c r="K1" s="4" t="s">
        <v>1063</v>
      </c>
      <c r="T1" s="38" t="s">
        <v>1133</v>
      </c>
      <c r="U1" s="102" t="s">
        <v>1095</v>
      </c>
      <c r="V1" s="38" t="s">
        <v>1096</v>
      </c>
      <c r="W1" s="38"/>
      <c r="X1" s="103" t="s">
        <v>1100</v>
      </c>
      <c r="AF1" t="s">
        <v>543</v>
      </c>
    </row>
    <row r="2" spans="1:32" ht="30" x14ac:dyDescent="0.25">
      <c r="A2" s="4" t="s">
        <v>2</v>
      </c>
      <c r="B2" t="s">
        <v>30</v>
      </c>
      <c r="C2" t="s">
        <v>25</v>
      </c>
      <c r="D2" t="s">
        <v>11</v>
      </c>
      <c r="E2" t="s">
        <v>34</v>
      </c>
      <c r="F2" t="s">
        <v>38</v>
      </c>
      <c r="G2" t="s">
        <v>17</v>
      </c>
      <c r="H2" t="s">
        <v>550</v>
      </c>
      <c r="J2" s="4" t="s">
        <v>2</v>
      </c>
      <c r="K2" t="s">
        <v>12</v>
      </c>
      <c r="L2" t="s">
        <v>26</v>
      </c>
      <c r="M2" t="s">
        <v>31</v>
      </c>
      <c r="N2" t="s">
        <v>22</v>
      </c>
      <c r="O2" t="s">
        <v>55</v>
      </c>
      <c r="P2" t="s">
        <v>35</v>
      </c>
      <c r="Q2" t="s">
        <v>550</v>
      </c>
      <c r="T2" s="8">
        <f>_xlfn.RANK.EQ(V2,$V$2:$V$37,0)+COUNTIF($V$2:V2,V2)-1</f>
        <v>10</v>
      </c>
      <c r="U2" s="6" t="str">
        <f t="shared" ref="U2:U7" si="0">$B$11&amp;"-"&amp;A12</f>
        <v>Adidas-Boots</v>
      </c>
      <c r="V2" s="8">
        <f t="shared" ref="V2:V7" si="1">B12</f>
        <v>329</v>
      </c>
      <c r="W2" s="208"/>
      <c r="X2" t="s">
        <v>1098</v>
      </c>
      <c r="Y2" t="s">
        <v>1099</v>
      </c>
      <c r="Z2" s="123" t="s">
        <v>1096</v>
      </c>
      <c r="AA2" s="122" t="s">
        <v>1109</v>
      </c>
    </row>
    <row r="3" spans="1:32" x14ac:dyDescent="0.25">
      <c r="A3" s="6" t="s">
        <v>12</v>
      </c>
      <c r="B3" s="8">
        <v>329</v>
      </c>
      <c r="C3" s="8">
        <v>386</v>
      </c>
      <c r="D3" s="8">
        <v>264</v>
      </c>
      <c r="E3" s="8">
        <v>299</v>
      </c>
      <c r="F3" s="8">
        <v>246</v>
      </c>
      <c r="G3" s="8">
        <v>343</v>
      </c>
      <c r="H3" s="8">
        <v>1867</v>
      </c>
      <c r="J3" s="6" t="s">
        <v>23</v>
      </c>
      <c r="K3" s="8">
        <v>266</v>
      </c>
      <c r="L3" s="8">
        <v>164</v>
      </c>
      <c r="M3" s="8">
        <v>228</v>
      </c>
      <c r="N3" s="8">
        <v>261</v>
      </c>
      <c r="O3" s="8">
        <v>387</v>
      </c>
      <c r="P3" s="8">
        <v>207</v>
      </c>
      <c r="Q3" s="8">
        <v>1513</v>
      </c>
      <c r="R3" s="8"/>
      <c r="S3" s="8"/>
      <c r="T3" s="8">
        <f>_xlfn.RANK.EQ(V3,$V$2:$V$37,0)+COUNTIF($V$2:V3,V3)-1</f>
        <v>29</v>
      </c>
      <c r="U3" s="6" t="str">
        <f t="shared" si="0"/>
        <v>Adidas-Casual</v>
      </c>
      <c r="V3" s="8">
        <f t="shared" si="1"/>
        <v>252</v>
      </c>
      <c r="W3" s="208"/>
      <c r="X3">
        <v>1</v>
      </c>
      <c r="Y3" t="str">
        <f>VLOOKUP(X3,$T$2:$V$37,2,0)</f>
        <v>Adidas-Sneakers</v>
      </c>
      <c r="Z3">
        <f>VLOOKUP(X3,$T$2:$V$37,3,0)</f>
        <v>438</v>
      </c>
      <c r="AA3">
        <f>COUNTIF($T$2:$T$37,1)</f>
        <v>1</v>
      </c>
    </row>
    <row r="4" spans="1:32" x14ac:dyDescent="0.25">
      <c r="A4" s="6" t="s">
        <v>26</v>
      </c>
      <c r="B4" s="8">
        <v>252</v>
      </c>
      <c r="C4" s="8">
        <v>286</v>
      </c>
      <c r="D4" s="8">
        <v>231</v>
      </c>
      <c r="E4" s="8">
        <v>269</v>
      </c>
      <c r="F4" s="8">
        <v>370</v>
      </c>
      <c r="G4" s="8">
        <v>307</v>
      </c>
      <c r="H4" s="8">
        <v>1715</v>
      </c>
      <c r="J4" s="6" t="s">
        <v>41</v>
      </c>
      <c r="K4" s="8">
        <v>339</v>
      </c>
      <c r="L4" s="8">
        <v>354</v>
      </c>
      <c r="M4" s="8">
        <v>245</v>
      </c>
      <c r="N4" s="8">
        <v>297</v>
      </c>
      <c r="O4" s="8">
        <v>264</v>
      </c>
      <c r="P4" s="8">
        <v>231</v>
      </c>
      <c r="Q4" s="8">
        <v>1730</v>
      </c>
      <c r="R4" s="8"/>
      <c r="S4" s="8"/>
      <c r="T4" s="8">
        <f>_xlfn.RANK.EQ(V4,$V$2:$V$37,0)+COUNTIF($V$2:V4,V4)-1</f>
        <v>19</v>
      </c>
      <c r="U4" s="6" t="str">
        <f t="shared" si="0"/>
        <v>Adidas-Formal</v>
      </c>
      <c r="V4" s="8">
        <f t="shared" si="1"/>
        <v>291</v>
      </c>
      <c r="W4" s="208"/>
      <c r="X4">
        <v>2</v>
      </c>
      <c r="Y4" t="str">
        <f>VLOOKUP(X4,$T$2:$V$37,2,0)</f>
        <v>Skechers-Running</v>
      </c>
      <c r="Z4">
        <f>VLOOKUP(X4,$T$2:$V$37,3,0)</f>
        <v>398</v>
      </c>
      <c r="AA4">
        <f>COUNTIF($T$2:$T$37,2)</f>
        <v>1</v>
      </c>
    </row>
    <row r="5" spans="1:32" x14ac:dyDescent="0.25">
      <c r="A5" s="6" t="s">
        <v>31</v>
      </c>
      <c r="B5" s="8">
        <v>291</v>
      </c>
      <c r="C5" s="8">
        <v>351</v>
      </c>
      <c r="D5" s="8">
        <v>271</v>
      </c>
      <c r="E5" s="8">
        <v>374</v>
      </c>
      <c r="F5" s="8">
        <v>304</v>
      </c>
      <c r="G5" s="8">
        <v>301</v>
      </c>
      <c r="H5" s="8">
        <v>1892</v>
      </c>
      <c r="J5" s="6" t="s">
        <v>18</v>
      </c>
      <c r="K5" s="8">
        <v>376</v>
      </c>
      <c r="L5" s="8">
        <v>340</v>
      </c>
      <c r="M5" s="8">
        <v>289</v>
      </c>
      <c r="N5" s="8">
        <v>334</v>
      </c>
      <c r="O5" s="8">
        <v>356</v>
      </c>
      <c r="P5" s="8">
        <v>201</v>
      </c>
      <c r="Q5" s="8">
        <v>1896</v>
      </c>
      <c r="R5" s="8"/>
      <c r="S5" s="8"/>
      <c r="T5" s="8">
        <f>_xlfn.RANK.EQ(V5,$V$2:$V$37,0)+COUNTIF($V$2:V5,V5)-1</f>
        <v>15</v>
      </c>
      <c r="U5" s="6" t="str">
        <f t="shared" si="0"/>
        <v>Adidas-Running</v>
      </c>
      <c r="V5" s="8">
        <f t="shared" si="1"/>
        <v>305</v>
      </c>
      <c r="W5" s="208"/>
      <c r="X5">
        <v>3</v>
      </c>
      <c r="Y5" t="str">
        <f>VLOOKUP(X5,$T$2:$V$37,2,0)</f>
        <v>New Balance-Boots</v>
      </c>
      <c r="Z5">
        <f>VLOOKUP(X5,$T$2:$V$37,3,0)</f>
        <v>386</v>
      </c>
      <c r="AA5">
        <f>COUNTIF($T$2:$T$37,3)</f>
        <v>1</v>
      </c>
    </row>
    <row r="6" spans="1:32" x14ac:dyDescent="0.25">
      <c r="A6" s="6" t="s">
        <v>22</v>
      </c>
      <c r="B6" s="8">
        <v>305</v>
      </c>
      <c r="C6" s="8">
        <v>276</v>
      </c>
      <c r="D6" s="8">
        <v>181</v>
      </c>
      <c r="E6" s="8">
        <v>258</v>
      </c>
      <c r="F6" s="8">
        <v>256</v>
      </c>
      <c r="G6" s="8">
        <v>398</v>
      </c>
      <c r="H6" s="8">
        <v>1674</v>
      </c>
      <c r="J6" s="6" t="s">
        <v>27</v>
      </c>
      <c r="K6" s="8">
        <v>256</v>
      </c>
      <c r="L6" s="8">
        <v>266</v>
      </c>
      <c r="M6" s="8">
        <v>434</v>
      </c>
      <c r="N6" s="8">
        <v>275</v>
      </c>
      <c r="O6" s="8">
        <v>322</v>
      </c>
      <c r="P6" s="8">
        <v>215</v>
      </c>
      <c r="Q6" s="8">
        <v>1768</v>
      </c>
      <c r="R6" s="8"/>
      <c r="S6" s="8"/>
      <c r="T6" s="8">
        <f>_xlfn.RANK.EQ(V6,$V$2:$V$37,0)+COUNTIF($V$2:V6,V6)-1</f>
        <v>1</v>
      </c>
      <c r="U6" s="6" t="str">
        <f t="shared" si="0"/>
        <v>Adidas-Sneakers</v>
      </c>
      <c r="V6" s="8">
        <f t="shared" si="1"/>
        <v>438</v>
      </c>
      <c r="W6" s="208"/>
      <c r="X6">
        <v>4</v>
      </c>
      <c r="Y6" t="str">
        <f t="shared" ref="Y6:Y12" si="2">IFERROR(VLOOKUP(X6,$T$2:$V$37,2,0),"No-Product")</f>
        <v>Puma-Formal</v>
      </c>
      <c r="Z6">
        <f t="shared" ref="Z6:Z12" si="3">IFERROR(VLOOKUP(X6,$T$2:$V$37,3,0),0)</f>
        <v>374</v>
      </c>
      <c r="AA6">
        <f>COUNTIF($T$2:$T$37,4)</f>
        <v>1</v>
      </c>
    </row>
    <row r="7" spans="1:32" x14ac:dyDescent="0.25">
      <c r="A7" s="6" t="s">
        <v>55</v>
      </c>
      <c r="B7" s="8">
        <v>438</v>
      </c>
      <c r="C7" s="8">
        <v>324</v>
      </c>
      <c r="D7" s="8">
        <v>354</v>
      </c>
      <c r="E7" s="8">
        <v>256</v>
      </c>
      <c r="F7" s="8">
        <v>283</v>
      </c>
      <c r="G7" s="8">
        <v>343</v>
      </c>
      <c r="H7" s="8">
        <v>1998</v>
      </c>
      <c r="J7" s="6" t="s">
        <v>13</v>
      </c>
      <c r="K7" s="8">
        <v>360</v>
      </c>
      <c r="L7" s="8">
        <v>234</v>
      </c>
      <c r="M7" s="8">
        <v>329</v>
      </c>
      <c r="N7" s="8">
        <v>255</v>
      </c>
      <c r="O7" s="8">
        <v>380</v>
      </c>
      <c r="P7" s="8">
        <v>380</v>
      </c>
      <c r="Q7" s="8">
        <v>1938</v>
      </c>
      <c r="R7" s="8"/>
      <c r="S7" s="8"/>
      <c r="T7" s="8">
        <f>_xlfn.RANK.EQ(V7,$V$2:$V$37,0)+COUNTIF($V$2:V7,V7)-1</f>
        <v>32</v>
      </c>
      <c r="U7" s="6" t="str">
        <f t="shared" si="0"/>
        <v>Adidas-Sports</v>
      </c>
      <c r="V7" s="8">
        <f t="shared" si="1"/>
        <v>238</v>
      </c>
      <c r="W7" s="208"/>
      <c r="X7">
        <v>5</v>
      </c>
      <c r="Y7" t="str">
        <f t="shared" si="2"/>
        <v>Reebok-Casual</v>
      </c>
      <c r="Z7">
        <f t="shared" si="3"/>
        <v>370</v>
      </c>
      <c r="AA7">
        <f>COUNTIF($T$2:$T$37,5)</f>
        <v>1</v>
      </c>
    </row>
    <row r="8" spans="1:32" x14ac:dyDescent="0.25">
      <c r="A8" s="6" t="s">
        <v>35</v>
      </c>
      <c r="B8" s="8">
        <v>238</v>
      </c>
      <c r="C8" s="8">
        <v>219</v>
      </c>
      <c r="D8" s="8">
        <v>170</v>
      </c>
      <c r="E8" s="8">
        <v>319</v>
      </c>
      <c r="F8" s="8">
        <v>241</v>
      </c>
      <c r="G8" s="8">
        <v>318</v>
      </c>
      <c r="H8" s="8">
        <v>1505</v>
      </c>
      <c r="J8" s="6" t="s">
        <v>45</v>
      </c>
      <c r="K8" s="8">
        <v>270</v>
      </c>
      <c r="L8" s="8">
        <v>357</v>
      </c>
      <c r="M8" s="8">
        <v>367</v>
      </c>
      <c r="N8" s="8">
        <v>252</v>
      </c>
      <c r="O8" s="8">
        <v>289</v>
      </c>
      <c r="P8" s="8">
        <v>271</v>
      </c>
      <c r="Q8" s="8">
        <v>1806</v>
      </c>
      <c r="R8" s="8"/>
      <c r="S8" s="8"/>
      <c r="T8" s="8">
        <f>_xlfn.RANK.EQ(V8,$V$2:$V$37,0)+COUNTIF($V$2:V8,V8)-1</f>
        <v>3</v>
      </c>
      <c r="U8" s="6" t="str">
        <f t="shared" ref="U8:U13" si="4">$C$11&amp;"-"&amp;A12</f>
        <v>New Balance-Boots</v>
      </c>
      <c r="V8" s="8">
        <f t="shared" ref="V8:V13" si="5">C12</f>
        <v>386</v>
      </c>
      <c r="W8" s="208"/>
      <c r="X8">
        <v>6</v>
      </c>
      <c r="Y8" t="str">
        <f t="shared" si="2"/>
        <v>Nike-Sneakers</v>
      </c>
      <c r="Z8">
        <f t="shared" si="3"/>
        <v>354</v>
      </c>
      <c r="AA8">
        <f>COUNTIF($T$2:$T$37,6)</f>
        <v>1</v>
      </c>
    </row>
    <row r="9" spans="1:32" x14ac:dyDescent="0.25">
      <c r="A9" s="6"/>
      <c r="B9" s="8"/>
      <c r="C9" s="8"/>
      <c r="D9" s="8"/>
      <c r="E9" s="8"/>
      <c r="F9" s="8"/>
      <c r="G9" s="8"/>
      <c r="H9" s="8"/>
      <c r="L9" s="8"/>
      <c r="M9" s="8"/>
      <c r="N9" s="8"/>
      <c r="O9" s="8"/>
      <c r="P9" s="8"/>
      <c r="T9" s="8">
        <f>_xlfn.RANK.EQ(V9,$V$2:$V$37,0)+COUNTIF($V$2:V9,V9)-1</f>
        <v>20</v>
      </c>
      <c r="U9" s="6" t="str">
        <f t="shared" si="4"/>
        <v>New Balance-Casual</v>
      </c>
      <c r="V9" s="8">
        <f t="shared" si="5"/>
        <v>286</v>
      </c>
      <c r="W9" s="208"/>
      <c r="X9">
        <v>7</v>
      </c>
      <c r="Y9" t="str">
        <f t="shared" si="2"/>
        <v>New Balance-Formal</v>
      </c>
      <c r="Z9">
        <f t="shared" si="3"/>
        <v>351</v>
      </c>
      <c r="AA9">
        <f>COUNTIF($T$2:$T$37,7)</f>
        <v>1</v>
      </c>
    </row>
    <row r="10" spans="1:32" x14ac:dyDescent="0.25">
      <c r="L10" s="8"/>
      <c r="M10" s="8"/>
      <c r="N10" s="8"/>
      <c r="O10" s="8"/>
      <c r="P10" s="8"/>
      <c r="Q10" s="34"/>
      <c r="R10" s="34"/>
      <c r="S10" s="34"/>
      <c r="T10" s="8">
        <f>_xlfn.RANK.EQ(V10,$V$2:$V$37,0)+COUNTIF($V$2:V10,V10)-1</f>
        <v>7</v>
      </c>
      <c r="U10" s="6" t="str">
        <f t="shared" si="4"/>
        <v>New Balance-Formal</v>
      </c>
      <c r="V10" s="8">
        <f t="shared" si="5"/>
        <v>351</v>
      </c>
      <c r="W10" s="208"/>
      <c r="X10">
        <v>8</v>
      </c>
      <c r="Y10" t="str">
        <f t="shared" si="2"/>
        <v>Skechers-Boots</v>
      </c>
      <c r="Z10">
        <f t="shared" si="3"/>
        <v>343</v>
      </c>
      <c r="AA10">
        <f>COUNTIF($T$2:$T$37,8)</f>
        <v>1</v>
      </c>
    </row>
    <row r="11" spans="1:32" x14ac:dyDescent="0.25">
      <c r="A11" s="24"/>
      <c r="B11" s="25" t="s">
        <v>30</v>
      </c>
      <c r="C11" s="25" t="s">
        <v>25</v>
      </c>
      <c r="D11" s="25" t="s">
        <v>11</v>
      </c>
      <c r="E11" s="25" t="s">
        <v>34</v>
      </c>
      <c r="F11" s="25" t="s">
        <v>38</v>
      </c>
      <c r="G11" s="25" t="s">
        <v>17</v>
      </c>
      <c r="H11" s="24" t="s">
        <v>1065</v>
      </c>
      <c r="J11" s="24"/>
      <c r="K11" s="25" t="s">
        <v>12</v>
      </c>
      <c r="L11" s="25" t="s">
        <v>26</v>
      </c>
      <c r="M11" s="25" t="s">
        <v>31</v>
      </c>
      <c r="N11" s="25" t="s">
        <v>22</v>
      </c>
      <c r="O11" s="25" t="s">
        <v>55</v>
      </c>
      <c r="P11" s="78" t="s">
        <v>35</v>
      </c>
      <c r="Q11" s="74"/>
      <c r="R11" s="74"/>
      <c r="S11" s="74"/>
      <c r="T11" s="8">
        <f>_xlfn.RANK.EQ(V11,$V$2:$V$37,0)+COUNTIF($V$2:V11,V11)-1</f>
        <v>22</v>
      </c>
      <c r="U11" s="6" t="str">
        <f t="shared" si="4"/>
        <v>New Balance-Running</v>
      </c>
      <c r="V11" s="8">
        <f t="shared" si="5"/>
        <v>276</v>
      </c>
      <c r="W11" s="208"/>
      <c r="X11">
        <v>9</v>
      </c>
      <c r="Y11" t="str">
        <f t="shared" si="2"/>
        <v>Skechers-Sneakers</v>
      </c>
      <c r="Z11">
        <f t="shared" si="3"/>
        <v>343</v>
      </c>
      <c r="AA11">
        <f>COUNTIF($T$2:$T$37,9)</f>
        <v>1</v>
      </c>
    </row>
    <row r="12" spans="1:32" x14ac:dyDescent="0.25">
      <c r="A12" s="24" t="s">
        <v>12</v>
      </c>
      <c r="B12" s="26">
        <f t="shared" ref="B12:G12" si="6">IFERROR(VLOOKUP($A$12,$A$3:$G$8,MATCH(B11,$A$2:$G$2,0),0),0)</f>
        <v>329</v>
      </c>
      <c r="C12" s="26">
        <f t="shared" si="6"/>
        <v>386</v>
      </c>
      <c r="D12" s="26">
        <f t="shared" si="6"/>
        <v>264</v>
      </c>
      <c r="E12" s="26">
        <f t="shared" si="6"/>
        <v>299</v>
      </c>
      <c r="F12" s="26">
        <f t="shared" si="6"/>
        <v>246</v>
      </c>
      <c r="G12" s="26">
        <f t="shared" si="6"/>
        <v>343</v>
      </c>
      <c r="H12" s="27">
        <f t="shared" ref="H12:H17" si="7">SUM(B12:G12)</f>
        <v>1867</v>
      </c>
      <c r="J12" s="61" t="s">
        <v>45</v>
      </c>
      <c r="K12" s="24">
        <f t="shared" ref="K12:P12" si="8">IFERROR(VLOOKUP($J$12,$J$3:$P$8,MATCH(K11,$J$2:$P$2,0),0)," ")</f>
        <v>270</v>
      </c>
      <c r="L12" s="24">
        <f t="shared" si="8"/>
        <v>357</v>
      </c>
      <c r="M12" s="24">
        <f t="shared" si="8"/>
        <v>367</v>
      </c>
      <c r="N12" s="24">
        <f t="shared" si="8"/>
        <v>252</v>
      </c>
      <c r="O12" s="24">
        <f t="shared" si="8"/>
        <v>289</v>
      </c>
      <c r="P12" s="24">
        <f t="shared" si="8"/>
        <v>271</v>
      </c>
      <c r="Q12" s="34"/>
      <c r="R12" s="34"/>
      <c r="S12" s="34"/>
      <c r="T12" s="8">
        <f>_xlfn.RANK.EQ(V12,$V$2:$V$37,0)+COUNTIF($V$2:V12,V12)-1</f>
        <v>11</v>
      </c>
      <c r="U12" s="6" t="str">
        <f t="shared" si="4"/>
        <v>New Balance-Sneakers</v>
      </c>
      <c r="V12" s="8">
        <f t="shared" si="5"/>
        <v>324</v>
      </c>
      <c r="W12" s="208"/>
      <c r="X12">
        <v>10</v>
      </c>
      <c r="Y12" t="str">
        <f t="shared" si="2"/>
        <v>Adidas-Boots</v>
      </c>
      <c r="Z12">
        <f t="shared" si="3"/>
        <v>329</v>
      </c>
      <c r="AA12">
        <f>COUNTIF($T$2:$T$37,10)</f>
        <v>1</v>
      </c>
    </row>
    <row r="13" spans="1:32" x14ac:dyDescent="0.25">
      <c r="A13" s="24" t="s">
        <v>26</v>
      </c>
      <c r="B13" s="26">
        <f t="shared" ref="B13:G13" si="9">IFERROR(VLOOKUP($A$13,$A$3:$G$8,MATCH(B11,$A$2:$G$2,0),0),0)</f>
        <v>252</v>
      </c>
      <c r="C13" s="26">
        <f t="shared" si="9"/>
        <v>286</v>
      </c>
      <c r="D13" s="26">
        <f t="shared" si="9"/>
        <v>231</v>
      </c>
      <c r="E13" s="26">
        <f t="shared" si="9"/>
        <v>269</v>
      </c>
      <c r="F13" s="26">
        <f t="shared" si="9"/>
        <v>370</v>
      </c>
      <c r="G13" s="26">
        <f t="shared" si="9"/>
        <v>307</v>
      </c>
      <c r="H13" s="27">
        <f t="shared" si="7"/>
        <v>1715</v>
      </c>
      <c r="J13" s="26" t="s">
        <v>13</v>
      </c>
      <c r="K13" s="24">
        <f t="shared" ref="K13:P13" si="10">IFERROR(VLOOKUP($J$13,$J$3:$P$8,MATCH(K11,$J$2:$P$2,0),0),"")</f>
        <v>360</v>
      </c>
      <c r="L13" s="24">
        <f t="shared" si="10"/>
        <v>234</v>
      </c>
      <c r="M13" s="24">
        <f t="shared" si="10"/>
        <v>329</v>
      </c>
      <c r="N13" s="24">
        <f t="shared" si="10"/>
        <v>255</v>
      </c>
      <c r="O13" s="24">
        <f t="shared" si="10"/>
        <v>380</v>
      </c>
      <c r="P13" s="24">
        <f t="shared" si="10"/>
        <v>380</v>
      </c>
      <c r="Q13" s="34"/>
      <c r="R13" s="34"/>
      <c r="S13" s="34"/>
      <c r="T13" s="8">
        <f>_xlfn.RANK.EQ(V13,$V$2:$V$37,0)+COUNTIF($V$2:V13,V13)-1</f>
        <v>34</v>
      </c>
      <c r="U13" s="6" t="str">
        <f t="shared" si="4"/>
        <v>New Balance-Sports</v>
      </c>
      <c r="V13" s="8">
        <f t="shared" si="5"/>
        <v>219</v>
      </c>
      <c r="W13" s="208"/>
    </row>
    <row r="14" spans="1:32" x14ac:dyDescent="0.25">
      <c r="A14" s="24" t="s">
        <v>31</v>
      </c>
      <c r="B14" s="26">
        <f t="shared" ref="B14:G14" si="11">IFERROR(VLOOKUP($A$14,$A$3:$G$8,MATCH(B11,$A$2:$G$2,0),0),0)</f>
        <v>291</v>
      </c>
      <c r="C14" s="26">
        <f t="shared" si="11"/>
        <v>351</v>
      </c>
      <c r="D14" s="26">
        <f t="shared" si="11"/>
        <v>271</v>
      </c>
      <c r="E14" s="26">
        <f t="shared" si="11"/>
        <v>374</v>
      </c>
      <c r="F14" s="26">
        <f t="shared" si="11"/>
        <v>304</v>
      </c>
      <c r="G14" s="26">
        <f t="shared" si="11"/>
        <v>301</v>
      </c>
      <c r="H14" s="27">
        <f t="shared" si="7"/>
        <v>1892</v>
      </c>
      <c r="J14" s="26" t="s">
        <v>27</v>
      </c>
      <c r="K14" s="24">
        <f t="shared" ref="K14:P14" si="12">IFERROR(VLOOKUP($J$14,$J$3:$P$8,MATCH(K11,$J$2:$P$2,0),0)," ")</f>
        <v>256</v>
      </c>
      <c r="L14" s="24">
        <f t="shared" si="12"/>
        <v>266</v>
      </c>
      <c r="M14" s="24">
        <f t="shared" si="12"/>
        <v>434</v>
      </c>
      <c r="N14" s="24">
        <f t="shared" si="12"/>
        <v>275</v>
      </c>
      <c r="O14" s="24">
        <f t="shared" si="12"/>
        <v>322</v>
      </c>
      <c r="P14" s="24">
        <f t="shared" si="12"/>
        <v>215</v>
      </c>
      <c r="Q14" s="34"/>
      <c r="R14" s="34"/>
      <c r="S14" s="34"/>
      <c r="T14" s="8">
        <f>_xlfn.RANK.EQ(V14,$V$2:$V$37,0)+COUNTIF($V$2:V14,V14)-1</f>
        <v>25</v>
      </c>
      <c r="U14" s="6" t="str">
        <f t="shared" ref="U14:U19" si="13">$D$11&amp;"-"&amp;A12</f>
        <v>Nike-Boots</v>
      </c>
      <c r="V14" s="8">
        <f t="shared" ref="V14:V19" si="14">D12</f>
        <v>264</v>
      </c>
      <c r="W14" s="208"/>
    </row>
    <row r="15" spans="1:32" x14ac:dyDescent="0.25">
      <c r="A15" s="24" t="s">
        <v>22</v>
      </c>
      <c r="B15" s="26">
        <f t="shared" ref="B15:G15" si="15">IFERROR(VLOOKUP($A$15,$A$3:$G$8,MATCH(B11,$A$2:$G$2,0),0),0)</f>
        <v>305</v>
      </c>
      <c r="C15" s="26">
        <f t="shared" si="15"/>
        <v>276</v>
      </c>
      <c r="D15" s="26">
        <f t="shared" si="15"/>
        <v>181</v>
      </c>
      <c r="E15" s="26">
        <f t="shared" si="15"/>
        <v>258</v>
      </c>
      <c r="F15" s="26">
        <f t="shared" si="15"/>
        <v>256</v>
      </c>
      <c r="G15" s="26">
        <f t="shared" si="15"/>
        <v>398</v>
      </c>
      <c r="H15" s="27">
        <f t="shared" si="7"/>
        <v>1674</v>
      </c>
      <c r="J15" s="26" t="s">
        <v>23</v>
      </c>
      <c r="K15" s="24">
        <f t="shared" ref="K15:P15" si="16">IFERROR(VLOOKUP($J$15,$J$3:$P$8,MATCH(K11,$J$2:$P$2,0),0),"")</f>
        <v>266</v>
      </c>
      <c r="L15" s="24">
        <f t="shared" si="16"/>
        <v>164</v>
      </c>
      <c r="M15" s="24">
        <f t="shared" si="16"/>
        <v>228</v>
      </c>
      <c r="N15" s="24">
        <f t="shared" si="16"/>
        <v>261</v>
      </c>
      <c r="O15" s="24">
        <f t="shared" si="16"/>
        <v>387</v>
      </c>
      <c r="P15" s="24">
        <f t="shared" si="16"/>
        <v>207</v>
      </c>
      <c r="Q15" s="34"/>
      <c r="R15" s="34"/>
      <c r="S15" s="34"/>
      <c r="T15" s="8">
        <f>_xlfn.RANK.EQ(V15,$V$2:$V$37,0)+COUNTIF($V$2:V15,V15)-1</f>
        <v>33</v>
      </c>
      <c r="U15" s="6" t="str">
        <f t="shared" si="13"/>
        <v>Nike-Casual</v>
      </c>
      <c r="V15" s="8">
        <f t="shared" si="14"/>
        <v>231</v>
      </c>
      <c r="W15" s="208"/>
    </row>
    <row r="16" spans="1:32" x14ac:dyDescent="0.25">
      <c r="A16" s="24" t="s">
        <v>55</v>
      </c>
      <c r="B16" s="26">
        <f t="shared" ref="B16:G16" si="17">IFERROR(VLOOKUP($A$16,$A$3:$G$8,MATCH(B11,$A$2:$G$2,0),0),0)</f>
        <v>438</v>
      </c>
      <c r="C16" s="26">
        <f t="shared" si="17"/>
        <v>324</v>
      </c>
      <c r="D16" s="26">
        <f t="shared" si="17"/>
        <v>354</v>
      </c>
      <c r="E16" s="26">
        <f t="shared" si="17"/>
        <v>256</v>
      </c>
      <c r="F16" s="26">
        <f t="shared" si="17"/>
        <v>283</v>
      </c>
      <c r="G16" s="26">
        <f t="shared" si="17"/>
        <v>343</v>
      </c>
      <c r="H16" s="27">
        <f t="shared" si="7"/>
        <v>1998</v>
      </c>
      <c r="J16" s="26" t="s">
        <v>41</v>
      </c>
      <c r="K16" s="24">
        <f t="shared" ref="K16:P16" si="18">IFERROR(VLOOKUP($J$16,$J$3:$P$8,MATCH(K11,$J$2:$P$2,0),0)," ")</f>
        <v>339</v>
      </c>
      <c r="L16" s="24">
        <f t="shared" si="18"/>
        <v>354</v>
      </c>
      <c r="M16" s="24">
        <f t="shared" si="18"/>
        <v>245</v>
      </c>
      <c r="N16" s="24">
        <f t="shared" si="18"/>
        <v>297</v>
      </c>
      <c r="O16" s="24">
        <f t="shared" si="18"/>
        <v>264</v>
      </c>
      <c r="P16" s="24">
        <f t="shared" si="18"/>
        <v>231</v>
      </c>
      <c r="Q16" s="34"/>
      <c r="R16" s="34"/>
      <c r="S16" s="34"/>
      <c r="T16" s="8">
        <f>_xlfn.RANK.EQ(V16,$V$2:$V$37,0)+COUNTIF($V$2:V16,V16)-1</f>
        <v>23</v>
      </c>
      <c r="U16" s="6" t="str">
        <f t="shared" si="13"/>
        <v>Nike-Formal</v>
      </c>
      <c r="V16" s="8">
        <f t="shared" si="14"/>
        <v>271</v>
      </c>
      <c r="W16" s="208"/>
    </row>
    <row r="17" spans="1:23" x14ac:dyDescent="0.25">
      <c r="A17" s="24" t="s">
        <v>35</v>
      </c>
      <c r="B17" s="26">
        <f t="shared" ref="B17:G17" si="19">IFERROR(VLOOKUP($A$17,$A$3:$G$8,MATCH(B11,$A$2:$G$2,0),0),0)</f>
        <v>238</v>
      </c>
      <c r="C17" s="26">
        <f t="shared" si="19"/>
        <v>219</v>
      </c>
      <c r="D17" s="26">
        <f t="shared" si="19"/>
        <v>170</v>
      </c>
      <c r="E17" s="26">
        <f t="shared" si="19"/>
        <v>319</v>
      </c>
      <c r="F17" s="76">
        <f t="shared" si="19"/>
        <v>241</v>
      </c>
      <c r="G17" s="76">
        <f t="shared" si="19"/>
        <v>318</v>
      </c>
      <c r="H17" s="77">
        <f t="shared" si="7"/>
        <v>1505</v>
      </c>
      <c r="J17" s="155" t="s">
        <v>18</v>
      </c>
      <c r="K17" s="156">
        <f t="shared" ref="K17:P17" si="20">IFERROR(VLOOKUP($J$17,$J$3:$P$8,MATCH(K11,$J$2:$P$2,0),0),"")</f>
        <v>376</v>
      </c>
      <c r="L17" s="24">
        <f t="shared" si="20"/>
        <v>340</v>
      </c>
      <c r="M17" s="24">
        <f t="shared" si="20"/>
        <v>289</v>
      </c>
      <c r="N17" s="24">
        <f t="shared" si="20"/>
        <v>334</v>
      </c>
      <c r="O17" s="24">
        <f t="shared" si="20"/>
        <v>356</v>
      </c>
      <c r="P17" s="24">
        <f t="shared" si="20"/>
        <v>201</v>
      </c>
      <c r="Q17" s="34"/>
      <c r="R17" s="34"/>
      <c r="S17" s="34"/>
      <c r="T17" s="8">
        <f>_xlfn.RANK.EQ(V17,$V$2:$V$37,0)+COUNTIF($V$2:V17,V17)-1</f>
        <v>35</v>
      </c>
      <c r="U17" s="6" t="str">
        <f t="shared" si="13"/>
        <v>Nike-Running</v>
      </c>
      <c r="V17" s="8">
        <f t="shared" si="14"/>
        <v>181</v>
      </c>
      <c r="W17" s="208"/>
    </row>
    <row r="18" spans="1:23" x14ac:dyDescent="0.25">
      <c r="A18" s="6"/>
      <c r="B18" s="8"/>
      <c r="C18" s="8"/>
      <c r="D18" s="8"/>
      <c r="E18" s="8"/>
      <c r="F18" s="46"/>
      <c r="G18" s="46"/>
      <c r="H18" s="46"/>
      <c r="I18" s="34"/>
      <c r="J18" s="157"/>
      <c r="K18" s="34"/>
      <c r="L18" s="34"/>
      <c r="M18" s="34"/>
      <c r="N18" s="34"/>
      <c r="O18" s="34"/>
      <c r="P18" s="34"/>
      <c r="Q18" s="34"/>
      <c r="R18" s="34"/>
      <c r="S18" s="34"/>
      <c r="T18" s="8">
        <f>_xlfn.RANK.EQ(V18,$V$2:$V$37,0)+COUNTIF($V$2:V18,V18)-1</f>
        <v>6</v>
      </c>
      <c r="U18" s="6" t="str">
        <f t="shared" si="13"/>
        <v>Nike-Sneakers</v>
      </c>
      <c r="V18" s="8">
        <f t="shared" si="14"/>
        <v>354</v>
      </c>
      <c r="W18" s="208"/>
    </row>
    <row r="19" spans="1:23" x14ac:dyDescent="0.25">
      <c r="A19" s="4" t="s">
        <v>545</v>
      </c>
      <c r="B19" s="4" t="s">
        <v>1063</v>
      </c>
      <c r="I19" s="79"/>
      <c r="J19" s="79"/>
      <c r="K19" s="79"/>
      <c r="L19" s="46"/>
      <c r="M19" s="8"/>
      <c r="N19" s="8"/>
      <c r="O19" s="8"/>
      <c r="P19" s="8"/>
      <c r="Q19" s="34"/>
      <c r="R19" s="34"/>
      <c r="S19" s="34"/>
      <c r="T19" s="8">
        <f>_xlfn.RANK.EQ(V19,$V$2:$V$37,0)+COUNTIF($V$2:V19,V19)-1</f>
        <v>36</v>
      </c>
      <c r="U19" s="6" t="str">
        <f t="shared" si="13"/>
        <v>Nike-Sports</v>
      </c>
      <c r="V19" s="8">
        <f t="shared" si="14"/>
        <v>170</v>
      </c>
      <c r="W19" s="208"/>
    </row>
    <row r="20" spans="1:23" x14ac:dyDescent="0.25">
      <c r="A20" s="4" t="s">
        <v>2</v>
      </c>
      <c r="B20" t="s">
        <v>30</v>
      </c>
      <c r="C20" t="s">
        <v>25</v>
      </c>
      <c r="D20" t="s">
        <v>11</v>
      </c>
      <c r="E20" t="s">
        <v>34</v>
      </c>
      <c r="F20" t="s">
        <v>38</v>
      </c>
      <c r="G20" t="s">
        <v>17</v>
      </c>
      <c r="H20" t="s">
        <v>550</v>
      </c>
      <c r="I20" s="34"/>
      <c r="K20" s="34"/>
      <c r="L20" s="46"/>
      <c r="M20" s="8"/>
      <c r="N20" s="8"/>
      <c r="O20" s="8"/>
      <c r="P20" s="8"/>
      <c r="Q20" s="34"/>
      <c r="R20" s="34"/>
      <c r="S20" s="34"/>
      <c r="T20" s="8">
        <f>_xlfn.RANK.EQ(V20,$V$2:$V$37,0)+COUNTIF($V$2:V20,V20)-1</f>
        <v>18</v>
      </c>
      <c r="U20" s="6" t="str">
        <f t="shared" ref="U20:U25" si="21">$E$11&amp;"-"&amp;A12</f>
        <v>Puma-Boots</v>
      </c>
      <c r="V20" s="8">
        <f t="shared" ref="V20:V25" si="22">E12</f>
        <v>299</v>
      </c>
      <c r="W20" s="208"/>
    </row>
    <row r="21" spans="1:23" x14ac:dyDescent="0.25">
      <c r="A21" s="6" t="s">
        <v>12</v>
      </c>
      <c r="B21" s="7">
        <v>50183.710000000006</v>
      </c>
      <c r="C21" s="7">
        <v>54219.250000000007</v>
      </c>
      <c r="D21" s="7">
        <v>33979.630000000005</v>
      </c>
      <c r="E21" s="7">
        <v>41299.510000000009</v>
      </c>
      <c r="F21" s="7">
        <v>37884.750000000015</v>
      </c>
      <c r="G21" s="7">
        <v>53257.609999999993</v>
      </c>
      <c r="H21" s="7">
        <v>270824.46000000002</v>
      </c>
      <c r="I21" s="34"/>
      <c r="K21" s="34"/>
      <c r="L21" s="46"/>
      <c r="M21" s="8"/>
      <c r="N21" s="8"/>
      <c r="O21" s="8"/>
      <c r="P21" s="8"/>
      <c r="Q21" s="34"/>
      <c r="R21" s="34"/>
      <c r="S21" s="34"/>
      <c r="T21" s="8">
        <f>_xlfn.RANK.EQ(V21,$V$2:$V$37,0)+COUNTIF($V$2:V21,V21)-1</f>
        <v>24</v>
      </c>
      <c r="U21" s="6" t="str">
        <f t="shared" si="21"/>
        <v>Puma-Casual</v>
      </c>
      <c r="V21" s="8">
        <f t="shared" si="22"/>
        <v>269</v>
      </c>
      <c r="W21" s="208"/>
    </row>
    <row r="22" spans="1:23" x14ac:dyDescent="0.25">
      <c r="A22" s="6" t="s">
        <v>26</v>
      </c>
      <c r="B22" s="7">
        <v>34745.35</v>
      </c>
      <c r="C22" s="7">
        <v>39336.620000000003</v>
      </c>
      <c r="D22" s="7">
        <v>26312.95</v>
      </c>
      <c r="E22" s="7">
        <v>41021.06</v>
      </c>
      <c r="F22" s="7">
        <v>50502.639999999985</v>
      </c>
      <c r="G22" s="7">
        <v>31317.160000000003</v>
      </c>
      <c r="H22" s="7">
        <v>223235.77999999997</v>
      </c>
      <c r="I22" s="34"/>
      <c r="K22" s="153"/>
      <c r="L22" s="46"/>
      <c r="M22" s="8"/>
      <c r="N22" s="8"/>
      <c r="O22" s="8"/>
      <c r="P22" s="8"/>
      <c r="T22" s="8">
        <f>_xlfn.RANK.EQ(V22,$V$2:$V$37,0)+COUNTIF($V$2:V22,V22)-1</f>
        <v>4</v>
      </c>
      <c r="U22" s="6" t="str">
        <f t="shared" si="21"/>
        <v>Puma-Formal</v>
      </c>
      <c r="V22" s="8">
        <f t="shared" si="22"/>
        <v>374</v>
      </c>
      <c r="W22" s="208"/>
    </row>
    <row r="23" spans="1:23" x14ac:dyDescent="0.25">
      <c r="A23" s="6" t="s">
        <v>31</v>
      </c>
      <c r="B23" s="7">
        <v>38554.060000000012</v>
      </c>
      <c r="C23" s="7">
        <v>50619.07</v>
      </c>
      <c r="D23" s="7">
        <v>29066.219999999998</v>
      </c>
      <c r="E23" s="7">
        <v>40568.22</v>
      </c>
      <c r="F23" s="7">
        <v>40580.980000000018</v>
      </c>
      <c r="G23" s="7">
        <v>47382.46</v>
      </c>
      <c r="H23" s="7">
        <v>246771.01</v>
      </c>
      <c r="I23" s="34"/>
      <c r="K23" s="34"/>
      <c r="L23" s="46"/>
      <c r="M23" s="8"/>
      <c r="N23" s="8"/>
      <c r="O23" s="8"/>
      <c r="P23" s="8"/>
      <c r="T23" s="8">
        <f>_xlfn.RANK.EQ(V23,$V$2:$V$37,0)+COUNTIF($V$2:V23,V23)-1</f>
        <v>26</v>
      </c>
      <c r="U23" s="6" t="str">
        <f t="shared" si="21"/>
        <v>Puma-Running</v>
      </c>
      <c r="V23" s="8">
        <f t="shared" si="22"/>
        <v>258</v>
      </c>
      <c r="W23" s="208"/>
    </row>
    <row r="24" spans="1:23" x14ac:dyDescent="0.25">
      <c r="A24" s="6" t="s">
        <v>22</v>
      </c>
      <c r="B24" s="7">
        <v>37825.119999999995</v>
      </c>
      <c r="C24" s="7">
        <v>38833.170000000006</v>
      </c>
      <c r="D24" s="7">
        <v>29991.47</v>
      </c>
      <c r="E24" s="7">
        <v>31821.069999999996</v>
      </c>
      <c r="F24" s="7">
        <v>37668.19</v>
      </c>
      <c r="G24" s="7">
        <v>54421.170000000013</v>
      </c>
      <c r="H24" s="7">
        <v>230560.19000000003</v>
      </c>
      <c r="I24" s="34"/>
      <c r="K24" s="154"/>
      <c r="L24" s="34"/>
      <c r="T24" s="8">
        <f>_xlfn.RANK.EQ(V24,$V$2:$V$37,0)+COUNTIF($V$2:V24,V24)-1</f>
        <v>27</v>
      </c>
      <c r="U24" s="6" t="str">
        <f t="shared" si="21"/>
        <v>Puma-Sneakers</v>
      </c>
      <c r="V24" s="8">
        <f t="shared" si="22"/>
        <v>256</v>
      </c>
      <c r="W24" s="208"/>
    </row>
    <row r="25" spans="1:23" x14ac:dyDescent="0.25">
      <c r="A25" s="6" t="s">
        <v>55</v>
      </c>
      <c r="B25" s="7">
        <v>63679.1</v>
      </c>
      <c r="C25" s="7">
        <v>50486.649999999987</v>
      </c>
      <c r="D25" s="7">
        <v>47911.530000000006</v>
      </c>
      <c r="E25" s="7">
        <v>43394.23</v>
      </c>
      <c r="F25" s="7">
        <v>39802.639999999992</v>
      </c>
      <c r="G25" s="7">
        <v>39297.290000000015</v>
      </c>
      <c r="H25" s="7">
        <v>284571.44</v>
      </c>
      <c r="I25" s="34"/>
      <c r="K25" s="34"/>
      <c r="L25" s="34"/>
      <c r="T25" s="8">
        <f>_xlfn.RANK.EQ(V25,$V$2:$V$37,0)+COUNTIF($V$2:V25,V25)-1</f>
        <v>12</v>
      </c>
      <c r="U25" s="6" t="str">
        <f t="shared" si="21"/>
        <v>Puma-Sports</v>
      </c>
      <c r="V25" s="8">
        <f t="shared" si="22"/>
        <v>319</v>
      </c>
      <c r="W25" s="208"/>
    </row>
    <row r="26" spans="1:23" x14ac:dyDescent="0.25">
      <c r="A26" s="6" t="s">
        <v>35</v>
      </c>
      <c r="B26" s="7">
        <v>32051.7</v>
      </c>
      <c r="C26" s="7">
        <v>28136.92</v>
      </c>
      <c r="D26" s="7">
        <v>25508.35</v>
      </c>
      <c r="E26" s="7">
        <v>40951.69000000001</v>
      </c>
      <c r="F26" s="7">
        <v>32387.739999999998</v>
      </c>
      <c r="G26" s="7">
        <v>44849.349999999984</v>
      </c>
      <c r="H26" s="7">
        <v>203885.74999999997</v>
      </c>
      <c r="I26" s="34"/>
      <c r="J26" s="34"/>
      <c r="K26" s="154"/>
      <c r="L26" s="34"/>
      <c r="T26" s="8">
        <f>_xlfn.RANK.EQ(V26,$V$2:$V$37,0)+COUNTIF($V$2:V26,V26)-1</f>
        <v>30</v>
      </c>
      <c r="U26" s="6" t="str">
        <f t="shared" ref="U26:U31" si="23">$F$11&amp;"-"&amp;A12</f>
        <v>Reebok-Boots</v>
      </c>
      <c r="V26" s="8">
        <f t="shared" ref="V26:V31" si="24">F12</f>
        <v>246</v>
      </c>
      <c r="W26" s="208"/>
    </row>
    <row r="27" spans="1:23" x14ac:dyDescent="0.25">
      <c r="C27" s="34"/>
      <c r="D27" s="34"/>
      <c r="E27" s="34"/>
      <c r="F27" s="34"/>
      <c r="G27" s="34"/>
      <c r="H27" s="75"/>
      <c r="I27" s="34"/>
      <c r="J27" s="34"/>
      <c r="K27" s="34"/>
      <c r="L27" s="34"/>
      <c r="T27" s="8">
        <f>_xlfn.RANK.EQ(V27,$V$2:$V$37,0)+COUNTIF($V$2:V27,V27)-1</f>
        <v>5</v>
      </c>
      <c r="U27" s="6" t="str">
        <f t="shared" si="23"/>
        <v>Reebok-Casual</v>
      </c>
      <c r="V27" s="8">
        <f t="shared" si="24"/>
        <v>370</v>
      </c>
      <c r="W27" s="208"/>
    </row>
    <row r="28" spans="1:23" x14ac:dyDescent="0.25">
      <c r="A28" s="24"/>
      <c r="B28" s="25" t="s">
        <v>30</v>
      </c>
      <c r="C28" s="25" t="s">
        <v>25</v>
      </c>
      <c r="D28" s="25" t="s">
        <v>11</v>
      </c>
      <c r="E28" s="25" t="s">
        <v>34</v>
      </c>
      <c r="F28" s="25" t="s">
        <v>38</v>
      </c>
      <c r="G28" s="25" t="s">
        <v>17</v>
      </c>
      <c r="H28" s="75"/>
      <c r="I28" s="34"/>
      <c r="J28" s="34"/>
      <c r="K28" s="34"/>
      <c r="L28" s="34"/>
      <c r="T28" s="8">
        <f>_xlfn.RANK.EQ(V28,$V$2:$V$37,0)+COUNTIF($V$2:V28,V28)-1</f>
        <v>16</v>
      </c>
      <c r="U28" s="6" t="str">
        <f t="shared" si="23"/>
        <v>Reebok-Formal</v>
      </c>
      <c r="V28" s="8">
        <f t="shared" si="24"/>
        <v>304</v>
      </c>
      <c r="W28" s="208"/>
    </row>
    <row r="29" spans="1:23" x14ac:dyDescent="0.25">
      <c r="A29" s="24" t="s">
        <v>12</v>
      </c>
      <c r="B29" s="124">
        <f>IFERROR(VLOOKUP($A$29,$A$21:$G$26,MATCH(B28,$A$20:$G$20,0),0),)</f>
        <v>50183.710000000006</v>
      </c>
      <c r="C29" s="124">
        <f t="shared" ref="C29:G29" si="25">IFERROR(VLOOKUP($A$29,$A$21:$G$26,MATCH(C28,$A$20:$G$20,0),0),)</f>
        <v>54219.250000000007</v>
      </c>
      <c r="D29" s="124">
        <f t="shared" si="25"/>
        <v>33979.630000000005</v>
      </c>
      <c r="E29" s="124">
        <f t="shared" si="25"/>
        <v>41299.510000000009</v>
      </c>
      <c r="F29" s="124">
        <f t="shared" si="25"/>
        <v>37884.750000000015</v>
      </c>
      <c r="G29" s="124">
        <f t="shared" si="25"/>
        <v>53257.609999999993</v>
      </c>
      <c r="H29" s="23"/>
      <c r="T29" s="8">
        <f>_xlfn.RANK.EQ(V29,$V$2:$V$37,0)+COUNTIF($V$2:V29,V29)-1</f>
        <v>28</v>
      </c>
      <c r="U29" s="6" t="str">
        <f t="shared" si="23"/>
        <v>Reebok-Running</v>
      </c>
      <c r="V29" s="8">
        <f t="shared" si="24"/>
        <v>256</v>
      </c>
      <c r="W29" s="208"/>
    </row>
    <row r="30" spans="1:23" x14ac:dyDescent="0.25">
      <c r="A30" s="24" t="s">
        <v>26</v>
      </c>
      <c r="B30" s="124">
        <f t="shared" ref="B30:G30" si="26">IFERROR(VLOOKUP($A$30,$A$21:$G$26,MATCH(B28,$A$20:$G$20,0),0),)</f>
        <v>34745.35</v>
      </c>
      <c r="C30" s="124">
        <f t="shared" si="26"/>
        <v>39336.620000000003</v>
      </c>
      <c r="D30" s="124">
        <f t="shared" si="26"/>
        <v>26312.95</v>
      </c>
      <c r="E30" s="124">
        <f t="shared" si="26"/>
        <v>41021.06</v>
      </c>
      <c r="F30" s="124">
        <f t="shared" si="26"/>
        <v>50502.639999999985</v>
      </c>
      <c r="G30" s="124">
        <f t="shared" si="26"/>
        <v>31317.160000000003</v>
      </c>
      <c r="H30" s="23"/>
      <c r="T30" s="8">
        <f>_xlfn.RANK.EQ(V30,$V$2:$V$37,0)+COUNTIF($V$2:V30,V30)-1</f>
        <v>21</v>
      </c>
      <c r="U30" s="6" t="str">
        <f t="shared" si="23"/>
        <v>Reebok-Sneakers</v>
      </c>
      <c r="V30" s="8">
        <f t="shared" si="24"/>
        <v>283</v>
      </c>
      <c r="W30" s="208"/>
    </row>
    <row r="31" spans="1:23" x14ac:dyDescent="0.25">
      <c r="A31" s="24" t="s">
        <v>31</v>
      </c>
      <c r="B31" s="124">
        <f t="shared" ref="B31:G31" si="27">IFERROR(VLOOKUP($A$31,$A$21:$G$26,MATCH(B28,$A$20:$G$20,0),0),)</f>
        <v>38554.060000000012</v>
      </c>
      <c r="C31" s="124">
        <f t="shared" si="27"/>
        <v>50619.07</v>
      </c>
      <c r="D31" s="124">
        <f t="shared" si="27"/>
        <v>29066.219999999998</v>
      </c>
      <c r="E31" s="124">
        <f t="shared" si="27"/>
        <v>40568.22</v>
      </c>
      <c r="F31" s="124">
        <f t="shared" si="27"/>
        <v>40580.980000000018</v>
      </c>
      <c r="G31" s="124">
        <f t="shared" si="27"/>
        <v>47382.46</v>
      </c>
      <c r="H31" s="23"/>
      <c r="T31" s="8">
        <f>_xlfn.RANK.EQ(V31,$V$2:$V$37,0)+COUNTIF($V$2:V31,V31)-1</f>
        <v>31</v>
      </c>
      <c r="U31" s="6" t="str">
        <f t="shared" si="23"/>
        <v>Reebok-Sports</v>
      </c>
      <c r="V31" s="8">
        <f t="shared" si="24"/>
        <v>241</v>
      </c>
      <c r="W31" s="208"/>
    </row>
    <row r="32" spans="1:23" x14ac:dyDescent="0.25">
      <c r="A32" s="24" t="s">
        <v>22</v>
      </c>
      <c r="B32" s="124">
        <f t="shared" ref="B32:G32" si="28">IFERROR(VLOOKUP($A$32,$A$21:$G$26,MATCH(B28,$A$20:$G$20,0),0),)</f>
        <v>37825.119999999995</v>
      </c>
      <c r="C32" s="124">
        <f t="shared" si="28"/>
        <v>38833.170000000006</v>
      </c>
      <c r="D32" s="124">
        <f t="shared" si="28"/>
        <v>29991.47</v>
      </c>
      <c r="E32" s="124">
        <f t="shared" si="28"/>
        <v>31821.069999999996</v>
      </c>
      <c r="F32" s="124">
        <f t="shared" si="28"/>
        <v>37668.19</v>
      </c>
      <c r="G32" s="124">
        <f t="shared" si="28"/>
        <v>54421.170000000013</v>
      </c>
      <c r="T32" s="8">
        <f>_xlfn.RANK.EQ(V32,$V$2:$V$37,0)+COUNTIF($V$2:V32,V32)-1</f>
        <v>8</v>
      </c>
      <c r="U32" s="6" t="str">
        <f t="shared" ref="U32:U37" si="29">$G$11&amp;"-"&amp;A12</f>
        <v>Skechers-Boots</v>
      </c>
      <c r="V32" s="8">
        <f t="shared" ref="V32:V37" si="30">G12</f>
        <v>343</v>
      </c>
      <c r="W32" s="208"/>
    </row>
    <row r="33" spans="1:23" x14ac:dyDescent="0.25">
      <c r="A33" s="24" t="s">
        <v>55</v>
      </c>
      <c r="B33" s="124">
        <f t="shared" ref="B33:G33" si="31">IFERROR(VLOOKUP($A$33,$A$21:$G$26,MATCH(B28,$A$20:$G$20,0),0),)</f>
        <v>63679.1</v>
      </c>
      <c r="C33" s="124">
        <f t="shared" si="31"/>
        <v>50486.649999999987</v>
      </c>
      <c r="D33" s="124">
        <f t="shared" si="31"/>
        <v>47911.530000000006</v>
      </c>
      <c r="E33" s="124">
        <f t="shared" si="31"/>
        <v>43394.23</v>
      </c>
      <c r="F33" s="124">
        <f t="shared" si="31"/>
        <v>39802.639999999992</v>
      </c>
      <c r="G33" s="124">
        <f t="shared" si="31"/>
        <v>39297.290000000015</v>
      </c>
      <c r="T33" s="8">
        <f>_xlfn.RANK.EQ(V33,$V$2:$V$37,0)+COUNTIF($V$2:V33,V33)-1</f>
        <v>14</v>
      </c>
      <c r="U33" s="6" t="str">
        <f t="shared" si="29"/>
        <v>Skechers-Casual</v>
      </c>
      <c r="V33" s="8">
        <f t="shared" si="30"/>
        <v>307</v>
      </c>
      <c r="W33" s="208"/>
    </row>
    <row r="34" spans="1:23" x14ac:dyDescent="0.25">
      <c r="A34" s="24" t="s">
        <v>35</v>
      </c>
      <c r="B34" s="124">
        <f t="shared" ref="B34:G34" si="32">IFERROR(VLOOKUP($A$34,$A$21:$G$26,MATCH(B28,$A$20:$G$20,0),0),)</f>
        <v>32051.7</v>
      </c>
      <c r="C34" s="124">
        <f t="shared" si="32"/>
        <v>28136.92</v>
      </c>
      <c r="D34" s="124">
        <f t="shared" si="32"/>
        <v>25508.35</v>
      </c>
      <c r="E34" s="124">
        <f t="shared" si="32"/>
        <v>40951.69000000001</v>
      </c>
      <c r="F34" s="124">
        <f t="shared" si="32"/>
        <v>32387.739999999998</v>
      </c>
      <c r="G34" s="124">
        <f t="shared" si="32"/>
        <v>44849.349999999984</v>
      </c>
      <c r="T34" s="8">
        <f>_xlfn.RANK.EQ(V34,$V$2:$V$37,0)+COUNTIF($V$2:V34,V34)-1</f>
        <v>17</v>
      </c>
      <c r="U34" s="6" t="str">
        <f t="shared" si="29"/>
        <v>Skechers-Formal</v>
      </c>
      <c r="V34" s="8">
        <f t="shared" si="30"/>
        <v>301</v>
      </c>
      <c r="W34" s="208"/>
    </row>
    <row r="35" spans="1:23" x14ac:dyDescent="0.25">
      <c r="T35" s="8">
        <f>_xlfn.RANK.EQ(V35,$V$2:$V$37,0)+COUNTIF($V$2:V35,V35)-1</f>
        <v>2</v>
      </c>
      <c r="U35" s="6" t="str">
        <f t="shared" si="29"/>
        <v>Skechers-Running</v>
      </c>
      <c r="V35" s="8">
        <f t="shared" si="30"/>
        <v>398</v>
      </c>
      <c r="W35" s="208"/>
    </row>
    <row r="36" spans="1:23" x14ac:dyDescent="0.25">
      <c r="T36" s="8">
        <f>_xlfn.RANK.EQ(V36,$V$2:$V$37,0)+COUNTIF($V$2:V36,V36)-1</f>
        <v>9</v>
      </c>
      <c r="U36" s="6" t="str">
        <f t="shared" si="29"/>
        <v>Skechers-Sneakers</v>
      </c>
      <c r="V36" s="8">
        <f t="shared" si="30"/>
        <v>343</v>
      </c>
      <c r="W36" s="208"/>
    </row>
    <row r="37" spans="1:23" x14ac:dyDescent="0.25">
      <c r="T37" s="8">
        <f>_xlfn.RANK.EQ(V37,$V$2:$V$37,0)+COUNTIF($V$2:V37,V37)-1</f>
        <v>13</v>
      </c>
      <c r="U37" s="6" t="str">
        <f t="shared" si="29"/>
        <v>Skechers-Sports</v>
      </c>
      <c r="V37" s="8">
        <f t="shared" si="30"/>
        <v>318</v>
      </c>
      <c r="W37" s="208"/>
    </row>
    <row r="38" spans="1:23" x14ac:dyDescent="0.25">
      <c r="U38" s="6">
        <f>COUNTA(U2:U37)</f>
        <v>36</v>
      </c>
    </row>
    <row r="40" spans="1:23" x14ac:dyDescent="0.25">
      <c r="A40" s="4" t="s">
        <v>1129</v>
      </c>
      <c r="B40" s="4" t="s">
        <v>1063</v>
      </c>
    </row>
    <row r="41" spans="1:23" x14ac:dyDescent="0.25">
      <c r="A41" s="4" t="s">
        <v>2</v>
      </c>
      <c r="B41" t="s">
        <v>30</v>
      </c>
      <c r="C41" t="s">
        <v>25</v>
      </c>
      <c r="D41" t="s">
        <v>11</v>
      </c>
      <c r="E41" t="s">
        <v>34</v>
      </c>
      <c r="F41" t="s">
        <v>38</v>
      </c>
      <c r="G41" t="s">
        <v>17</v>
      </c>
    </row>
    <row r="42" spans="1:23" x14ac:dyDescent="0.25">
      <c r="A42" s="6" t="s">
        <v>12</v>
      </c>
      <c r="B42" s="8">
        <v>152.53407294832829</v>
      </c>
      <c r="C42" s="8">
        <v>140.46437823834199</v>
      </c>
      <c r="D42" s="8">
        <v>128.7107196969697</v>
      </c>
      <c r="E42" s="8">
        <v>138.12545150501674</v>
      </c>
      <c r="F42" s="8">
        <v>154.00304878048786</v>
      </c>
      <c r="G42" s="8">
        <v>155.26999999999998</v>
      </c>
    </row>
    <row r="43" spans="1:23" x14ac:dyDescent="0.25">
      <c r="A43" s="6" t="s">
        <v>26</v>
      </c>
      <c r="B43" s="8">
        <v>137.87837301587302</v>
      </c>
      <c r="C43" s="8">
        <v>137.54062937062938</v>
      </c>
      <c r="D43" s="8">
        <v>113.90887445887446</v>
      </c>
      <c r="E43" s="8">
        <v>152.4946468401487</v>
      </c>
      <c r="F43" s="8">
        <v>136.49362162162157</v>
      </c>
      <c r="G43" s="8">
        <v>102.01029315960913</v>
      </c>
    </row>
    <row r="44" spans="1:23" x14ac:dyDescent="0.25">
      <c r="A44" s="6" t="s">
        <v>31</v>
      </c>
      <c r="B44" s="8">
        <v>132.48817869415811</v>
      </c>
      <c r="C44" s="8">
        <v>144.21387464387465</v>
      </c>
      <c r="D44" s="8">
        <v>107.25542435424353</v>
      </c>
      <c r="E44" s="8">
        <v>108.47117647058823</v>
      </c>
      <c r="F44" s="8">
        <v>133.49006578947373</v>
      </c>
      <c r="G44" s="8">
        <v>157.41681063122923</v>
      </c>
    </row>
    <row r="45" spans="1:23" x14ac:dyDescent="0.25">
      <c r="A45" s="6" t="s">
        <v>22</v>
      </c>
      <c r="B45" s="8">
        <v>124.01678688524589</v>
      </c>
      <c r="C45" s="8">
        <v>140.69989130434786</v>
      </c>
      <c r="D45" s="8">
        <v>165.69872928176795</v>
      </c>
      <c r="E45" s="8">
        <v>123.33748062015502</v>
      </c>
      <c r="F45" s="8">
        <v>147.14136718750001</v>
      </c>
      <c r="G45" s="8">
        <v>136.73660804020105</v>
      </c>
    </row>
    <row r="46" spans="1:23" x14ac:dyDescent="0.25">
      <c r="A46" s="6" t="s">
        <v>55</v>
      </c>
      <c r="B46" s="8">
        <v>145.38607305936074</v>
      </c>
      <c r="C46" s="8">
        <v>155.82299382716045</v>
      </c>
      <c r="D46" s="8">
        <v>135.34330508474579</v>
      </c>
      <c r="E46" s="8">
        <v>169.50871093750001</v>
      </c>
      <c r="F46" s="8">
        <v>140.64537102473494</v>
      </c>
      <c r="G46" s="8">
        <v>114.56935860058313</v>
      </c>
    </row>
    <row r="47" spans="1:23" x14ac:dyDescent="0.25">
      <c r="A47" s="6" t="s">
        <v>35</v>
      </c>
      <c r="B47" s="8">
        <v>134.67100840336136</v>
      </c>
      <c r="C47" s="8">
        <v>128.47908675799087</v>
      </c>
      <c r="D47" s="8">
        <v>150.04911764705881</v>
      </c>
      <c r="E47" s="8">
        <v>128.37520376175553</v>
      </c>
      <c r="F47" s="8">
        <v>134.38896265560166</v>
      </c>
      <c r="G47" s="8">
        <v>141.03569182389933</v>
      </c>
    </row>
    <row r="49" spans="1:7" x14ac:dyDescent="0.25">
      <c r="A49" s="24"/>
      <c r="B49" s="25" t="s">
        <v>30</v>
      </c>
      <c r="C49" s="25" t="s">
        <v>25</v>
      </c>
      <c r="D49" s="25" t="s">
        <v>11</v>
      </c>
      <c r="E49" s="25" t="s">
        <v>34</v>
      </c>
      <c r="F49" s="25" t="s">
        <v>38</v>
      </c>
      <c r="G49" s="25" t="s">
        <v>17</v>
      </c>
    </row>
    <row r="50" spans="1:7" x14ac:dyDescent="0.25">
      <c r="A50" s="24" t="s">
        <v>12</v>
      </c>
      <c r="B50" s="209">
        <f>IFERROR(VLOOKUP(A50,$A$42:$G$47,MATCH($B$49,$A$41:$G$41,0),0),)</f>
        <v>152.53407294832829</v>
      </c>
      <c r="C50" s="209">
        <f>IFERROR(VLOOKUP(A50,$A$42:$G$47,MATCH($C$49,$A$41:$G$41,0),0),)</f>
        <v>140.46437823834199</v>
      </c>
      <c r="D50" s="209">
        <f>IFERROR(VLOOKUP(A50,$A$42:$G$47,MATCH($D$49,$A$41:$G$41,0),0),)</f>
        <v>128.7107196969697</v>
      </c>
      <c r="E50" s="209">
        <f>IFERROR(VLOOKUP(A50,$A$42:$G$47,MATCH($E$49,$A$41:$G$41,0),0),)</f>
        <v>138.12545150501674</v>
      </c>
      <c r="F50" s="209">
        <f>IFERROR(VLOOKUP(A50,$A$42:$G$47,MATCH($F$49,$A$41:$G$41,0),0),)</f>
        <v>154.00304878048786</v>
      </c>
      <c r="G50" s="209">
        <f>IFERROR(VLOOKUP(A50,$A$42:$G$47,MATCH($G$49,$A$41:$G$41,0),0),)</f>
        <v>155.26999999999998</v>
      </c>
    </row>
    <row r="51" spans="1:7" x14ac:dyDescent="0.25">
      <c r="A51" s="24" t="s">
        <v>26</v>
      </c>
      <c r="B51" s="209">
        <f t="shared" ref="B51:B55" si="33">IFERROR(VLOOKUP(A51,$A$42:$G$47,MATCH($B$49,$A$41:$G$41,0),0),)</f>
        <v>137.87837301587302</v>
      </c>
      <c r="C51" s="209">
        <f t="shared" ref="C51:C55" si="34">IFERROR(VLOOKUP(A51,$A$42:$G$47,MATCH($C$49,$A$41:$G$41,0),0),)</f>
        <v>137.54062937062938</v>
      </c>
      <c r="D51" s="209">
        <f t="shared" ref="D51:D55" si="35">IFERROR(VLOOKUP(A51,$A$42:$G$47,MATCH($D$49,$A$41:$G$41,0),0),)</f>
        <v>113.90887445887446</v>
      </c>
      <c r="E51" s="209">
        <f t="shared" ref="E51:E55" si="36">IFERROR(VLOOKUP(A51,$A$42:$G$47,MATCH($E$49,$A$41:$G$41,0),0),)</f>
        <v>152.4946468401487</v>
      </c>
      <c r="F51" s="209">
        <f t="shared" ref="F51:F55" si="37">IFERROR(VLOOKUP(A51,$A$42:$G$47,MATCH($F$49,$A$41:$G$41,0),0),)</f>
        <v>136.49362162162157</v>
      </c>
      <c r="G51" s="209">
        <f t="shared" ref="G51:G55" si="38">IFERROR(VLOOKUP(A51,$A$42:$G$47,MATCH($G$49,$A$41:$G$41,0),0),)</f>
        <v>102.01029315960913</v>
      </c>
    </row>
    <row r="52" spans="1:7" x14ac:dyDescent="0.25">
      <c r="A52" s="24" t="s">
        <v>31</v>
      </c>
      <c r="B52" s="209">
        <f t="shared" si="33"/>
        <v>132.48817869415811</v>
      </c>
      <c r="C52" s="209">
        <f t="shared" si="34"/>
        <v>144.21387464387465</v>
      </c>
      <c r="D52" s="209">
        <f t="shared" si="35"/>
        <v>107.25542435424353</v>
      </c>
      <c r="E52" s="209">
        <f t="shared" si="36"/>
        <v>108.47117647058823</v>
      </c>
      <c r="F52" s="209">
        <f t="shared" si="37"/>
        <v>133.49006578947373</v>
      </c>
      <c r="G52" s="209">
        <f t="shared" si="38"/>
        <v>157.41681063122923</v>
      </c>
    </row>
    <row r="53" spans="1:7" x14ac:dyDescent="0.25">
      <c r="A53" s="24" t="s">
        <v>22</v>
      </c>
      <c r="B53" s="209">
        <f t="shared" si="33"/>
        <v>124.01678688524589</v>
      </c>
      <c r="C53" s="209">
        <f t="shared" si="34"/>
        <v>140.69989130434786</v>
      </c>
      <c r="D53" s="209">
        <f t="shared" si="35"/>
        <v>165.69872928176795</v>
      </c>
      <c r="E53" s="209">
        <f t="shared" si="36"/>
        <v>123.33748062015502</v>
      </c>
      <c r="F53" s="209">
        <f t="shared" si="37"/>
        <v>147.14136718750001</v>
      </c>
      <c r="G53" s="209">
        <f t="shared" si="38"/>
        <v>136.73660804020105</v>
      </c>
    </row>
    <row r="54" spans="1:7" x14ac:dyDescent="0.25">
      <c r="A54" s="24" t="s">
        <v>55</v>
      </c>
      <c r="B54" s="209">
        <f t="shared" si="33"/>
        <v>145.38607305936074</v>
      </c>
      <c r="C54" s="209">
        <f t="shared" si="34"/>
        <v>155.82299382716045</v>
      </c>
      <c r="D54" s="209">
        <f t="shared" si="35"/>
        <v>135.34330508474579</v>
      </c>
      <c r="E54" s="209">
        <f t="shared" si="36"/>
        <v>169.50871093750001</v>
      </c>
      <c r="F54" s="209">
        <f t="shared" si="37"/>
        <v>140.64537102473494</v>
      </c>
      <c r="G54" s="209">
        <f t="shared" si="38"/>
        <v>114.56935860058313</v>
      </c>
    </row>
    <row r="55" spans="1:7" x14ac:dyDescent="0.25">
      <c r="A55" s="24" t="s">
        <v>35</v>
      </c>
      <c r="B55" s="209">
        <f t="shared" si="33"/>
        <v>134.67100840336136</v>
      </c>
      <c r="C55" s="209">
        <f t="shared" si="34"/>
        <v>128.47908675799087</v>
      </c>
      <c r="D55" s="209">
        <f t="shared" si="35"/>
        <v>150.04911764705881</v>
      </c>
      <c r="E55" s="209">
        <f t="shared" si="36"/>
        <v>128.37520376175553</v>
      </c>
      <c r="F55" s="209">
        <f t="shared" si="37"/>
        <v>134.38896265560166</v>
      </c>
      <c r="G55" s="209">
        <f t="shared" si="38"/>
        <v>141.03569182389933</v>
      </c>
    </row>
  </sheetData>
  <pageMargins left="0.7" right="0.7" top="0.75" bottom="0.75" header="0.3" footer="0.3"/>
  <drawing r:id="rId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AH1007"/>
  <sheetViews>
    <sheetView topLeftCell="G1" zoomScale="80" zoomScaleNormal="80" workbookViewId="0">
      <selection activeCell="R21" sqref="R21"/>
    </sheetView>
  </sheetViews>
  <sheetFormatPr defaultRowHeight="15" x14ac:dyDescent="0.25"/>
  <cols>
    <col min="1" max="1" width="9.85546875" bestFit="1" customWidth="1"/>
    <col min="2" max="2" width="18" customWidth="1"/>
    <col min="3" max="3" width="12.42578125" bestFit="1" customWidth="1"/>
    <col min="4" max="4" width="13" bestFit="1" customWidth="1"/>
    <col min="5" max="5" width="8" bestFit="1" customWidth="1"/>
    <col min="6" max="6" width="12" bestFit="1" customWidth="1"/>
    <col min="7" max="7" width="16.28515625" bestFit="1" customWidth="1"/>
    <col min="8" max="8" width="12.42578125" style="2" bestFit="1" customWidth="1"/>
    <col min="9" max="9" width="12.85546875" bestFit="1" customWidth="1"/>
    <col min="10" max="10" width="16" style="2" bestFit="1" customWidth="1"/>
    <col min="11" max="12" width="10.7109375" customWidth="1"/>
    <col min="13" max="13" width="13.5703125" customWidth="1"/>
    <col min="14" max="14" width="16.5703125" bestFit="1" customWidth="1"/>
    <col min="15" max="15" width="15.28515625" customWidth="1"/>
    <col min="16" max="16" width="2.28515625" customWidth="1"/>
    <col min="17" max="17" width="13.5703125" customWidth="1"/>
    <col min="18" max="18" width="23.7109375" customWidth="1"/>
    <col min="19" max="19" width="20" customWidth="1"/>
    <col min="20" max="20" width="2.140625" customWidth="1"/>
    <col min="21" max="21" width="13.5703125" bestFit="1" customWidth="1"/>
    <col min="22" max="22" width="14.5703125" customWidth="1"/>
    <col min="23" max="23" width="2.28515625" customWidth="1"/>
    <col min="24" max="24" width="23.28515625" customWidth="1"/>
    <col min="25" max="25" width="16.5703125" customWidth="1"/>
    <col min="26" max="28" width="13.85546875" customWidth="1"/>
    <col min="29" max="29" width="20.42578125" customWidth="1"/>
    <col min="30" max="30" width="13" bestFit="1" customWidth="1"/>
    <col min="31" max="31" width="13.7109375" bestFit="1" customWidth="1"/>
    <col min="32" max="33" width="20.5703125" bestFit="1" customWidth="1"/>
    <col min="34" max="34" width="35.5703125" customWidth="1"/>
  </cols>
  <sheetData>
    <row r="1" spans="1:26" x14ac:dyDescent="0.25">
      <c r="A1" s="206" t="s">
        <v>0</v>
      </c>
      <c r="B1" s="107" t="s">
        <v>1</v>
      </c>
      <c r="C1" s="107" t="s">
        <v>2</v>
      </c>
      <c r="D1" s="107" t="s">
        <v>3</v>
      </c>
      <c r="E1" s="107" t="s">
        <v>4</v>
      </c>
      <c r="F1" s="107" t="s">
        <v>5</v>
      </c>
      <c r="G1" s="107" t="s">
        <v>6</v>
      </c>
      <c r="H1" s="108" t="s">
        <v>7</v>
      </c>
      <c r="I1" s="107" t="s">
        <v>8</v>
      </c>
      <c r="J1" s="108" t="s">
        <v>9</v>
      </c>
      <c r="K1" s="205" t="s">
        <v>1130</v>
      </c>
      <c r="L1" s="192"/>
      <c r="M1" s="192"/>
      <c r="N1" s="192"/>
      <c r="O1" s="192"/>
      <c r="P1" s="192"/>
      <c r="Q1" s="192"/>
      <c r="R1" s="192"/>
      <c r="S1" s="192"/>
      <c r="T1" s="192"/>
      <c r="U1" s="192"/>
      <c r="V1" s="192"/>
      <c r="W1" s="192"/>
    </row>
    <row r="2" spans="1:26" x14ac:dyDescent="0.25">
      <c r="A2" s="207" t="s">
        <v>10</v>
      </c>
      <c r="B2" s="112">
        <v>45985</v>
      </c>
      <c r="C2" s="109" t="s">
        <v>11</v>
      </c>
      <c r="D2" s="109" t="s">
        <v>12</v>
      </c>
      <c r="E2" s="109" t="s">
        <v>13</v>
      </c>
      <c r="F2" s="109" t="s">
        <v>14</v>
      </c>
      <c r="G2" s="109" t="s">
        <v>15</v>
      </c>
      <c r="H2" s="110">
        <v>112.4</v>
      </c>
      <c r="I2" s="109">
        <v>4</v>
      </c>
      <c r="J2" s="110">
        <v>449.6</v>
      </c>
      <c r="K2" t="str">
        <f>TEXT(B2,"dddd")</f>
        <v>Senin</v>
      </c>
      <c r="M2" s="225" t="s">
        <v>1134</v>
      </c>
      <c r="N2" s="226" t="s">
        <v>544</v>
      </c>
      <c r="O2" s="226" t="s">
        <v>1128</v>
      </c>
      <c r="P2" s="28"/>
      <c r="Q2" s="225" t="s">
        <v>1134</v>
      </c>
      <c r="R2" s="226" t="s">
        <v>1126</v>
      </c>
      <c r="S2" s="226" t="s">
        <v>1124</v>
      </c>
      <c r="U2" s="225" t="s">
        <v>1134</v>
      </c>
      <c r="V2" s="226" t="s">
        <v>1166</v>
      </c>
      <c r="X2" s="14" t="s">
        <v>1134</v>
      </c>
      <c r="Y2" s="15" t="s">
        <v>544</v>
      </c>
      <c r="Z2" s="15" t="s">
        <v>543</v>
      </c>
    </row>
    <row r="3" spans="1:26" x14ac:dyDescent="0.25">
      <c r="A3" s="207" t="s">
        <v>16</v>
      </c>
      <c r="B3" s="112">
        <v>45729</v>
      </c>
      <c r="C3" s="109" t="s">
        <v>17</v>
      </c>
      <c r="D3" s="109" t="s">
        <v>12</v>
      </c>
      <c r="E3" s="109" t="s">
        <v>18</v>
      </c>
      <c r="F3" s="109" t="s">
        <v>19</v>
      </c>
      <c r="G3" s="109" t="s">
        <v>20</v>
      </c>
      <c r="H3" s="110">
        <v>239.16</v>
      </c>
      <c r="I3" s="109">
        <v>4</v>
      </c>
      <c r="J3" s="110">
        <v>956.64</v>
      </c>
      <c r="K3" t="str">
        <f t="shared" ref="K3:K66" si="0">TEXT(B3,"dddd")</f>
        <v>Kamis</v>
      </c>
      <c r="M3" s="227" t="s">
        <v>547</v>
      </c>
      <c r="N3" s="228">
        <v>70</v>
      </c>
      <c r="O3" s="228">
        <v>747</v>
      </c>
      <c r="P3" s="28"/>
      <c r="Q3" s="227" t="s">
        <v>547</v>
      </c>
      <c r="R3" s="229">
        <v>1471.2845714285718</v>
      </c>
      <c r="S3" s="229">
        <v>137.87137884872828</v>
      </c>
      <c r="U3" s="227" t="s">
        <v>547</v>
      </c>
      <c r="V3" s="229">
        <v>102989.92000000003</v>
      </c>
      <c r="X3" s="17" t="s">
        <v>547</v>
      </c>
      <c r="Y3" s="99">
        <v>70</v>
      </c>
      <c r="Z3" s="210">
        <v>102989.92000000003</v>
      </c>
    </row>
    <row r="4" spans="1:26" x14ac:dyDescent="0.25">
      <c r="A4" s="207" t="s">
        <v>21</v>
      </c>
      <c r="B4" s="112">
        <v>45874</v>
      </c>
      <c r="C4" s="109" t="s">
        <v>11</v>
      </c>
      <c r="D4" s="109" t="s">
        <v>22</v>
      </c>
      <c r="E4" s="109" t="s">
        <v>23</v>
      </c>
      <c r="F4" s="109" t="s">
        <v>14</v>
      </c>
      <c r="G4" s="109" t="s">
        <v>20</v>
      </c>
      <c r="H4" s="110">
        <v>191.04</v>
      </c>
      <c r="I4" s="109">
        <v>2</v>
      </c>
      <c r="J4" s="110">
        <v>382.08</v>
      </c>
      <c r="K4" t="str">
        <f t="shared" si="0"/>
        <v>Selasa</v>
      </c>
      <c r="M4" s="227" t="s">
        <v>554</v>
      </c>
      <c r="N4" s="228">
        <v>93</v>
      </c>
      <c r="O4" s="228">
        <v>988</v>
      </c>
      <c r="P4" s="28"/>
      <c r="Q4" s="227" t="s">
        <v>554</v>
      </c>
      <c r="R4" s="229">
        <v>1384.1227956989242</v>
      </c>
      <c r="S4" s="229">
        <v>130.28686234817809</v>
      </c>
      <c r="U4" s="227" t="s">
        <v>554</v>
      </c>
      <c r="V4" s="229">
        <v>128723.41999999995</v>
      </c>
      <c r="X4" s="17" t="s">
        <v>554</v>
      </c>
      <c r="Y4" s="99">
        <v>93</v>
      </c>
      <c r="Z4" s="210">
        <v>128723.41999999995</v>
      </c>
    </row>
    <row r="5" spans="1:26" x14ac:dyDescent="0.25">
      <c r="A5" s="207" t="s">
        <v>24</v>
      </c>
      <c r="B5" s="112">
        <v>45966</v>
      </c>
      <c r="C5" s="109" t="s">
        <v>25</v>
      </c>
      <c r="D5" s="109" t="s">
        <v>26</v>
      </c>
      <c r="E5" s="109" t="s">
        <v>27</v>
      </c>
      <c r="F5" s="109" t="s">
        <v>28</v>
      </c>
      <c r="G5" s="109" t="s">
        <v>20</v>
      </c>
      <c r="H5" s="110">
        <v>161.69999999999999</v>
      </c>
      <c r="I5" s="109">
        <v>1</v>
      </c>
      <c r="J5" s="110">
        <v>161.69999999999999</v>
      </c>
      <c r="K5" t="str">
        <f t="shared" si="0"/>
        <v>Rabu</v>
      </c>
      <c r="M5" s="227" t="s">
        <v>548</v>
      </c>
      <c r="N5" s="228">
        <v>86</v>
      </c>
      <c r="O5" s="228">
        <v>869</v>
      </c>
      <c r="P5" s="28"/>
      <c r="Q5" s="227" t="s">
        <v>548</v>
      </c>
      <c r="R5" s="229">
        <v>1377.3341860465116</v>
      </c>
      <c r="S5" s="229">
        <v>136.30695051783658</v>
      </c>
      <c r="U5" s="227" t="s">
        <v>548</v>
      </c>
      <c r="V5" s="229">
        <v>118450.73999999999</v>
      </c>
      <c r="X5" s="17" t="s">
        <v>548</v>
      </c>
      <c r="Y5" s="99">
        <v>86</v>
      </c>
      <c r="Z5" s="210">
        <v>118450.73999999999</v>
      </c>
    </row>
    <row r="6" spans="1:26" x14ac:dyDescent="0.25">
      <c r="A6" s="207" t="s">
        <v>29</v>
      </c>
      <c r="B6" s="112">
        <v>45937</v>
      </c>
      <c r="C6" s="109" t="s">
        <v>30</v>
      </c>
      <c r="D6" s="109" t="s">
        <v>31</v>
      </c>
      <c r="E6" s="109" t="s">
        <v>18</v>
      </c>
      <c r="F6" s="109" t="s">
        <v>32</v>
      </c>
      <c r="G6" s="109" t="s">
        <v>15</v>
      </c>
      <c r="H6" s="110">
        <v>64.319999999999993</v>
      </c>
      <c r="I6" s="109">
        <v>14</v>
      </c>
      <c r="J6" s="110">
        <v>900.48</v>
      </c>
      <c r="K6" t="str">
        <f t="shared" si="0"/>
        <v>Selasa</v>
      </c>
      <c r="M6" s="227" t="s">
        <v>555</v>
      </c>
      <c r="N6" s="228">
        <v>77</v>
      </c>
      <c r="O6" s="228">
        <v>819</v>
      </c>
      <c r="P6" s="28"/>
      <c r="Q6" s="227" t="s">
        <v>555</v>
      </c>
      <c r="R6" s="229">
        <v>1503.2905194805194</v>
      </c>
      <c r="S6" s="229">
        <v>141.3350061050061</v>
      </c>
      <c r="U6" s="227" t="s">
        <v>555</v>
      </c>
      <c r="V6" s="229">
        <v>115753.37</v>
      </c>
      <c r="X6" s="17" t="s">
        <v>555</v>
      </c>
      <c r="Y6" s="99">
        <v>77</v>
      </c>
      <c r="Z6" s="210">
        <v>115753.37</v>
      </c>
    </row>
    <row r="7" spans="1:26" x14ac:dyDescent="0.25">
      <c r="A7" s="207" t="s">
        <v>33</v>
      </c>
      <c r="B7" s="112">
        <v>45739</v>
      </c>
      <c r="C7" s="109" t="s">
        <v>34</v>
      </c>
      <c r="D7" s="109" t="s">
        <v>35</v>
      </c>
      <c r="E7" s="109" t="s">
        <v>23</v>
      </c>
      <c r="F7" s="109" t="s">
        <v>14</v>
      </c>
      <c r="G7" s="109" t="s">
        <v>36</v>
      </c>
      <c r="H7" s="110">
        <v>64.319999999999993</v>
      </c>
      <c r="I7" s="109">
        <v>14</v>
      </c>
      <c r="J7" s="110">
        <v>900.48</v>
      </c>
      <c r="K7" t="str">
        <f t="shared" si="0"/>
        <v>Minggu</v>
      </c>
      <c r="M7" s="227" t="s">
        <v>556</v>
      </c>
      <c r="N7" s="228">
        <v>91</v>
      </c>
      <c r="O7" s="228">
        <v>911</v>
      </c>
      <c r="P7" s="28"/>
      <c r="Q7" s="227" t="s">
        <v>556</v>
      </c>
      <c r="R7" s="229">
        <v>1380.6349450549449</v>
      </c>
      <c r="S7" s="229">
        <v>137.91194291986827</v>
      </c>
      <c r="U7" s="227" t="s">
        <v>556</v>
      </c>
      <c r="V7" s="229">
        <v>125637.77999999998</v>
      </c>
      <c r="X7" s="17" t="s">
        <v>556</v>
      </c>
      <c r="Y7" s="99">
        <v>91</v>
      </c>
      <c r="Z7" s="210">
        <v>125637.77999999998</v>
      </c>
    </row>
    <row r="8" spans="1:26" x14ac:dyDescent="0.25">
      <c r="A8" s="207" t="s">
        <v>37</v>
      </c>
      <c r="B8" s="112">
        <v>45710</v>
      </c>
      <c r="C8" s="109" t="s">
        <v>38</v>
      </c>
      <c r="D8" s="109" t="s">
        <v>22</v>
      </c>
      <c r="E8" s="109" t="s">
        <v>13</v>
      </c>
      <c r="F8" s="109" t="s">
        <v>39</v>
      </c>
      <c r="G8" s="109" t="s">
        <v>36</v>
      </c>
      <c r="H8" s="110">
        <v>42.78</v>
      </c>
      <c r="I8" s="109">
        <v>3</v>
      </c>
      <c r="J8" s="110">
        <v>128.34</v>
      </c>
      <c r="K8" t="str">
        <f t="shared" si="0"/>
        <v>Sabtu</v>
      </c>
      <c r="M8" s="227" t="s">
        <v>549</v>
      </c>
      <c r="N8" s="228">
        <v>91</v>
      </c>
      <c r="O8" s="228">
        <v>982</v>
      </c>
      <c r="P8" s="28"/>
      <c r="Q8" s="227" t="s">
        <v>549</v>
      </c>
      <c r="R8" s="229">
        <v>1393.4382417582417</v>
      </c>
      <c r="S8" s="229">
        <v>129.12716904276985</v>
      </c>
      <c r="U8" s="227" t="s">
        <v>549</v>
      </c>
      <c r="V8" s="229">
        <v>126802.88</v>
      </c>
      <c r="X8" s="17" t="s">
        <v>549</v>
      </c>
      <c r="Y8" s="99">
        <v>91</v>
      </c>
      <c r="Z8" s="210">
        <v>126802.88</v>
      </c>
    </row>
    <row r="9" spans="1:26" x14ac:dyDescent="0.25">
      <c r="A9" s="207" t="s">
        <v>40</v>
      </c>
      <c r="B9" s="112">
        <v>45967</v>
      </c>
      <c r="C9" s="109" t="s">
        <v>11</v>
      </c>
      <c r="D9" s="109" t="s">
        <v>12</v>
      </c>
      <c r="E9" s="109" t="s">
        <v>41</v>
      </c>
      <c r="F9" s="109" t="s">
        <v>42</v>
      </c>
      <c r="G9" s="109" t="s">
        <v>15</v>
      </c>
      <c r="H9" s="110">
        <v>220.56</v>
      </c>
      <c r="I9" s="109">
        <v>9</v>
      </c>
      <c r="J9" s="110">
        <v>1985.04</v>
      </c>
      <c r="K9" t="str">
        <f t="shared" si="0"/>
        <v>Kamis</v>
      </c>
      <c r="M9" s="227" t="s">
        <v>557</v>
      </c>
      <c r="N9" s="228">
        <v>90</v>
      </c>
      <c r="O9" s="228">
        <v>1039</v>
      </c>
      <c r="P9" s="28"/>
      <c r="Q9" s="227" t="s">
        <v>557</v>
      </c>
      <c r="R9" s="229">
        <v>1557.7570000000001</v>
      </c>
      <c r="S9" s="229">
        <v>134.93564003849855</v>
      </c>
      <c r="U9" s="227" t="s">
        <v>557</v>
      </c>
      <c r="V9" s="229">
        <v>140198.13</v>
      </c>
      <c r="X9" s="17" t="s">
        <v>557</v>
      </c>
      <c r="Y9" s="99">
        <v>90</v>
      </c>
      <c r="Z9" s="210">
        <v>140198.13</v>
      </c>
    </row>
    <row r="10" spans="1:26" x14ac:dyDescent="0.25">
      <c r="A10" s="207" t="s">
        <v>43</v>
      </c>
      <c r="B10" s="112">
        <v>45851</v>
      </c>
      <c r="C10" s="109" t="s">
        <v>25</v>
      </c>
      <c r="D10" s="109" t="s">
        <v>35</v>
      </c>
      <c r="E10" s="109" t="s">
        <v>27</v>
      </c>
      <c r="F10" s="109" t="s">
        <v>42</v>
      </c>
      <c r="G10" s="109" t="s">
        <v>36</v>
      </c>
      <c r="H10" s="110">
        <v>162.25</v>
      </c>
      <c r="I10" s="109">
        <v>3</v>
      </c>
      <c r="J10" s="110">
        <v>486.75</v>
      </c>
      <c r="K10" t="str">
        <f t="shared" si="0"/>
        <v>Minggu</v>
      </c>
      <c r="M10" s="227" t="s">
        <v>1068</v>
      </c>
      <c r="N10" s="228">
        <v>77</v>
      </c>
      <c r="O10" s="228">
        <v>666</v>
      </c>
      <c r="P10" s="28"/>
      <c r="Q10" s="227" t="s">
        <v>1068</v>
      </c>
      <c r="R10" s="229">
        <v>1249.8798701298699</v>
      </c>
      <c r="S10" s="229">
        <v>144.50563063063061</v>
      </c>
      <c r="U10" s="227" t="s">
        <v>1068</v>
      </c>
      <c r="V10" s="229">
        <v>96240.749999999985</v>
      </c>
      <c r="X10" s="17" t="s">
        <v>1068</v>
      </c>
      <c r="Y10" s="99">
        <v>77</v>
      </c>
      <c r="Z10" s="210">
        <v>96240.749999999985</v>
      </c>
    </row>
    <row r="11" spans="1:26" x14ac:dyDescent="0.25">
      <c r="A11" s="207" t="s">
        <v>44</v>
      </c>
      <c r="B11" s="112">
        <v>45953</v>
      </c>
      <c r="C11" s="109" t="s">
        <v>17</v>
      </c>
      <c r="D11" s="109" t="s">
        <v>22</v>
      </c>
      <c r="E11" s="109" t="s">
        <v>45</v>
      </c>
      <c r="F11" s="109" t="s">
        <v>28</v>
      </c>
      <c r="G11" s="109" t="s">
        <v>15</v>
      </c>
      <c r="H11" s="110">
        <v>185.78</v>
      </c>
      <c r="I11" s="109">
        <v>7</v>
      </c>
      <c r="J11" s="110">
        <v>1300.46</v>
      </c>
      <c r="K11" t="str">
        <f t="shared" si="0"/>
        <v>Kamis</v>
      </c>
      <c r="M11" s="227" t="s">
        <v>558</v>
      </c>
      <c r="N11" s="228">
        <v>70</v>
      </c>
      <c r="O11" s="228">
        <v>752</v>
      </c>
      <c r="P11" s="28"/>
      <c r="Q11" s="227" t="s">
        <v>558</v>
      </c>
      <c r="R11" s="229">
        <v>1411.8738571428564</v>
      </c>
      <c r="S11" s="229">
        <v>131.42442819148931</v>
      </c>
      <c r="U11" s="227" t="s">
        <v>558</v>
      </c>
      <c r="V11" s="229">
        <v>98831.169999999955</v>
      </c>
      <c r="X11" s="17" t="s">
        <v>558</v>
      </c>
      <c r="Y11" s="99">
        <v>70</v>
      </c>
      <c r="Z11" s="210">
        <v>98831.169999999955</v>
      </c>
    </row>
    <row r="12" spans="1:26" x14ac:dyDescent="0.25">
      <c r="A12" s="207" t="s">
        <v>46</v>
      </c>
      <c r="B12" s="112">
        <v>45806</v>
      </c>
      <c r="C12" s="109" t="s">
        <v>30</v>
      </c>
      <c r="D12" s="109" t="s">
        <v>22</v>
      </c>
      <c r="E12" s="109" t="s">
        <v>41</v>
      </c>
      <c r="F12" s="109" t="s">
        <v>32</v>
      </c>
      <c r="G12" s="109" t="s">
        <v>36</v>
      </c>
      <c r="H12" s="110">
        <v>34.53</v>
      </c>
      <c r="I12" s="109">
        <v>3</v>
      </c>
      <c r="J12" s="110">
        <v>103.59</v>
      </c>
      <c r="K12" t="str">
        <f t="shared" si="0"/>
        <v>Kamis</v>
      </c>
      <c r="M12" s="227" t="s">
        <v>552</v>
      </c>
      <c r="N12" s="228">
        <v>98</v>
      </c>
      <c r="O12" s="228">
        <v>1023</v>
      </c>
      <c r="P12" s="28"/>
      <c r="Q12" s="227" t="s">
        <v>552</v>
      </c>
      <c r="R12" s="229">
        <v>1497.2087755102043</v>
      </c>
      <c r="S12" s="229">
        <v>143.42762463343109</v>
      </c>
      <c r="U12" s="227" t="s">
        <v>552</v>
      </c>
      <c r="V12" s="229">
        <v>146726.46000000002</v>
      </c>
      <c r="X12" s="17" t="s">
        <v>552</v>
      </c>
      <c r="Y12" s="99">
        <v>98</v>
      </c>
      <c r="Z12" s="210">
        <v>146726.46000000002</v>
      </c>
    </row>
    <row r="13" spans="1:26" x14ac:dyDescent="0.25">
      <c r="A13" s="207" t="s">
        <v>47</v>
      </c>
      <c r="B13" s="112">
        <v>45983</v>
      </c>
      <c r="C13" s="109" t="s">
        <v>30</v>
      </c>
      <c r="D13" s="109" t="s">
        <v>35</v>
      </c>
      <c r="E13" s="109" t="s">
        <v>13</v>
      </c>
      <c r="F13" s="109" t="s">
        <v>14</v>
      </c>
      <c r="G13" s="109" t="s">
        <v>20</v>
      </c>
      <c r="H13" s="110">
        <v>243.38</v>
      </c>
      <c r="I13" s="109">
        <v>12</v>
      </c>
      <c r="J13" s="110">
        <v>2920.56</v>
      </c>
      <c r="K13" t="str">
        <f t="shared" si="0"/>
        <v>Sabtu</v>
      </c>
      <c r="M13" s="227" t="s">
        <v>559</v>
      </c>
      <c r="N13" s="228">
        <v>76</v>
      </c>
      <c r="O13" s="228">
        <v>849</v>
      </c>
      <c r="P13" s="28"/>
      <c r="Q13" s="227" t="s">
        <v>559</v>
      </c>
      <c r="R13" s="229">
        <v>1730.8227631578939</v>
      </c>
      <c r="S13" s="229">
        <v>154.93819787985859</v>
      </c>
      <c r="U13" s="227" t="s">
        <v>559</v>
      </c>
      <c r="V13" s="229">
        <v>131542.52999999994</v>
      </c>
      <c r="X13" s="17" t="s">
        <v>559</v>
      </c>
      <c r="Y13" s="99">
        <v>76</v>
      </c>
      <c r="Z13" s="210">
        <v>131542.52999999994</v>
      </c>
    </row>
    <row r="14" spans="1:26" x14ac:dyDescent="0.25">
      <c r="A14" s="207" t="s">
        <v>48</v>
      </c>
      <c r="B14" s="112">
        <v>45794</v>
      </c>
      <c r="C14" s="109" t="s">
        <v>25</v>
      </c>
      <c r="D14" s="109" t="s">
        <v>12</v>
      </c>
      <c r="E14" s="109" t="s">
        <v>23</v>
      </c>
      <c r="F14" s="109" t="s">
        <v>42</v>
      </c>
      <c r="G14" s="109" t="s">
        <v>20</v>
      </c>
      <c r="H14" s="110">
        <v>213.14</v>
      </c>
      <c r="I14" s="109">
        <v>3</v>
      </c>
      <c r="J14" s="110">
        <v>639.41999999999996</v>
      </c>
      <c r="K14" t="str">
        <f t="shared" si="0"/>
        <v>Sabtu</v>
      </c>
      <c r="M14" s="227" t="s">
        <v>553</v>
      </c>
      <c r="N14" s="228">
        <v>87</v>
      </c>
      <c r="O14" s="228">
        <v>1006</v>
      </c>
      <c r="P14" s="28"/>
      <c r="Q14" s="227" t="s">
        <v>553</v>
      </c>
      <c r="R14" s="229">
        <v>1470.7066666666669</v>
      </c>
      <c r="S14" s="229">
        <v>127.18834990059645</v>
      </c>
      <c r="U14" s="227" t="s">
        <v>553</v>
      </c>
      <c r="V14" s="229">
        <v>127951.48000000003</v>
      </c>
      <c r="X14" s="17" t="s">
        <v>553</v>
      </c>
      <c r="Y14" s="99">
        <v>87</v>
      </c>
      <c r="Z14" s="210">
        <v>127951.48000000003</v>
      </c>
    </row>
    <row r="15" spans="1:26" x14ac:dyDescent="0.25">
      <c r="A15" s="207" t="s">
        <v>49</v>
      </c>
      <c r="B15" s="112">
        <v>45783</v>
      </c>
      <c r="C15" s="109" t="s">
        <v>38</v>
      </c>
      <c r="D15" s="109" t="s">
        <v>31</v>
      </c>
      <c r="E15" s="109" t="s">
        <v>13</v>
      </c>
      <c r="F15" s="109" t="s">
        <v>28</v>
      </c>
      <c r="G15" s="109" t="s">
        <v>20</v>
      </c>
      <c r="H15" s="110">
        <v>76.709999999999994</v>
      </c>
      <c r="I15" s="109">
        <v>6</v>
      </c>
      <c r="J15" s="110">
        <v>460.26</v>
      </c>
      <c r="K15" t="str">
        <f t="shared" si="0"/>
        <v>Selasa</v>
      </c>
    </row>
    <row r="16" spans="1:26" ht="15.75" thickBot="1" x14ac:dyDescent="0.3">
      <c r="A16" s="207" t="s">
        <v>50</v>
      </c>
      <c r="B16" s="112">
        <v>45943</v>
      </c>
      <c r="C16" s="109" t="s">
        <v>17</v>
      </c>
      <c r="D16" s="109" t="s">
        <v>35</v>
      </c>
      <c r="E16" s="109" t="s">
        <v>45</v>
      </c>
      <c r="F16" s="109" t="s">
        <v>14</v>
      </c>
      <c r="G16" s="109" t="s">
        <v>15</v>
      </c>
      <c r="H16" s="110">
        <v>70</v>
      </c>
      <c r="I16" s="109">
        <v>8</v>
      </c>
      <c r="J16" s="110">
        <v>560</v>
      </c>
      <c r="K16" t="str">
        <f t="shared" si="0"/>
        <v>Senin</v>
      </c>
      <c r="X16" s="221" t="s">
        <v>1132</v>
      </c>
    </row>
    <row r="17" spans="1:34" x14ac:dyDescent="0.25">
      <c r="A17" s="207" t="s">
        <v>51</v>
      </c>
      <c r="B17" s="112">
        <v>45819</v>
      </c>
      <c r="C17" s="109" t="s">
        <v>34</v>
      </c>
      <c r="D17" s="109" t="s">
        <v>22</v>
      </c>
      <c r="E17" s="109" t="s">
        <v>23</v>
      </c>
      <c r="F17" s="109" t="s">
        <v>42</v>
      </c>
      <c r="G17" s="109" t="s">
        <v>20</v>
      </c>
      <c r="H17" s="110">
        <v>70.349999999999994</v>
      </c>
      <c r="I17" s="109">
        <v>13</v>
      </c>
      <c r="J17" s="110">
        <v>914.55</v>
      </c>
      <c r="K17" t="str">
        <f t="shared" si="0"/>
        <v>Rabu</v>
      </c>
      <c r="X17" s="217"/>
      <c r="Y17" s="217" t="s">
        <v>1126</v>
      </c>
      <c r="Z17" s="217" t="s">
        <v>1164</v>
      </c>
      <c r="AA17" s="217" t="s">
        <v>1127</v>
      </c>
      <c r="AB17" s="217" t="s">
        <v>1128</v>
      </c>
      <c r="AC17" s="217" t="s">
        <v>543</v>
      </c>
      <c r="AE17" s="214" t="s">
        <v>1097</v>
      </c>
      <c r="AF17" s="215" t="s">
        <v>1137</v>
      </c>
      <c r="AG17" s="215" t="s">
        <v>1135</v>
      </c>
      <c r="AH17" s="214" t="s">
        <v>1136</v>
      </c>
    </row>
    <row r="18" spans="1:34" ht="20.25" customHeight="1" x14ac:dyDescent="0.25">
      <c r="A18" s="207" t="s">
        <v>52</v>
      </c>
      <c r="B18" s="112">
        <v>45819</v>
      </c>
      <c r="C18" s="109" t="s">
        <v>17</v>
      </c>
      <c r="D18" s="109" t="s">
        <v>31</v>
      </c>
      <c r="E18" s="109" t="s">
        <v>41</v>
      </c>
      <c r="F18" s="109" t="s">
        <v>28</v>
      </c>
      <c r="G18" s="109" t="s">
        <v>36</v>
      </c>
      <c r="H18" s="110">
        <v>96.93</v>
      </c>
      <c r="I18" s="109">
        <v>7</v>
      </c>
      <c r="J18" s="110">
        <v>678.51</v>
      </c>
      <c r="K18" t="str">
        <f t="shared" si="0"/>
        <v>Rabu</v>
      </c>
      <c r="X18" s="219" t="s">
        <v>1126</v>
      </c>
      <c r="Y18" s="9">
        <v>1</v>
      </c>
      <c r="Z18" s="9"/>
      <c r="AA18" s="9"/>
      <c r="AB18" s="9"/>
      <c r="AC18" s="9"/>
      <c r="AE18" s="211">
        <v>1</v>
      </c>
      <c r="AF18" s="212" t="s">
        <v>1128</v>
      </c>
      <c r="AG18" s="212">
        <v>0.91140571470489606</v>
      </c>
      <c r="AH18" s="224" t="s">
        <v>1138</v>
      </c>
    </row>
    <row r="19" spans="1:34" ht="20.25" customHeight="1" x14ac:dyDescent="0.25">
      <c r="A19" s="207" t="s">
        <v>53</v>
      </c>
      <c r="B19" s="112">
        <v>45731</v>
      </c>
      <c r="C19" s="109" t="s">
        <v>30</v>
      </c>
      <c r="D19" s="109" t="s">
        <v>26</v>
      </c>
      <c r="E19" s="109" t="s">
        <v>27</v>
      </c>
      <c r="F19" s="109" t="s">
        <v>42</v>
      </c>
      <c r="G19" s="109" t="s">
        <v>20</v>
      </c>
      <c r="H19" s="110">
        <v>145.44999999999999</v>
      </c>
      <c r="I19" s="109">
        <v>9</v>
      </c>
      <c r="J19" s="110">
        <v>1309.05</v>
      </c>
      <c r="K19" t="str">
        <f t="shared" si="0"/>
        <v>Sabtu</v>
      </c>
      <c r="X19" s="219" t="s">
        <v>1164</v>
      </c>
      <c r="Y19" s="9">
        <v>0.46187783825856049</v>
      </c>
      <c r="Z19" s="9">
        <v>1</v>
      </c>
      <c r="AA19" s="9"/>
      <c r="AB19" s="9"/>
      <c r="AC19" s="9"/>
      <c r="AE19" s="211">
        <v>2</v>
      </c>
      <c r="AF19" s="212" t="s">
        <v>544</v>
      </c>
      <c r="AG19" s="212">
        <v>0.80517554848654782</v>
      </c>
      <c r="AH19" s="224" t="s">
        <v>1138</v>
      </c>
    </row>
    <row r="20" spans="1:34" ht="20.25" customHeight="1" x14ac:dyDescent="0.25">
      <c r="A20" s="207" t="s">
        <v>54</v>
      </c>
      <c r="B20" s="112">
        <v>45792</v>
      </c>
      <c r="C20" s="109" t="s">
        <v>38</v>
      </c>
      <c r="D20" s="109" t="s">
        <v>55</v>
      </c>
      <c r="E20" s="109" t="s">
        <v>41</v>
      </c>
      <c r="F20" s="109" t="s">
        <v>32</v>
      </c>
      <c r="G20" s="109" t="s">
        <v>15</v>
      </c>
      <c r="H20" s="110">
        <v>125.03</v>
      </c>
      <c r="I20" s="109">
        <v>19</v>
      </c>
      <c r="J20" s="110">
        <v>2375.5700000000002</v>
      </c>
      <c r="K20" t="str">
        <f t="shared" si="0"/>
        <v>Kamis</v>
      </c>
      <c r="X20" s="219" t="s">
        <v>1127</v>
      </c>
      <c r="Y20" s="9">
        <v>-9.963076597617937E-2</v>
      </c>
      <c r="Z20" s="9">
        <v>-0.27296926279904465</v>
      </c>
      <c r="AA20" s="9">
        <v>1</v>
      </c>
      <c r="AB20" s="9"/>
      <c r="AC20" s="9"/>
      <c r="AE20" s="211">
        <v>3</v>
      </c>
      <c r="AF20" s="212" t="s">
        <v>1131</v>
      </c>
      <c r="AG20" s="212">
        <v>0.50821678306819895</v>
      </c>
      <c r="AH20" s="213" t="s">
        <v>1139</v>
      </c>
    </row>
    <row r="21" spans="1:34" ht="20.25" customHeight="1" x14ac:dyDescent="0.25">
      <c r="A21" s="207" t="s">
        <v>56</v>
      </c>
      <c r="B21" s="112">
        <v>45728</v>
      </c>
      <c r="C21" s="109" t="s">
        <v>38</v>
      </c>
      <c r="D21" s="109" t="s">
        <v>22</v>
      </c>
      <c r="E21" s="109" t="s">
        <v>45</v>
      </c>
      <c r="F21" s="109" t="s">
        <v>39</v>
      </c>
      <c r="G21" s="109" t="s">
        <v>15</v>
      </c>
      <c r="H21" s="110">
        <v>94.07</v>
      </c>
      <c r="I21" s="109">
        <v>17</v>
      </c>
      <c r="J21" s="110">
        <v>1599.19</v>
      </c>
      <c r="K21" t="str">
        <f t="shared" si="0"/>
        <v>Rabu</v>
      </c>
      <c r="X21" s="219" t="s">
        <v>1128</v>
      </c>
      <c r="Y21" s="9">
        <v>0.27768041614142364</v>
      </c>
      <c r="Z21" s="9">
        <v>-0.37507134848077039</v>
      </c>
      <c r="AA21" s="9">
        <v>0.86118782217094458</v>
      </c>
      <c r="AB21" s="9">
        <v>1</v>
      </c>
      <c r="AC21" s="9"/>
      <c r="AE21" s="211">
        <v>4</v>
      </c>
      <c r="AF21" s="212" t="s">
        <v>1116</v>
      </c>
      <c r="AG21" s="212">
        <v>3.7296789170110339E-2</v>
      </c>
      <c r="AH21" s="213" t="s">
        <v>1140</v>
      </c>
    </row>
    <row r="22" spans="1:34" ht="20.25" customHeight="1" thickBot="1" x14ac:dyDescent="0.3">
      <c r="A22" s="207" t="s">
        <v>57</v>
      </c>
      <c r="B22" s="112">
        <v>45736</v>
      </c>
      <c r="C22" s="109" t="s">
        <v>17</v>
      </c>
      <c r="D22" s="109" t="s">
        <v>31</v>
      </c>
      <c r="E22" s="109" t="s">
        <v>18</v>
      </c>
      <c r="F22" s="109" t="s">
        <v>19</v>
      </c>
      <c r="G22" s="109" t="s">
        <v>36</v>
      </c>
      <c r="H22" s="110">
        <v>164.61</v>
      </c>
      <c r="I22" s="109">
        <v>6</v>
      </c>
      <c r="J22" s="110">
        <v>987.66</v>
      </c>
      <c r="K22" t="str">
        <f t="shared" si="0"/>
        <v>Kamis</v>
      </c>
      <c r="X22" s="220" t="s">
        <v>543</v>
      </c>
      <c r="Y22" s="216">
        <v>0.50821678306819895</v>
      </c>
      <c r="Z22" s="216">
        <v>3.7296789170110339E-2</v>
      </c>
      <c r="AA22" s="216">
        <v>0.80517554848654782</v>
      </c>
      <c r="AB22" s="216">
        <v>0.91140571470489606</v>
      </c>
      <c r="AC22" s="216">
        <v>1</v>
      </c>
    </row>
    <row r="23" spans="1:34" x14ac:dyDescent="0.25">
      <c r="A23" s="207" t="s">
        <v>58</v>
      </c>
      <c r="B23" s="112">
        <v>45853</v>
      </c>
      <c r="C23" s="109" t="s">
        <v>38</v>
      </c>
      <c r="D23" s="109" t="s">
        <v>55</v>
      </c>
      <c r="E23" s="109" t="s">
        <v>13</v>
      </c>
      <c r="F23" s="109" t="s">
        <v>42</v>
      </c>
      <c r="G23" s="109" t="s">
        <v>15</v>
      </c>
      <c r="H23" s="110">
        <v>60.69</v>
      </c>
      <c r="I23" s="109">
        <v>20</v>
      </c>
      <c r="J23" s="110">
        <v>1213.8</v>
      </c>
      <c r="K23" t="str">
        <f t="shared" si="0"/>
        <v>Selasa</v>
      </c>
      <c r="Y23" s="86"/>
      <c r="Z23" s="86"/>
      <c r="AC23" s="86"/>
    </row>
    <row r="24" spans="1:34" x14ac:dyDescent="0.25">
      <c r="A24" s="207" t="s">
        <v>59</v>
      </c>
      <c r="B24" s="112">
        <v>46006</v>
      </c>
      <c r="C24" s="109" t="s">
        <v>17</v>
      </c>
      <c r="D24" s="109" t="s">
        <v>55</v>
      </c>
      <c r="E24" s="109" t="s">
        <v>13</v>
      </c>
      <c r="F24" s="109" t="s">
        <v>39</v>
      </c>
      <c r="G24" s="109" t="s">
        <v>20</v>
      </c>
      <c r="H24" s="110">
        <v>94.27</v>
      </c>
      <c r="I24" s="109">
        <v>4</v>
      </c>
      <c r="J24" s="110">
        <v>377.08</v>
      </c>
      <c r="K24" t="str">
        <f t="shared" si="0"/>
        <v>Senin</v>
      </c>
      <c r="Y24" s="86"/>
      <c r="Z24" s="86"/>
      <c r="AC24" s="86"/>
    </row>
    <row r="25" spans="1:34" ht="21" customHeight="1" x14ac:dyDescent="0.25">
      <c r="A25" s="207" t="s">
        <v>60</v>
      </c>
      <c r="B25" s="112">
        <v>45832</v>
      </c>
      <c r="C25" s="109" t="s">
        <v>34</v>
      </c>
      <c r="D25" s="109" t="s">
        <v>31</v>
      </c>
      <c r="E25" s="109" t="s">
        <v>23</v>
      </c>
      <c r="F25" s="109" t="s">
        <v>61</v>
      </c>
      <c r="G25" s="109" t="s">
        <v>15</v>
      </c>
      <c r="H25" s="110">
        <v>110.6</v>
      </c>
      <c r="I25" s="109">
        <v>4</v>
      </c>
      <c r="J25" s="110">
        <v>442.4</v>
      </c>
      <c r="K25" t="str">
        <f t="shared" si="0"/>
        <v>Selasa</v>
      </c>
      <c r="X25" s="222" t="s">
        <v>1165</v>
      </c>
      <c r="AC25" s="86"/>
    </row>
    <row r="26" spans="1:34" x14ac:dyDescent="0.25">
      <c r="A26" s="207" t="s">
        <v>62</v>
      </c>
      <c r="B26" s="112">
        <v>45792</v>
      </c>
      <c r="C26" s="109" t="s">
        <v>30</v>
      </c>
      <c r="D26" s="109" t="s">
        <v>55</v>
      </c>
      <c r="E26" s="109" t="s">
        <v>45</v>
      </c>
      <c r="F26" s="109" t="s">
        <v>39</v>
      </c>
      <c r="G26" s="109" t="s">
        <v>20</v>
      </c>
      <c r="H26" s="110">
        <v>130.34</v>
      </c>
      <c r="I26" s="109">
        <v>17</v>
      </c>
      <c r="J26" s="110">
        <v>2215.7800000000002</v>
      </c>
      <c r="K26" t="str">
        <f t="shared" si="0"/>
        <v>Kamis</v>
      </c>
      <c r="X26" t="s">
        <v>1141</v>
      </c>
    </row>
    <row r="27" spans="1:34" ht="15.75" thickBot="1" x14ac:dyDescent="0.3">
      <c r="A27" s="207" t="s">
        <v>63</v>
      </c>
      <c r="B27" s="112">
        <v>45810</v>
      </c>
      <c r="C27" s="109" t="s">
        <v>25</v>
      </c>
      <c r="D27" s="109" t="s">
        <v>26</v>
      </c>
      <c r="E27" s="109" t="s">
        <v>23</v>
      </c>
      <c r="F27" s="109" t="s">
        <v>32</v>
      </c>
      <c r="G27" s="109" t="s">
        <v>15</v>
      </c>
      <c r="H27" s="110">
        <v>202.74</v>
      </c>
      <c r="I27" s="109">
        <v>17</v>
      </c>
      <c r="J27" s="110">
        <v>3446.58</v>
      </c>
      <c r="K27" t="str">
        <f t="shared" si="0"/>
        <v>Senin</v>
      </c>
    </row>
    <row r="28" spans="1:34" x14ac:dyDescent="0.25">
      <c r="A28" s="207" t="s">
        <v>64</v>
      </c>
      <c r="B28" s="112">
        <v>45934</v>
      </c>
      <c r="C28" s="109" t="s">
        <v>11</v>
      </c>
      <c r="D28" s="109" t="s">
        <v>55</v>
      </c>
      <c r="E28" s="109" t="s">
        <v>13</v>
      </c>
      <c r="F28" s="109" t="s">
        <v>61</v>
      </c>
      <c r="G28" s="109" t="s">
        <v>15</v>
      </c>
      <c r="H28" s="110">
        <v>73.930000000000007</v>
      </c>
      <c r="I28" s="109">
        <v>17</v>
      </c>
      <c r="J28" s="110">
        <v>1256.81</v>
      </c>
      <c r="K28" t="str">
        <f t="shared" si="0"/>
        <v>Sabtu</v>
      </c>
      <c r="X28" s="218" t="s">
        <v>1142</v>
      </c>
      <c r="Y28" s="218"/>
    </row>
    <row r="29" spans="1:34" x14ac:dyDescent="0.25">
      <c r="A29" s="207" t="s">
        <v>65</v>
      </c>
      <c r="B29" s="112">
        <v>45715</v>
      </c>
      <c r="C29" s="109" t="s">
        <v>34</v>
      </c>
      <c r="D29" s="109" t="s">
        <v>26</v>
      </c>
      <c r="E29" s="109" t="s">
        <v>45</v>
      </c>
      <c r="F29" s="109" t="s">
        <v>14</v>
      </c>
      <c r="G29" s="109" t="s">
        <v>20</v>
      </c>
      <c r="H29" s="110">
        <v>143.13</v>
      </c>
      <c r="I29" s="109">
        <v>12</v>
      </c>
      <c r="J29" s="110">
        <v>1717.56</v>
      </c>
      <c r="K29" t="str">
        <f t="shared" si="0"/>
        <v>Kamis</v>
      </c>
      <c r="X29" s="9" t="s">
        <v>1143</v>
      </c>
      <c r="Y29" s="9">
        <v>0.91140571470489606</v>
      </c>
    </row>
    <row r="30" spans="1:34" x14ac:dyDescent="0.25">
      <c r="A30" s="207" t="s">
        <v>66</v>
      </c>
      <c r="B30" s="112">
        <v>45698</v>
      </c>
      <c r="C30" s="109" t="s">
        <v>17</v>
      </c>
      <c r="D30" s="109" t="s">
        <v>31</v>
      </c>
      <c r="E30" s="109" t="s">
        <v>45</v>
      </c>
      <c r="F30" s="109" t="s">
        <v>39</v>
      </c>
      <c r="G30" s="109" t="s">
        <v>20</v>
      </c>
      <c r="H30" s="110">
        <v>160.33000000000001</v>
      </c>
      <c r="I30" s="109">
        <v>3</v>
      </c>
      <c r="J30" s="110">
        <v>480.99</v>
      </c>
      <c r="K30" t="str">
        <f t="shared" si="0"/>
        <v>Senin</v>
      </c>
      <c r="X30" s="9" t="s">
        <v>1144</v>
      </c>
      <c r="Y30" s="9">
        <v>0.83066037679674243</v>
      </c>
    </row>
    <row r="31" spans="1:34" x14ac:dyDescent="0.25">
      <c r="A31" s="207" t="s">
        <v>67</v>
      </c>
      <c r="B31" s="112">
        <v>45722</v>
      </c>
      <c r="C31" s="109" t="s">
        <v>17</v>
      </c>
      <c r="D31" s="109" t="s">
        <v>31</v>
      </c>
      <c r="E31" s="109" t="s">
        <v>18</v>
      </c>
      <c r="F31" s="109" t="s">
        <v>14</v>
      </c>
      <c r="G31" s="109" t="s">
        <v>36</v>
      </c>
      <c r="H31" s="110">
        <v>40.22</v>
      </c>
      <c r="I31" s="109">
        <v>5</v>
      </c>
      <c r="J31" s="110">
        <v>201.1</v>
      </c>
      <c r="K31" t="str">
        <f t="shared" si="0"/>
        <v>Kamis</v>
      </c>
      <c r="X31" s="9" t="s">
        <v>1145</v>
      </c>
      <c r="Y31" s="9">
        <v>0.81372641447641669</v>
      </c>
    </row>
    <row r="32" spans="1:34" x14ac:dyDescent="0.25">
      <c r="A32" s="207" t="s">
        <v>68</v>
      </c>
      <c r="B32" s="112">
        <v>45928</v>
      </c>
      <c r="C32" s="109" t="s">
        <v>38</v>
      </c>
      <c r="D32" s="109" t="s">
        <v>26</v>
      </c>
      <c r="E32" s="109" t="s">
        <v>18</v>
      </c>
      <c r="F32" s="109" t="s">
        <v>39</v>
      </c>
      <c r="G32" s="109" t="s">
        <v>20</v>
      </c>
      <c r="H32" s="110">
        <v>163.66</v>
      </c>
      <c r="I32" s="109">
        <v>20</v>
      </c>
      <c r="J32" s="110">
        <v>3273.2</v>
      </c>
      <c r="K32" t="str">
        <f t="shared" si="0"/>
        <v>Minggu</v>
      </c>
      <c r="X32" s="9" t="s">
        <v>1146</v>
      </c>
      <c r="Y32" s="9">
        <v>6839.538239783873</v>
      </c>
    </row>
    <row r="33" spans="1:32" ht="15.75" thickBot="1" x14ac:dyDescent="0.3">
      <c r="A33" s="207" t="s">
        <v>69</v>
      </c>
      <c r="B33" s="112">
        <v>46011</v>
      </c>
      <c r="C33" s="109" t="s">
        <v>17</v>
      </c>
      <c r="D33" s="109" t="s">
        <v>35</v>
      </c>
      <c r="E33" s="109" t="s">
        <v>41</v>
      </c>
      <c r="F33" s="109" t="s">
        <v>28</v>
      </c>
      <c r="G33" s="109" t="s">
        <v>20</v>
      </c>
      <c r="H33" s="110">
        <v>67.52</v>
      </c>
      <c r="I33" s="109">
        <v>7</v>
      </c>
      <c r="J33" s="110">
        <v>472.64</v>
      </c>
      <c r="K33" t="str">
        <f t="shared" si="0"/>
        <v>Sabtu</v>
      </c>
      <c r="X33" s="216" t="s">
        <v>1147</v>
      </c>
      <c r="Y33" s="216">
        <v>12</v>
      </c>
    </row>
    <row r="34" spans="1:32" x14ac:dyDescent="0.25">
      <c r="A34" s="207" t="s">
        <v>70</v>
      </c>
      <c r="B34" s="112">
        <v>45849</v>
      </c>
      <c r="C34" s="109" t="s">
        <v>25</v>
      </c>
      <c r="D34" s="109" t="s">
        <v>31</v>
      </c>
      <c r="E34" s="109" t="s">
        <v>45</v>
      </c>
      <c r="F34" s="109" t="s">
        <v>14</v>
      </c>
      <c r="G34" s="109" t="s">
        <v>15</v>
      </c>
      <c r="H34" s="110">
        <v>44.31</v>
      </c>
      <c r="I34" s="109">
        <v>15</v>
      </c>
      <c r="J34" s="110">
        <v>664.65</v>
      </c>
      <c r="K34" t="str">
        <f t="shared" si="0"/>
        <v>Jumat</v>
      </c>
    </row>
    <row r="35" spans="1:32" ht="15.75" thickBot="1" x14ac:dyDescent="0.3">
      <c r="A35" s="207" t="s">
        <v>71</v>
      </c>
      <c r="B35" s="112">
        <v>45690</v>
      </c>
      <c r="C35" s="109" t="s">
        <v>11</v>
      </c>
      <c r="D35" s="109" t="s">
        <v>55</v>
      </c>
      <c r="E35" s="109" t="s">
        <v>18</v>
      </c>
      <c r="F35" s="109" t="s">
        <v>14</v>
      </c>
      <c r="G35" s="109" t="s">
        <v>20</v>
      </c>
      <c r="H35" s="110">
        <v>238.75</v>
      </c>
      <c r="I35" s="109">
        <v>11</v>
      </c>
      <c r="J35" s="110">
        <v>2626.25</v>
      </c>
      <c r="K35" t="str">
        <f t="shared" si="0"/>
        <v>Minggu</v>
      </c>
      <c r="X35" t="s">
        <v>1148</v>
      </c>
    </row>
    <row r="36" spans="1:32" x14ac:dyDescent="0.25">
      <c r="A36" s="207" t="s">
        <v>72</v>
      </c>
      <c r="B36" s="112">
        <v>45770</v>
      </c>
      <c r="C36" s="109" t="s">
        <v>11</v>
      </c>
      <c r="D36" s="109" t="s">
        <v>12</v>
      </c>
      <c r="E36" s="109" t="s">
        <v>27</v>
      </c>
      <c r="F36" s="109" t="s">
        <v>19</v>
      </c>
      <c r="G36" s="109" t="s">
        <v>15</v>
      </c>
      <c r="H36" s="110">
        <v>242.44</v>
      </c>
      <c r="I36" s="109">
        <v>1</v>
      </c>
      <c r="J36" s="110">
        <v>242.44</v>
      </c>
      <c r="K36" t="str">
        <f t="shared" si="0"/>
        <v>Rabu</v>
      </c>
      <c r="X36" s="217"/>
      <c r="Y36" s="217" t="s">
        <v>1152</v>
      </c>
      <c r="Z36" s="217" t="s">
        <v>1153</v>
      </c>
      <c r="AA36" s="217" t="s">
        <v>1154</v>
      </c>
      <c r="AB36" s="217" t="s">
        <v>1155</v>
      </c>
      <c r="AC36" s="217" t="s">
        <v>1156</v>
      </c>
    </row>
    <row r="37" spans="1:32" x14ac:dyDescent="0.25">
      <c r="A37" s="207" t="s">
        <v>73</v>
      </c>
      <c r="B37" s="112">
        <v>45692</v>
      </c>
      <c r="C37" s="109" t="s">
        <v>34</v>
      </c>
      <c r="D37" s="109" t="s">
        <v>22</v>
      </c>
      <c r="E37" s="109" t="s">
        <v>18</v>
      </c>
      <c r="F37" s="109" t="s">
        <v>14</v>
      </c>
      <c r="G37" s="109" t="s">
        <v>36</v>
      </c>
      <c r="H37" s="110">
        <v>207.85</v>
      </c>
      <c r="I37" s="109">
        <v>2</v>
      </c>
      <c r="J37" s="110">
        <v>415.7</v>
      </c>
      <c r="K37" t="str">
        <f t="shared" si="0"/>
        <v>Selasa</v>
      </c>
      <c r="X37" s="9" t="s">
        <v>1149</v>
      </c>
      <c r="Y37" s="9">
        <v>1</v>
      </c>
      <c r="Z37" s="9">
        <v>2294660657.9735684</v>
      </c>
      <c r="AA37" s="9">
        <v>2294660657.9735684</v>
      </c>
      <c r="AB37" s="9">
        <v>49.052924595190824</v>
      </c>
      <c r="AC37" s="9">
        <v>3.6986973540682844E-5</v>
      </c>
    </row>
    <row r="38" spans="1:32" x14ac:dyDescent="0.25">
      <c r="A38" s="207" t="s">
        <v>74</v>
      </c>
      <c r="B38" s="112">
        <v>46000</v>
      </c>
      <c r="C38" s="109" t="s">
        <v>30</v>
      </c>
      <c r="D38" s="109" t="s">
        <v>55</v>
      </c>
      <c r="E38" s="109" t="s">
        <v>23</v>
      </c>
      <c r="F38" s="109" t="s">
        <v>28</v>
      </c>
      <c r="G38" s="109" t="s">
        <v>20</v>
      </c>
      <c r="H38" s="110">
        <v>97.02</v>
      </c>
      <c r="I38" s="109">
        <v>16</v>
      </c>
      <c r="J38" s="110">
        <v>1552.32</v>
      </c>
      <c r="K38" t="str">
        <f t="shared" si="0"/>
        <v>Selasa</v>
      </c>
      <c r="X38" s="9" t="s">
        <v>1150</v>
      </c>
      <c r="Y38" s="9">
        <v>10</v>
      </c>
      <c r="Z38" s="9">
        <v>467792833.33465874</v>
      </c>
      <c r="AA38" s="9">
        <v>46779283.333465874</v>
      </c>
      <c r="AB38" s="9"/>
      <c r="AC38" s="9"/>
    </row>
    <row r="39" spans="1:32" ht="15.75" thickBot="1" x14ac:dyDescent="0.3">
      <c r="A39" s="207" t="s">
        <v>75</v>
      </c>
      <c r="B39" s="112">
        <v>45953</v>
      </c>
      <c r="C39" s="109" t="s">
        <v>30</v>
      </c>
      <c r="D39" s="109" t="s">
        <v>31</v>
      </c>
      <c r="E39" s="109" t="s">
        <v>41</v>
      </c>
      <c r="F39" s="109" t="s">
        <v>14</v>
      </c>
      <c r="G39" s="109" t="s">
        <v>15</v>
      </c>
      <c r="H39" s="110">
        <v>51.49</v>
      </c>
      <c r="I39" s="109">
        <v>16</v>
      </c>
      <c r="J39" s="110">
        <v>823.84</v>
      </c>
      <c r="K39" t="str">
        <f t="shared" si="0"/>
        <v>Kamis</v>
      </c>
      <c r="X39" s="216" t="s">
        <v>1065</v>
      </c>
      <c r="Y39" s="216">
        <v>11</v>
      </c>
      <c r="Z39" s="216">
        <v>2762453491.3082271</v>
      </c>
      <c r="AA39" s="216"/>
      <c r="AB39" s="216"/>
      <c r="AC39" s="216"/>
    </row>
    <row r="40" spans="1:32" ht="15.75" thickBot="1" x14ac:dyDescent="0.3">
      <c r="A40" s="207" t="s">
        <v>76</v>
      </c>
      <c r="B40" s="112">
        <v>45707</v>
      </c>
      <c r="C40" s="109" t="s">
        <v>34</v>
      </c>
      <c r="D40" s="109" t="s">
        <v>31</v>
      </c>
      <c r="E40" s="109" t="s">
        <v>41</v>
      </c>
      <c r="F40" s="109" t="s">
        <v>61</v>
      </c>
      <c r="G40" s="109" t="s">
        <v>20</v>
      </c>
      <c r="H40" s="110">
        <v>180.53</v>
      </c>
      <c r="I40" s="109">
        <v>14</v>
      </c>
      <c r="J40" s="110">
        <v>2527.42</v>
      </c>
      <c r="K40" t="str">
        <f t="shared" si="0"/>
        <v>Rabu</v>
      </c>
    </row>
    <row r="41" spans="1:32" x14ac:dyDescent="0.25">
      <c r="A41" s="207" t="s">
        <v>77</v>
      </c>
      <c r="B41" s="112">
        <v>45685</v>
      </c>
      <c r="C41" s="109" t="s">
        <v>11</v>
      </c>
      <c r="D41" s="109" t="s">
        <v>31</v>
      </c>
      <c r="E41" s="109" t="s">
        <v>27</v>
      </c>
      <c r="F41" s="109" t="s">
        <v>32</v>
      </c>
      <c r="G41" s="109" t="s">
        <v>15</v>
      </c>
      <c r="H41" s="110">
        <v>126.83</v>
      </c>
      <c r="I41" s="109">
        <v>4</v>
      </c>
      <c r="J41" s="110">
        <v>507.32</v>
      </c>
      <c r="K41" t="str">
        <f t="shared" si="0"/>
        <v>Selasa</v>
      </c>
      <c r="X41" s="217"/>
      <c r="Y41" s="217" t="s">
        <v>1157</v>
      </c>
      <c r="Z41" s="217" t="s">
        <v>1146</v>
      </c>
      <c r="AA41" s="217" t="s">
        <v>1158</v>
      </c>
      <c r="AB41" s="217" t="s">
        <v>1159</v>
      </c>
      <c r="AC41" s="217" t="s">
        <v>1160</v>
      </c>
      <c r="AD41" s="217" t="s">
        <v>1161</v>
      </c>
      <c r="AE41" s="217" t="s">
        <v>1162</v>
      </c>
      <c r="AF41" s="217" t="s">
        <v>1163</v>
      </c>
    </row>
    <row r="42" spans="1:32" x14ac:dyDescent="0.25">
      <c r="A42" s="207" t="s">
        <v>78</v>
      </c>
      <c r="B42" s="112">
        <v>45785</v>
      </c>
      <c r="C42" s="109" t="s">
        <v>30</v>
      </c>
      <c r="D42" s="109" t="s">
        <v>55</v>
      </c>
      <c r="E42" s="109" t="s">
        <v>41</v>
      </c>
      <c r="F42" s="109" t="s">
        <v>14</v>
      </c>
      <c r="G42" s="109" t="s">
        <v>36</v>
      </c>
      <c r="H42" s="110">
        <v>56.85</v>
      </c>
      <c r="I42" s="109">
        <v>7</v>
      </c>
      <c r="J42" s="110">
        <v>397.95</v>
      </c>
      <c r="K42" t="str">
        <f t="shared" si="0"/>
        <v>Kamis</v>
      </c>
      <c r="X42" s="9" t="s">
        <v>1151</v>
      </c>
      <c r="Y42" s="9">
        <v>18111.753945625242</v>
      </c>
      <c r="Z42" s="9">
        <v>14915.035419664273</v>
      </c>
      <c r="AA42" s="9">
        <v>1.2143285909831869</v>
      </c>
      <c r="AB42" s="9">
        <v>0.25251956714227786</v>
      </c>
      <c r="AC42" s="9">
        <v>-15121.015951680129</v>
      </c>
      <c r="AD42" s="9">
        <v>51344.523842930612</v>
      </c>
      <c r="AE42" s="9">
        <v>-15121.015951680129</v>
      </c>
      <c r="AF42" s="9">
        <v>51344.523842930612</v>
      </c>
    </row>
    <row r="43" spans="1:32" ht="15.75" thickBot="1" x14ac:dyDescent="0.3">
      <c r="A43" s="207" t="s">
        <v>79</v>
      </c>
      <c r="B43" s="112">
        <v>45751</v>
      </c>
      <c r="C43" s="109" t="s">
        <v>38</v>
      </c>
      <c r="D43" s="109" t="s">
        <v>26</v>
      </c>
      <c r="E43" s="109" t="s">
        <v>45</v>
      </c>
      <c r="F43" s="109" t="s">
        <v>61</v>
      </c>
      <c r="G43" s="109" t="s">
        <v>20</v>
      </c>
      <c r="H43" s="110">
        <v>138.94</v>
      </c>
      <c r="I43" s="109">
        <v>9</v>
      </c>
      <c r="J43" s="110">
        <v>1250.46</v>
      </c>
      <c r="K43" t="str">
        <f t="shared" si="0"/>
        <v>Jumat</v>
      </c>
      <c r="X43" s="223" t="s">
        <v>1128</v>
      </c>
      <c r="Y43" s="216">
        <v>116.65642499788724</v>
      </c>
      <c r="Z43" s="216">
        <v>16.656210863841984</v>
      </c>
      <c r="AA43" s="216">
        <v>7.0037793080015582</v>
      </c>
      <c r="AB43" s="216">
        <v>3.6986973540682905E-5</v>
      </c>
      <c r="AC43" s="216">
        <v>79.544074445285048</v>
      </c>
      <c r="AD43" s="216">
        <v>153.76877555048944</v>
      </c>
      <c r="AE43" s="216">
        <v>79.544074445285048</v>
      </c>
      <c r="AF43" s="216">
        <v>153.76877555048944</v>
      </c>
    </row>
    <row r="44" spans="1:32" x14ac:dyDescent="0.25">
      <c r="A44" s="207" t="s">
        <v>80</v>
      </c>
      <c r="B44" s="112">
        <v>45708</v>
      </c>
      <c r="C44" s="109" t="s">
        <v>17</v>
      </c>
      <c r="D44" s="109" t="s">
        <v>55</v>
      </c>
      <c r="E44" s="109" t="s">
        <v>45</v>
      </c>
      <c r="F44" s="109" t="s">
        <v>19</v>
      </c>
      <c r="G44" s="109" t="s">
        <v>15</v>
      </c>
      <c r="H44" s="110">
        <v>37.57</v>
      </c>
      <c r="I44" s="109">
        <v>2</v>
      </c>
      <c r="J44" s="110">
        <v>75.14</v>
      </c>
      <c r="K44" t="str">
        <f t="shared" si="0"/>
        <v>Kamis</v>
      </c>
    </row>
    <row r="45" spans="1:32" x14ac:dyDescent="0.25">
      <c r="A45" s="207" t="s">
        <v>81</v>
      </c>
      <c r="B45" s="112">
        <v>45743</v>
      </c>
      <c r="C45" s="109" t="s">
        <v>38</v>
      </c>
      <c r="D45" s="109" t="s">
        <v>31</v>
      </c>
      <c r="E45" s="109" t="s">
        <v>23</v>
      </c>
      <c r="F45" s="109" t="s">
        <v>39</v>
      </c>
      <c r="G45" s="109" t="s">
        <v>36</v>
      </c>
      <c r="H45" s="110">
        <v>230.05</v>
      </c>
      <c r="I45" s="109">
        <v>14</v>
      </c>
      <c r="J45" s="110">
        <v>3220.7</v>
      </c>
      <c r="K45" t="str">
        <f t="shared" si="0"/>
        <v>Kamis</v>
      </c>
      <c r="X45" t="s">
        <v>1141</v>
      </c>
    </row>
    <row r="46" spans="1:32" ht="15.75" thickBot="1" x14ac:dyDescent="0.3">
      <c r="A46" s="207" t="s">
        <v>82</v>
      </c>
      <c r="B46" s="112">
        <v>45688</v>
      </c>
      <c r="C46" s="109" t="s">
        <v>38</v>
      </c>
      <c r="D46" s="109" t="s">
        <v>22</v>
      </c>
      <c r="E46" s="109" t="s">
        <v>41</v>
      </c>
      <c r="F46" s="109" t="s">
        <v>32</v>
      </c>
      <c r="G46" s="109" t="s">
        <v>36</v>
      </c>
      <c r="H46" s="110">
        <v>86.93</v>
      </c>
      <c r="I46" s="109">
        <v>6</v>
      </c>
      <c r="J46" s="110">
        <v>521.58000000000004</v>
      </c>
      <c r="K46" t="str">
        <f t="shared" si="0"/>
        <v>Jumat</v>
      </c>
    </row>
    <row r="47" spans="1:32" x14ac:dyDescent="0.25">
      <c r="A47" s="207" t="s">
        <v>83</v>
      </c>
      <c r="B47" s="112">
        <v>45804</v>
      </c>
      <c r="C47" s="109" t="s">
        <v>17</v>
      </c>
      <c r="D47" s="109" t="s">
        <v>12</v>
      </c>
      <c r="E47" s="109" t="s">
        <v>18</v>
      </c>
      <c r="F47" s="109" t="s">
        <v>28</v>
      </c>
      <c r="G47" s="109" t="s">
        <v>20</v>
      </c>
      <c r="H47" s="110">
        <v>175.75</v>
      </c>
      <c r="I47" s="109">
        <v>14</v>
      </c>
      <c r="J47" s="110">
        <v>2460.5</v>
      </c>
      <c r="K47" t="str">
        <f t="shared" si="0"/>
        <v>Selasa</v>
      </c>
      <c r="X47" s="218" t="s">
        <v>1142</v>
      </c>
      <c r="Y47" s="218"/>
    </row>
    <row r="48" spans="1:32" x14ac:dyDescent="0.25">
      <c r="A48" s="207" t="s">
        <v>84</v>
      </c>
      <c r="B48" s="112">
        <v>45907</v>
      </c>
      <c r="C48" s="109" t="s">
        <v>30</v>
      </c>
      <c r="D48" s="109" t="s">
        <v>35</v>
      </c>
      <c r="E48" s="109" t="s">
        <v>23</v>
      </c>
      <c r="F48" s="109" t="s">
        <v>19</v>
      </c>
      <c r="G48" s="109" t="s">
        <v>20</v>
      </c>
      <c r="H48" s="110">
        <v>98.58</v>
      </c>
      <c r="I48" s="109">
        <v>5</v>
      </c>
      <c r="J48" s="110">
        <v>492.9</v>
      </c>
      <c r="K48" t="str">
        <f t="shared" si="0"/>
        <v>Minggu</v>
      </c>
      <c r="X48" s="9" t="s">
        <v>1143</v>
      </c>
      <c r="Y48" s="9">
        <v>0.80517554848654793</v>
      </c>
    </row>
    <row r="49" spans="1:32" x14ac:dyDescent="0.25">
      <c r="A49" s="207" t="s">
        <v>85</v>
      </c>
      <c r="B49" s="112">
        <v>45935</v>
      </c>
      <c r="C49" s="109" t="s">
        <v>17</v>
      </c>
      <c r="D49" s="109" t="s">
        <v>35</v>
      </c>
      <c r="E49" s="109" t="s">
        <v>45</v>
      </c>
      <c r="F49" s="109" t="s">
        <v>19</v>
      </c>
      <c r="G49" s="109" t="s">
        <v>20</v>
      </c>
      <c r="H49" s="110">
        <v>144.41</v>
      </c>
      <c r="I49" s="109">
        <v>2</v>
      </c>
      <c r="J49" s="110">
        <v>288.82</v>
      </c>
      <c r="K49" t="str">
        <f t="shared" si="0"/>
        <v>Minggu</v>
      </c>
      <c r="X49" s="9" t="s">
        <v>1144</v>
      </c>
      <c r="Y49" s="9">
        <v>0.64830766388061323</v>
      </c>
    </row>
    <row r="50" spans="1:32" x14ac:dyDescent="0.25">
      <c r="A50" s="207" t="s">
        <v>86</v>
      </c>
      <c r="B50" s="112">
        <v>45902</v>
      </c>
      <c r="C50" s="109" t="s">
        <v>25</v>
      </c>
      <c r="D50" s="109" t="s">
        <v>26</v>
      </c>
      <c r="E50" s="109" t="s">
        <v>45</v>
      </c>
      <c r="F50" s="109" t="s">
        <v>42</v>
      </c>
      <c r="G50" s="109" t="s">
        <v>15</v>
      </c>
      <c r="H50" s="110">
        <v>150.28</v>
      </c>
      <c r="I50" s="109">
        <v>17</v>
      </c>
      <c r="J50" s="110">
        <v>2554.7600000000002</v>
      </c>
      <c r="K50" t="str">
        <f t="shared" si="0"/>
        <v>Selasa</v>
      </c>
      <c r="X50" s="9" t="s">
        <v>1145</v>
      </c>
      <c r="Y50" s="9">
        <v>0.61313843026867454</v>
      </c>
    </row>
    <row r="51" spans="1:32" x14ac:dyDescent="0.25">
      <c r="A51" s="207" t="s">
        <v>87</v>
      </c>
      <c r="B51" s="112">
        <v>45753</v>
      </c>
      <c r="C51" s="109" t="s">
        <v>25</v>
      </c>
      <c r="D51" s="109" t="s">
        <v>22</v>
      </c>
      <c r="E51" s="109" t="s">
        <v>27</v>
      </c>
      <c r="F51" s="109" t="s">
        <v>39</v>
      </c>
      <c r="G51" s="109" t="s">
        <v>15</v>
      </c>
      <c r="H51" s="110">
        <v>70.67</v>
      </c>
      <c r="I51" s="109">
        <v>3</v>
      </c>
      <c r="J51" s="110">
        <v>212.01</v>
      </c>
      <c r="K51" t="str">
        <f t="shared" si="0"/>
        <v>Minggu</v>
      </c>
      <c r="X51" s="9" t="s">
        <v>1146</v>
      </c>
      <c r="Y51" s="9">
        <v>9856.6410190254282</v>
      </c>
    </row>
    <row r="52" spans="1:32" ht="15.75" thickBot="1" x14ac:dyDescent="0.3">
      <c r="A52" s="207" t="s">
        <v>88</v>
      </c>
      <c r="B52" s="112">
        <v>45864</v>
      </c>
      <c r="C52" s="109" t="s">
        <v>25</v>
      </c>
      <c r="D52" s="109" t="s">
        <v>26</v>
      </c>
      <c r="E52" s="109" t="s">
        <v>18</v>
      </c>
      <c r="F52" s="109" t="s">
        <v>42</v>
      </c>
      <c r="G52" s="109" t="s">
        <v>15</v>
      </c>
      <c r="H52" s="110">
        <v>243.31</v>
      </c>
      <c r="I52" s="109">
        <v>4</v>
      </c>
      <c r="J52" s="110">
        <v>973.24</v>
      </c>
      <c r="K52" t="str">
        <f t="shared" si="0"/>
        <v>Sabtu</v>
      </c>
      <c r="X52" s="216" t="s">
        <v>1147</v>
      </c>
      <c r="Y52" s="216">
        <v>12</v>
      </c>
    </row>
    <row r="53" spans="1:32" x14ac:dyDescent="0.25">
      <c r="A53" s="207" t="s">
        <v>89</v>
      </c>
      <c r="B53" s="112">
        <v>45975</v>
      </c>
      <c r="C53" s="109" t="s">
        <v>38</v>
      </c>
      <c r="D53" s="109" t="s">
        <v>12</v>
      </c>
      <c r="E53" s="109" t="s">
        <v>18</v>
      </c>
      <c r="F53" s="109" t="s">
        <v>42</v>
      </c>
      <c r="G53" s="109" t="s">
        <v>20</v>
      </c>
      <c r="H53" s="110">
        <v>200.53</v>
      </c>
      <c r="I53" s="109">
        <v>3</v>
      </c>
      <c r="J53" s="110">
        <v>601.59</v>
      </c>
      <c r="K53" t="str">
        <f t="shared" si="0"/>
        <v>Jumat</v>
      </c>
    </row>
    <row r="54" spans="1:32" ht="15.75" thickBot="1" x14ac:dyDescent="0.3">
      <c r="A54" s="207" t="s">
        <v>90</v>
      </c>
      <c r="B54" s="112">
        <v>45819</v>
      </c>
      <c r="C54" s="109" t="s">
        <v>30</v>
      </c>
      <c r="D54" s="109" t="s">
        <v>12</v>
      </c>
      <c r="E54" s="109" t="s">
        <v>27</v>
      </c>
      <c r="F54" s="109" t="s">
        <v>32</v>
      </c>
      <c r="G54" s="109" t="s">
        <v>15</v>
      </c>
      <c r="H54" s="110">
        <v>236.69</v>
      </c>
      <c r="I54" s="109">
        <v>9</v>
      </c>
      <c r="J54" s="110">
        <v>2130.21</v>
      </c>
      <c r="K54" t="str">
        <f t="shared" si="0"/>
        <v>Rabu</v>
      </c>
      <c r="X54" t="s">
        <v>1148</v>
      </c>
    </row>
    <row r="55" spans="1:32" x14ac:dyDescent="0.25">
      <c r="A55" s="207" t="s">
        <v>91</v>
      </c>
      <c r="B55" s="112">
        <v>45793</v>
      </c>
      <c r="C55" s="109" t="s">
        <v>30</v>
      </c>
      <c r="D55" s="109" t="s">
        <v>12</v>
      </c>
      <c r="E55" s="109" t="s">
        <v>27</v>
      </c>
      <c r="F55" s="109" t="s">
        <v>32</v>
      </c>
      <c r="G55" s="109" t="s">
        <v>36</v>
      </c>
      <c r="H55" s="110">
        <v>226.86</v>
      </c>
      <c r="I55" s="109">
        <v>13</v>
      </c>
      <c r="J55" s="110">
        <v>2949.18</v>
      </c>
      <c r="K55" t="str">
        <f t="shared" si="0"/>
        <v>Jumat</v>
      </c>
      <c r="X55" s="217"/>
      <c r="Y55" s="217" t="s">
        <v>1152</v>
      </c>
      <c r="Z55" s="217" t="s">
        <v>1153</v>
      </c>
      <c r="AA55" s="217" t="s">
        <v>1154</v>
      </c>
      <c r="AB55" s="217" t="s">
        <v>1155</v>
      </c>
      <c r="AC55" s="217" t="s">
        <v>1156</v>
      </c>
    </row>
    <row r="56" spans="1:32" x14ac:dyDescent="0.25">
      <c r="A56" s="207" t="s">
        <v>92</v>
      </c>
      <c r="B56" s="112">
        <v>45819</v>
      </c>
      <c r="C56" s="109" t="s">
        <v>11</v>
      </c>
      <c r="D56" s="109" t="s">
        <v>31</v>
      </c>
      <c r="E56" s="109" t="s">
        <v>18</v>
      </c>
      <c r="F56" s="109" t="s">
        <v>42</v>
      </c>
      <c r="G56" s="109" t="s">
        <v>15</v>
      </c>
      <c r="H56" s="110">
        <v>161.54</v>
      </c>
      <c r="I56" s="109">
        <v>3</v>
      </c>
      <c r="J56" s="110">
        <v>484.62</v>
      </c>
      <c r="K56" t="str">
        <f t="shared" si="0"/>
        <v>Rabu</v>
      </c>
      <c r="X56" s="9" t="s">
        <v>1149</v>
      </c>
      <c r="Y56" s="9">
        <v>1</v>
      </c>
      <c r="Z56" s="9">
        <v>1790919769.5288806</v>
      </c>
      <c r="AA56" s="9">
        <v>1790919769.5288806</v>
      </c>
      <c r="AB56" s="9">
        <v>18.433943458481743</v>
      </c>
      <c r="AC56" s="9">
        <v>1.5775503941630176E-3</v>
      </c>
    </row>
    <row r="57" spans="1:32" x14ac:dyDescent="0.25">
      <c r="A57" s="207" t="s">
        <v>93</v>
      </c>
      <c r="B57" s="112">
        <v>45695</v>
      </c>
      <c r="C57" s="109" t="s">
        <v>30</v>
      </c>
      <c r="D57" s="109" t="s">
        <v>55</v>
      </c>
      <c r="E57" s="109" t="s">
        <v>13</v>
      </c>
      <c r="F57" s="109" t="s">
        <v>14</v>
      </c>
      <c r="G57" s="109" t="s">
        <v>36</v>
      </c>
      <c r="H57" s="110">
        <v>232.81</v>
      </c>
      <c r="I57" s="109">
        <v>18</v>
      </c>
      <c r="J57" s="110">
        <v>4190.58</v>
      </c>
      <c r="K57" t="str">
        <f t="shared" si="0"/>
        <v>Jumat</v>
      </c>
      <c r="X57" s="9" t="s">
        <v>1150</v>
      </c>
      <c r="Y57" s="9">
        <v>10</v>
      </c>
      <c r="Z57" s="9">
        <v>971533721.77934647</v>
      </c>
      <c r="AA57" s="9">
        <v>97153372.177934647</v>
      </c>
      <c r="AB57" s="9"/>
      <c r="AC57" s="9"/>
    </row>
    <row r="58" spans="1:32" ht="15.75" thickBot="1" x14ac:dyDescent="0.3">
      <c r="A58" s="207" t="s">
        <v>94</v>
      </c>
      <c r="B58" s="112">
        <v>45693</v>
      </c>
      <c r="C58" s="109" t="s">
        <v>34</v>
      </c>
      <c r="D58" s="109" t="s">
        <v>35</v>
      </c>
      <c r="E58" s="109" t="s">
        <v>23</v>
      </c>
      <c r="F58" s="109" t="s">
        <v>61</v>
      </c>
      <c r="G58" s="109" t="s">
        <v>20</v>
      </c>
      <c r="H58" s="110">
        <v>49.47</v>
      </c>
      <c r="I58" s="109">
        <v>8</v>
      </c>
      <c r="J58" s="110">
        <v>395.76</v>
      </c>
      <c r="K58" t="str">
        <f t="shared" si="0"/>
        <v>Rabu</v>
      </c>
      <c r="X58" s="216" t="s">
        <v>1065</v>
      </c>
      <c r="Y58" s="216">
        <v>11</v>
      </c>
      <c r="Z58" s="216">
        <v>2762453491.3082271</v>
      </c>
      <c r="AA58" s="216"/>
      <c r="AB58" s="216"/>
      <c r="AC58" s="216"/>
    </row>
    <row r="59" spans="1:32" ht="15.75" thickBot="1" x14ac:dyDescent="0.3">
      <c r="A59" s="207" t="s">
        <v>95</v>
      </c>
      <c r="B59" s="112">
        <v>46018</v>
      </c>
      <c r="C59" s="109" t="s">
        <v>25</v>
      </c>
      <c r="D59" s="109" t="s">
        <v>12</v>
      </c>
      <c r="E59" s="109" t="s">
        <v>18</v>
      </c>
      <c r="F59" s="109" t="s">
        <v>19</v>
      </c>
      <c r="G59" s="109" t="s">
        <v>20</v>
      </c>
      <c r="H59" s="110">
        <v>73.12</v>
      </c>
      <c r="I59" s="109">
        <v>10</v>
      </c>
      <c r="J59" s="110">
        <v>731.2</v>
      </c>
      <c r="K59" t="str">
        <f t="shared" si="0"/>
        <v>Sabtu</v>
      </c>
    </row>
    <row r="60" spans="1:32" x14ac:dyDescent="0.25">
      <c r="A60" s="207" t="s">
        <v>96</v>
      </c>
      <c r="B60" s="112">
        <v>45941</v>
      </c>
      <c r="C60" s="109" t="s">
        <v>17</v>
      </c>
      <c r="D60" s="109" t="s">
        <v>22</v>
      </c>
      <c r="E60" s="109" t="s">
        <v>23</v>
      </c>
      <c r="F60" s="109" t="s">
        <v>32</v>
      </c>
      <c r="G60" s="109" t="s">
        <v>15</v>
      </c>
      <c r="H60" s="110">
        <v>39.950000000000003</v>
      </c>
      <c r="I60" s="109">
        <v>10</v>
      </c>
      <c r="J60" s="110">
        <v>399.5</v>
      </c>
      <c r="K60" t="str">
        <f t="shared" si="0"/>
        <v>Sabtu</v>
      </c>
      <c r="X60" s="217"/>
      <c r="Y60" s="217" t="s">
        <v>1157</v>
      </c>
      <c r="Z60" s="217" t="s">
        <v>1146</v>
      </c>
      <c r="AA60" s="217" t="s">
        <v>1158</v>
      </c>
      <c r="AB60" s="217" t="s">
        <v>1159</v>
      </c>
      <c r="AC60" s="217" t="s">
        <v>1160</v>
      </c>
      <c r="AD60" s="217" t="s">
        <v>1161</v>
      </c>
      <c r="AE60" s="217" t="s">
        <v>1162</v>
      </c>
      <c r="AF60" s="217" t="s">
        <v>1163</v>
      </c>
    </row>
    <row r="61" spans="1:32" x14ac:dyDescent="0.25">
      <c r="A61" s="207" t="s">
        <v>97</v>
      </c>
      <c r="B61" s="112">
        <v>45712</v>
      </c>
      <c r="C61" s="109" t="s">
        <v>30</v>
      </c>
      <c r="D61" s="109" t="s">
        <v>35</v>
      </c>
      <c r="E61" s="109" t="s">
        <v>13</v>
      </c>
      <c r="F61" s="109" t="s">
        <v>42</v>
      </c>
      <c r="G61" s="109" t="s">
        <v>15</v>
      </c>
      <c r="H61" s="110">
        <v>101.57</v>
      </c>
      <c r="I61" s="109">
        <v>18</v>
      </c>
      <c r="J61" s="110">
        <v>1828.26</v>
      </c>
      <c r="K61" t="str">
        <f t="shared" si="0"/>
        <v>Senin</v>
      </c>
      <c r="X61" s="9" t="s">
        <v>1151</v>
      </c>
      <c r="Y61" s="9">
        <v>8189.7113109443599</v>
      </c>
      <c r="Z61" s="9">
        <v>26579.882998048259</v>
      </c>
      <c r="AA61" s="9">
        <v>0.30811690599035835</v>
      </c>
      <c r="AB61" s="9">
        <v>0.76431567334326245</v>
      </c>
      <c r="AC61" s="9">
        <v>-51033.958678256378</v>
      </c>
      <c r="AD61" s="9">
        <v>67413.381300145091</v>
      </c>
      <c r="AE61" s="9">
        <v>-51033.958678256378</v>
      </c>
      <c r="AF61" s="9">
        <v>67413.381300145091</v>
      </c>
    </row>
    <row r="62" spans="1:32" ht="15.75" thickBot="1" x14ac:dyDescent="0.3">
      <c r="A62" s="207" t="s">
        <v>98</v>
      </c>
      <c r="B62" s="112">
        <v>45833</v>
      </c>
      <c r="C62" s="109" t="s">
        <v>17</v>
      </c>
      <c r="D62" s="109" t="s">
        <v>12</v>
      </c>
      <c r="E62" s="109" t="s">
        <v>13</v>
      </c>
      <c r="F62" s="109" t="s">
        <v>42</v>
      </c>
      <c r="G62" s="109" t="s">
        <v>36</v>
      </c>
      <c r="H62" s="110">
        <v>115.51</v>
      </c>
      <c r="I62" s="109">
        <v>7</v>
      </c>
      <c r="J62" s="110">
        <v>808.57</v>
      </c>
      <c r="K62" t="str">
        <f t="shared" si="0"/>
        <v>Rabu</v>
      </c>
      <c r="X62" s="223" t="s">
        <v>544</v>
      </c>
      <c r="Y62" s="216">
        <v>1353.45138595295</v>
      </c>
      <c r="Z62" s="216">
        <v>315.23435046895293</v>
      </c>
      <c r="AA62" s="216">
        <v>4.2934768496501459</v>
      </c>
      <c r="AB62" s="216">
        <v>1.5775503941630176E-3</v>
      </c>
      <c r="AC62" s="216">
        <v>651.06548219241836</v>
      </c>
      <c r="AD62" s="216">
        <v>2055.8372897134814</v>
      </c>
      <c r="AE62" s="216">
        <v>651.06548219241836</v>
      </c>
      <c r="AF62" s="216">
        <v>2055.8372897134814</v>
      </c>
    </row>
    <row r="63" spans="1:32" x14ac:dyDescent="0.25">
      <c r="A63" s="207" t="s">
        <v>99</v>
      </c>
      <c r="B63" s="112">
        <v>45786</v>
      </c>
      <c r="C63" s="109" t="s">
        <v>11</v>
      </c>
      <c r="D63" s="109" t="s">
        <v>12</v>
      </c>
      <c r="E63" s="109" t="s">
        <v>41</v>
      </c>
      <c r="F63" s="109" t="s">
        <v>39</v>
      </c>
      <c r="G63" s="109" t="s">
        <v>36</v>
      </c>
      <c r="H63" s="110">
        <v>89.7</v>
      </c>
      <c r="I63" s="109">
        <v>2</v>
      </c>
      <c r="J63" s="110">
        <v>179.4</v>
      </c>
      <c r="K63" t="str">
        <f t="shared" si="0"/>
        <v>Jumat</v>
      </c>
    </row>
    <row r="64" spans="1:32" x14ac:dyDescent="0.25">
      <c r="A64" s="207" t="s">
        <v>100</v>
      </c>
      <c r="B64" s="112">
        <v>45680</v>
      </c>
      <c r="C64" s="109" t="s">
        <v>34</v>
      </c>
      <c r="D64" s="109" t="s">
        <v>26</v>
      </c>
      <c r="E64" s="109" t="s">
        <v>27</v>
      </c>
      <c r="F64" s="109" t="s">
        <v>32</v>
      </c>
      <c r="G64" s="109" t="s">
        <v>15</v>
      </c>
      <c r="H64" s="110">
        <v>212.32</v>
      </c>
      <c r="I64" s="109">
        <v>1</v>
      </c>
      <c r="J64" s="110">
        <v>212.32</v>
      </c>
      <c r="K64" t="str">
        <f t="shared" si="0"/>
        <v>Kamis</v>
      </c>
    </row>
    <row r="65" spans="1:11" x14ac:dyDescent="0.25">
      <c r="A65" s="207" t="s">
        <v>101</v>
      </c>
      <c r="B65" s="112">
        <v>45884</v>
      </c>
      <c r="C65" s="109" t="s">
        <v>17</v>
      </c>
      <c r="D65" s="109" t="s">
        <v>31</v>
      </c>
      <c r="E65" s="109" t="s">
        <v>18</v>
      </c>
      <c r="F65" s="109" t="s">
        <v>19</v>
      </c>
      <c r="G65" s="109" t="s">
        <v>15</v>
      </c>
      <c r="H65" s="110">
        <v>108.49</v>
      </c>
      <c r="I65" s="109">
        <v>18</v>
      </c>
      <c r="J65" s="110">
        <v>1952.82</v>
      </c>
      <c r="K65" t="str">
        <f t="shared" si="0"/>
        <v>Jumat</v>
      </c>
    </row>
    <row r="66" spans="1:11" x14ac:dyDescent="0.25">
      <c r="A66" s="207" t="s">
        <v>102</v>
      </c>
      <c r="B66" s="112">
        <v>45696</v>
      </c>
      <c r="C66" s="109" t="s">
        <v>25</v>
      </c>
      <c r="D66" s="109" t="s">
        <v>22</v>
      </c>
      <c r="E66" s="109" t="s">
        <v>13</v>
      </c>
      <c r="F66" s="109" t="s">
        <v>42</v>
      </c>
      <c r="G66" s="109" t="s">
        <v>20</v>
      </c>
      <c r="H66" s="110">
        <v>91.81</v>
      </c>
      <c r="I66" s="109">
        <v>5</v>
      </c>
      <c r="J66" s="110">
        <v>459.05</v>
      </c>
      <c r="K66" t="str">
        <f t="shared" si="0"/>
        <v>Sabtu</v>
      </c>
    </row>
    <row r="67" spans="1:11" x14ac:dyDescent="0.25">
      <c r="A67" s="207" t="s">
        <v>103</v>
      </c>
      <c r="B67" s="112">
        <v>45733</v>
      </c>
      <c r="C67" s="109" t="s">
        <v>30</v>
      </c>
      <c r="D67" s="109" t="s">
        <v>22</v>
      </c>
      <c r="E67" s="109" t="s">
        <v>13</v>
      </c>
      <c r="F67" s="109" t="s">
        <v>32</v>
      </c>
      <c r="G67" s="109" t="s">
        <v>15</v>
      </c>
      <c r="H67" s="110">
        <v>149.38999999999999</v>
      </c>
      <c r="I67" s="109">
        <v>14</v>
      </c>
      <c r="J67" s="110">
        <v>2091.46</v>
      </c>
      <c r="K67" t="str">
        <f t="shared" ref="K67:K130" si="1">TEXT(B67,"dddd")</f>
        <v>Senin</v>
      </c>
    </row>
    <row r="68" spans="1:11" x14ac:dyDescent="0.25">
      <c r="A68" s="207" t="s">
        <v>104</v>
      </c>
      <c r="B68" s="112">
        <v>45841</v>
      </c>
      <c r="C68" s="109" t="s">
        <v>17</v>
      </c>
      <c r="D68" s="109" t="s">
        <v>26</v>
      </c>
      <c r="E68" s="109" t="s">
        <v>27</v>
      </c>
      <c r="F68" s="109" t="s">
        <v>19</v>
      </c>
      <c r="G68" s="109" t="s">
        <v>36</v>
      </c>
      <c r="H68" s="110">
        <v>61</v>
      </c>
      <c r="I68" s="109">
        <v>7</v>
      </c>
      <c r="J68" s="110">
        <v>427</v>
      </c>
      <c r="K68" t="str">
        <f t="shared" si="1"/>
        <v>Kamis</v>
      </c>
    </row>
    <row r="69" spans="1:11" x14ac:dyDescent="0.25">
      <c r="A69" s="207" t="s">
        <v>105</v>
      </c>
      <c r="B69" s="112">
        <v>45944</v>
      </c>
      <c r="C69" s="109" t="s">
        <v>25</v>
      </c>
      <c r="D69" s="109" t="s">
        <v>12</v>
      </c>
      <c r="E69" s="109" t="s">
        <v>23</v>
      </c>
      <c r="F69" s="109" t="s">
        <v>14</v>
      </c>
      <c r="G69" s="109" t="s">
        <v>15</v>
      </c>
      <c r="H69" s="110">
        <v>206.48</v>
      </c>
      <c r="I69" s="109">
        <v>14</v>
      </c>
      <c r="J69" s="110">
        <v>2890.72</v>
      </c>
      <c r="K69" t="str">
        <f t="shared" si="1"/>
        <v>Selasa</v>
      </c>
    </row>
    <row r="70" spans="1:11" x14ac:dyDescent="0.25">
      <c r="A70" s="207" t="s">
        <v>106</v>
      </c>
      <c r="B70" s="112">
        <v>45748</v>
      </c>
      <c r="C70" s="109" t="s">
        <v>11</v>
      </c>
      <c r="D70" s="109" t="s">
        <v>26</v>
      </c>
      <c r="E70" s="109" t="s">
        <v>27</v>
      </c>
      <c r="F70" s="109" t="s">
        <v>32</v>
      </c>
      <c r="G70" s="109" t="s">
        <v>36</v>
      </c>
      <c r="H70" s="110">
        <v>46.4</v>
      </c>
      <c r="I70" s="109">
        <v>14</v>
      </c>
      <c r="J70" s="110">
        <v>649.6</v>
      </c>
      <c r="K70" t="str">
        <f t="shared" si="1"/>
        <v>Selasa</v>
      </c>
    </row>
    <row r="71" spans="1:11" x14ac:dyDescent="0.25">
      <c r="A71" s="207" t="s">
        <v>107</v>
      </c>
      <c r="B71" s="112">
        <v>46000</v>
      </c>
      <c r="C71" s="109" t="s">
        <v>34</v>
      </c>
      <c r="D71" s="109" t="s">
        <v>26</v>
      </c>
      <c r="E71" s="109" t="s">
        <v>27</v>
      </c>
      <c r="F71" s="109" t="s">
        <v>19</v>
      </c>
      <c r="G71" s="109" t="s">
        <v>36</v>
      </c>
      <c r="H71" s="110">
        <v>247.12</v>
      </c>
      <c r="I71" s="109">
        <v>8</v>
      </c>
      <c r="J71" s="110">
        <v>1976.96</v>
      </c>
      <c r="K71" t="str">
        <f t="shared" si="1"/>
        <v>Selasa</v>
      </c>
    </row>
    <row r="72" spans="1:11" x14ac:dyDescent="0.25">
      <c r="A72" s="207" t="s">
        <v>108</v>
      </c>
      <c r="B72" s="112">
        <v>45677</v>
      </c>
      <c r="C72" s="109" t="s">
        <v>30</v>
      </c>
      <c r="D72" s="109" t="s">
        <v>26</v>
      </c>
      <c r="E72" s="109" t="s">
        <v>41</v>
      </c>
      <c r="F72" s="109" t="s">
        <v>32</v>
      </c>
      <c r="G72" s="109" t="s">
        <v>36</v>
      </c>
      <c r="H72" s="110">
        <v>199.89</v>
      </c>
      <c r="I72" s="109">
        <v>16</v>
      </c>
      <c r="J72" s="110">
        <v>3198.24</v>
      </c>
      <c r="K72" t="str">
        <f t="shared" si="1"/>
        <v>Senin</v>
      </c>
    </row>
    <row r="73" spans="1:11" x14ac:dyDescent="0.25">
      <c r="A73" s="207" t="s">
        <v>109</v>
      </c>
      <c r="B73" s="112">
        <v>45774</v>
      </c>
      <c r="C73" s="109" t="s">
        <v>11</v>
      </c>
      <c r="D73" s="109" t="s">
        <v>12</v>
      </c>
      <c r="E73" s="109" t="s">
        <v>23</v>
      </c>
      <c r="F73" s="109" t="s">
        <v>61</v>
      </c>
      <c r="G73" s="109" t="s">
        <v>36</v>
      </c>
      <c r="H73" s="110">
        <v>73.72</v>
      </c>
      <c r="I73" s="109">
        <v>8</v>
      </c>
      <c r="J73" s="110">
        <v>589.76</v>
      </c>
      <c r="K73" t="str">
        <f t="shared" si="1"/>
        <v>Minggu</v>
      </c>
    </row>
    <row r="74" spans="1:11" x14ac:dyDescent="0.25">
      <c r="A74" s="207" t="s">
        <v>110</v>
      </c>
      <c r="B74" s="112">
        <v>45800</v>
      </c>
      <c r="C74" s="109" t="s">
        <v>34</v>
      </c>
      <c r="D74" s="109" t="s">
        <v>35</v>
      </c>
      <c r="E74" s="109" t="s">
        <v>27</v>
      </c>
      <c r="F74" s="109" t="s">
        <v>42</v>
      </c>
      <c r="G74" s="109" t="s">
        <v>36</v>
      </c>
      <c r="H74" s="110">
        <v>31.21</v>
      </c>
      <c r="I74" s="109">
        <v>3</v>
      </c>
      <c r="J74" s="110">
        <v>93.63</v>
      </c>
      <c r="K74" t="str">
        <f t="shared" si="1"/>
        <v>Jumat</v>
      </c>
    </row>
    <row r="75" spans="1:11" x14ac:dyDescent="0.25">
      <c r="A75" s="207" t="s">
        <v>111</v>
      </c>
      <c r="B75" s="112">
        <v>46005</v>
      </c>
      <c r="C75" s="109" t="s">
        <v>34</v>
      </c>
      <c r="D75" s="109" t="s">
        <v>22</v>
      </c>
      <c r="E75" s="109" t="s">
        <v>45</v>
      </c>
      <c r="F75" s="109" t="s">
        <v>32</v>
      </c>
      <c r="G75" s="109" t="s">
        <v>15</v>
      </c>
      <c r="H75" s="110">
        <v>209.4</v>
      </c>
      <c r="I75" s="109">
        <v>18</v>
      </c>
      <c r="J75" s="110">
        <v>3769.2</v>
      </c>
      <c r="K75" t="str">
        <f t="shared" si="1"/>
        <v>Minggu</v>
      </c>
    </row>
    <row r="76" spans="1:11" x14ac:dyDescent="0.25">
      <c r="A76" s="207" t="s">
        <v>112</v>
      </c>
      <c r="B76" s="112">
        <v>45955</v>
      </c>
      <c r="C76" s="109" t="s">
        <v>11</v>
      </c>
      <c r="D76" s="109" t="s">
        <v>22</v>
      </c>
      <c r="E76" s="109" t="s">
        <v>18</v>
      </c>
      <c r="F76" s="109" t="s">
        <v>61</v>
      </c>
      <c r="G76" s="109" t="s">
        <v>36</v>
      </c>
      <c r="H76" s="110">
        <v>185.51</v>
      </c>
      <c r="I76" s="109">
        <v>9</v>
      </c>
      <c r="J76" s="110">
        <v>1669.59</v>
      </c>
      <c r="K76" t="str">
        <f t="shared" si="1"/>
        <v>Sabtu</v>
      </c>
    </row>
    <row r="77" spans="1:11" x14ac:dyDescent="0.25">
      <c r="A77" s="207" t="s">
        <v>113</v>
      </c>
      <c r="B77" s="112">
        <v>45818</v>
      </c>
      <c r="C77" s="109" t="s">
        <v>25</v>
      </c>
      <c r="D77" s="109" t="s">
        <v>55</v>
      </c>
      <c r="E77" s="109" t="s">
        <v>45</v>
      </c>
      <c r="F77" s="109" t="s">
        <v>61</v>
      </c>
      <c r="G77" s="109" t="s">
        <v>20</v>
      </c>
      <c r="H77" s="110">
        <v>190.38</v>
      </c>
      <c r="I77" s="109">
        <v>14</v>
      </c>
      <c r="J77" s="110">
        <v>2665.32</v>
      </c>
      <c r="K77" t="str">
        <f t="shared" si="1"/>
        <v>Selasa</v>
      </c>
    </row>
    <row r="78" spans="1:11" x14ac:dyDescent="0.25">
      <c r="A78" s="207" t="s">
        <v>114</v>
      </c>
      <c r="B78" s="112">
        <v>45755</v>
      </c>
      <c r="C78" s="109" t="s">
        <v>11</v>
      </c>
      <c r="D78" s="109" t="s">
        <v>12</v>
      </c>
      <c r="E78" s="109" t="s">
        <v>41</v>
      </c>
      <c r="F78" s="109" t="s">
        <v>19</v>
      </c>
      <c r="G78" s="109" t="s">
        <v>20</v>
      </c>
      <c r="H78" s="110">
        <v>199.68</v>
      </c>
      <c r="I78" s="109">
        <v>9</v>
      </c>
      <c r="J78" s="110">
        <v>1797.12</v>
      </c>
      <c r="K78" t="str">
        <f t="shared" si="1"/>
        <v>Selasa</v>
      </c>
    </row>
    <row r="79" spans="1:11" x14ac:dyDescent="0.25">
      <c r="A79" s="207" t="s">
        <v>115</v>
      </c>
      <c r="B79" s="112">
        <v>45933</v>
      </c>
      <c r="C79" s="109" t="s">
        <v>34</v>
      </c>
      <c r="D79" s="109" t="s">
        <v>31</v>
      </c>
      <c r="E79" s="109" t="s">
        <v>45</v>
      </c>
      <c r="F79" s="109" t="s">
        <v>28</v>
      </c>
      <c r="G79" s="109" t="s">
        <v>36</v>
      </c>
      <c r="H79" s="110">
        <v>46.29</v>
      </c>
      <c r="I79" s="109">
        <v>7</v>
      </c>
      <c r="J79" s="110">
        <v>324.02999999999997</v>
      </c>
      <c r="K79" t="str">
        <f t="shared" si="1"/>
        <v>Jumat</v>
      </c>
    </row>
    <row r="80" spans="1:11" x14ac:dyDescent="0.25">
      <c r="A80" s="207" t="s">
        <v>116</v>
      </c>
      <c r="B80" s="112">
        <v>45977</v>
      </c>
      <c r="C80" s="109" t="s">
        <v>17</v>
      </c>
      <c r="D80" s="109" t="s">
        <v>22</v>
      </c>
      <c r="E80" s="109" t="s">
        <v>27</v>
      </c>
      <c r="F80" s="109" t="s">
        <v>32</v>
      </c>
      <c r="G80" s="109" t="s">
        <v>20</v>
      </c>
      <c r="H80" s="110">
        <v>108.86</v>
      </c>
      <c r="I80" s="109">
        <v>11</v>
      </c>
      <c r="J80" s="110">
        <v>1197.46</v>
      </c>
      <c r="K80" t="str">
        <f t="shared" si="1"/>
        <v>Minggu</v>
      </c>
    </row>
    <row r="81" spans="1:11" x14ac:dyDescent="0.25">
      <c r="A81" s="207" t="s">
        <v>117</v>
      </c>
      <c r="B81" s="112">
        <v>45816</v>
      </c>
      <c r="C81" s="109" t="s">
        <v>34</v>
      </c>
      <c r="D81" s="109" t="s">
        <v>31</v>
      </c>
      <c r="E81" s="109" t="s">
        <v>27</v>
      </c>
      <c r="F81" s="109" t="s">
        <v>32</v>
      </c>
      <c r="G81" s="109" t="s">
        <v>20</v>
      </c>
      <c r="H81" s="110">
        <v>55.49</v>
      </c>
      <c r="I81" s="109">
        <v>14</v>
      </c>
      <c r="J81" s="110">
        <v>776.86</v>
      </c>
      <c r="K81" t="str">
        <f t="shared" si="1"/>
        <v>Minggu</v>
      </c>
    </row>
    <row r="82" spans="1:11" x14ac:dyDescent="0.25">
      <c r="A82" s="207" t="s">
        <v>118</v>
      </c>
      <c r="B82" s="112">
        <v>45723</v>
      </c>
      <c r="C82" s="109" t="s">
        <v>38</v>
      </c>
      <c r="D82" s="109" t="s">
        <v>12</v>
      </c>
      <c r="E82" s="109" t="s">
        <v>41</v>
      </c>
      <c r="F82" s="109" t="s">
        <v>28</v>
      </c>
      <c r="G82" s="109" t="s">
        <v>20</v>
      </c>
      <c r="H82" s="110">
        <v>219.88</v>
      </c>
      <c r="I82" s="109">
        <v>7</v>
      </c>
      <c r="J82" s="110">
        <v>1539.16</v>
      </c>
      <c r="K82" t="str">
        <f t="shared" si="1"/>
        <v>Jumat</v>
      </c>
    </row>
    <row r="83" spans="1:11" x14ac:dyDescent="0.25">
      <c r="A83" s="207" t="s">
        <v>119</v>
      </c>
      <c r="B83" s="112">
        <v>45747</v>
      </c>
      <c r="C83" s="109" t="s">
        <v>25</v>
      </c>
      <c r="D83" s="109" t="s">
        <v>35</v>
      </c>
      <c r="E83" s="109" t="s">
        <v>41</v>
      </c>
      <c r="F83" s="109" t="s">
        <v>42</v>
      </c>
      <c r="G83" s="109" t="s">
        <v>15</v>
      </c>
      <c r="H83" s="110">
        <v>167.13</v>
      </c>
      <c r="I83" s="109">
        <v>20</v>
      </c>
      <c r="J83" s="110">
        <v>3342.6</v>
      </c>
      <c r="K83" t="str">
        <f t="shared" si="1"/>
        <v>Senin</v>
      </c>
    </row>
    <row r="84" spans="1:11" x14ac:dyDescent="0.25">
      <c r="A84" s="207" t="s">
        <v>120</v>
      </c>
      <c r="B84" s="112">
        <v>45813</v>
      </c>
      <c r="C84" s="109" t="s">
        <v>30</v>
      </c>
      <c r="D84" s="109" t="s">
        <v>31</v>
      </c>
      <c r="E84" s="109" t="s">
        <v>18</v>
      </c>
      <c r="F84" s="109" t="s">
        <v>42</v>
      </c>
      <c r="G84" s="109" t="s">
        <v>20</v>
      </c>
      <c r="H84" s="110">
        <v>102.8</v>
      </c>
      <c r="I84" s="109">
        <v>10</v>
      </c>
      <c r="J84" s="110">
        <v>1028</v>
      </c>
      <c r="K84" t="str">
        <f t="shared" si="1"/>
        <v>Kamis</v>
      </c>
    </row>
    <row r="85" spans="1:11" x14ac:dyDescent="0.25">
      <c r="A85" s="207" t="s">
        <v>121</v>
      </c>
      <c r="B85" s="112">
        <v>45822</v>
      </c>
      <c r="C85" s="109" t="s">
        <v>38</v>
      </c>
      <c r="D85" s="109" t="s">
        <v>31</v>
      </c>
      <c r="E85" s="109" t="s">
        <v>27</v>
      </c>
      <c r="F85" s="109" t="s">
        <v>14</v>
      </c>
      <c r="G85" s="109" t="s">
        <v>20</v>
      </c>
      <c r="H85" s="110">
        <v>43.98</v>
      </c>
      <c r="I85" s="109">
        <v>15</v>
      </c>
      <c r="J85" s="110">
        <v>659.7</v>
      </c>
      <c r="K85" t="str">
        <f t="shared" si="1"/>
        <v>Sabtu</v>
      </c>
    </row>
    <row r="86" spans="1:11" x14ac:dyDescent="0.25">
      <c r="A86" s="207" t="s">
        <v>122</v>
      </c>
      <c r="B86" s="112">
        <v>45900</v>
      </c>
      <c r="C86" s="109" t="s">
        <v>17</v>
      </c>
      <c r="D86" s="109" t="s">
        <v>22</v>
      </c>
      <c r="E86" s="109" t="s">
        <v>13</v>
      </c>
      <c r="F86" s="109" t="s">
        <v>42</v>
      </c>
      <c r="G86" s="109" t="s">
        <v>20</v>
      </c>
      <c r="H86" s="110">
        <v>98.42</v>
      </c>
      <c r="I86" s="109">
        <v>6</v>
      </c>
      <c r="J86" s="110">
        <v>590.52</v>
      </c>
      <c r="K86" t="str">
        <f t="shared" si="1"/>
        <v>Minggu</v>
      </c>
    </row>
    <row r="87" spans="1:11" x14ac:dyDescent="0.25">
      <c r="A87" s="207" t="s">
        <v>123</v>
      </c>
      <c r="B87" s="112">
        <v>45982</v>
      </c>
      <c r="C87" s="109" t="s">
        <v>34</v>
      </c>
      <c r="D87" s="109" t="s">
        <v>22</v>
      </c>
      <c r="E87" s="109" t="s">
        <v>23</v>
      </c>
      <c r="F87" s="109" t="s">
        <v>28</v>
      </c>
      <c r="G87" s="109" t="s">
        <v>36</v>
      </c>
      <c r="H87" s="110">
        <v>101.54</v>
      </c>
      <c r="I87" s="109">
        <v>20</v>
      </c>
      <c r="J87" s="110">
        <v>2030.8</v>
      </c>
      <c r="K87" t="str">
        <f t="shared" si="1"/>
        <v>Jumat</v>
      </c>
    </row>
    <row r="88" spans="1:11" x14ac:dyDescent="0.25">
      <c r="A88" s="207" t="s">
        <v>124</v>
      </c>
      <c r="B88" s="112">
        <v>45773</v>
      </c>
      <c r="C88" s="109" t="s">
        <v>30</v>
      </c>
      <c r="D88" s="109" t="s">
        <v>22</v>
      </c>
      <c r="E88" s="109" t="s">
        <v>45</v>
      </c>
      <c r="F88" s="109" t="s">
        <v>14</v>
      </c>
      <c r="G88" s="109" t="s">
        <v>36</v>
      </c>
      <c r="H88" s="110">
        <v>190.51</v>
      </c>
      <c r="I88" s="109">
        <v>7</v>
      </c>
      <c r="J88" s="110">
        <v>1333.57</v>
      </c>
      <c r="K88" t="str">
        <f t="shared" si="1"/>
        <v>Sabtu</v>
      </c>
    </row>
    <row r="89" spans="1:11" x14ac:dyDescent="0.25">
      <c r="A89" s="207" t="s">
        <v>125</v>
      </c>
      <c r="B89" s="112">
        <v>45970</v>
      </c>
      <c r="C89" s="109" t="s">
        <v>38</v>
      </c>
      <c r="D89" s="109" t="s">
        <v>31</v>
      </c>
      <c r="E89" s="109" t="s">
        <v>27</v>
      </c>
      <c r="F89" s="109" t="s">
        <v>42</v>
      </c>
      <c r="G89" s="109" t="s">
        <v>15</v>
      </c>
      <c r="H89" s="110">
        <v>170.26</v>
      </c>
      <c r="I89" s="109">
        <v>3</v>
      </c>
      <c r="J89" s="110">
        <v>510.78</v>
      </c>
      <c r="K89" t="str">
        <f t="shared" si="1"/>
        <v>Minggu</v>
      </c>
    </row>
    <row r="90" spans="1:11" x14ac:dyDescent="0.25">
      <c r="A90" s="207" t="s">
        <v>126</v>
      </c>
      <c r="B90" s="112">
        <v>46014</v>
      </c>
      <c r="C90" s="109" t="s">
        <v>38</v>
      </c>
      <c r="D90" s="109" t="s">
        <v>31</v>
      </c>
      <c r="E90" s="109" t="s">
        <v>23</v>
      </c>
      <c r="F90" s="109" t="s">
        <v>14</v>
      </c>
      <c r="G90" s="109" t="s">
        <v>20</v>
      </c>
      <c r="H90" s="110">
        <v>225.19</v>
      </c>
      <c r="I90" s="109">
        <v>13</v>
      </c>
      <c r="J90" s="110">
        <v>2927.47</v>
      </c>
      <c r="K90" t="str">
        <f t="shared" si="1"/>
        <v>Selasa</v>
      </c>
    </row>
    <row r="91" spans="1:11" x14ac:dyDescent="0.25">
      <c r="A91" s="207" t="s">
        <v>127</v>
      </c>
      <c r="B91" s="112">
        <v>46010</v>
      </c>
      <c r="C91" s="109" t="s">
        <v>11</v>
      </c>
      <c r="D91" s="109" t="s">
        <v>31</v>
      </c>
      <c r="E91" s="109" t="s">
        <v>23</v>
      </c>
      <c r="F91" s="109" t="s">
        <v>14</v>
      </c>
      <c r="G91" s="109" t="s">
        <v>20</v>
      </c>
      <c r="H91" s="110">
        <v>133.88999999999999</v>
      </c>
      <c r="I91" s="109">
        <v>1</v>
      </c>
      <c r="J91" s="110">
        <v>133.88999999999999</v>
      </c>
      <c r="K91" t="str">
        <f t="shared" si="1"/>
        <v>Jumat</v>
      </c>
    </row>
    <row r="92" spans="1:11" x14ac:dyDescent="0.25">
      <c r="A92" s="207" t="s">
        <v>128</v>
      </c>
      <c r="B92" s="112">
        <v>45923</v>
      </c>
      <c r="C92" s="109" t="s">
        <v>11</v>
      </c>
      <c r="D92" s="109" t="s">
        <v>55</v>
      </c>
      <c r="E92" s="109" t="s">
        <v>23</v>
      </c>
      <c r="F92" s="109" t="s">
        <v>39</v>
      </c>
      <c r="G92" s="109" t="s">
        <v>15</v>
      </c>
      <c r="H92" s="110">
        <v>56.31</v>
      </c>
      <c r="I92" s="109">
        <v>15</v>
      </c>
      <c r="J92" s="110">
        <v>844.65</v>
      </c>
      <c r="K92" t="str">
        <f t="shared" si="1"/>
        <v>Selasa</v>
      </c>
    </row>
    <row r="93" spans="1:11" x14ac:dyDescent="0.25">
      <c r="A93" s="207" t="s">
        <v>129</v>
      </c>
      <c r="B93" s="112">
        <v>45891</v>
      </c>
      <c r="C93" s="109" t="s">
        <v>38</v>
      </c>
      <c r="D93" s="109" t="s">
        <v>12</v>
      </c>
      <c r="E93" s="109" t="s">
        <v>18</v>
      </c>
      <c r="F93" s="109" t="s">
        <v>42</v>
      </c>
      <c r="G93" s="109" t="s">
        <v>20</v>
      </c>
      <c r="H93" s="110">
        <v>186.91</v>
      </c>
      <c r="I93" s="109">
        <v>5</v>
      </c>
      <c r="J93" s="110">
        <v>934.55</v>
      </c>
      <c r="K93" t="str">
        <f t="shared" si="1"/>
        <v>Jumat</v>
      </c>
    </row>
    <row r="94" spans="1:11" x14ac:dyDescent="0.25">
      <c r="A94" s="207" t="s">
        <v>130</v>
      </c>
      <c r="B94" s="112">
        <v>45820</v>
      </c>
      <c r="C94" s="109" t="s">
        <v>25</v>
      </c>
      <c r="D94" s="109" t="s">
        <v>12</v>
      </c>
      <c r="E94" s="109" t="s">
        <v>18</v>
      </c>
      <c r="F94" s="109" t="s">
        <v>61</v>
      </c>
      <c r="G94" s="109" t="s">
        <v>20</v>
      </c>
      <c r="H94" s="110">
        <v>197.37</v>
      </c>
      <c r="I94" s="109">
        <v>15</v>
      </c>
      <c r="J94" s="110">
        <v>2960.55</v>
      </c>
      <c r="K94" t="str">
        <f t="shared" si="1"/>
        <v>Kamis</v>
      </c>
    </row>
    <row r="95" spans="1:11" x14ac:dyDescent="0.25">
      <c r="A95" s="207" t="s">
        <v>131</v>
      </c>
      <c r="B95" s="112">
        <v>45886</v>
      </c>
      <c r="C95" s="109" t="s">
        <v>17</v>
      </c>
      <c r="D95" s="109" t="s">
        <v>31</v>
      </c>
      <c r="E95" s="109" t="s">
        <v>41</v>
      </c>
      <c r="F95" s="109" t="s">
        <v>32</v>
      </c>
      <c r="G95" s="109" t="s">
        <v>15</v>
      </c>
      <c r="H95" s="110">
        <v>153.47999999999999</v>
      </c>
      <c r="I95" s="109">
        <v>6</v>
      </c>
      <c r="J95" s="110">
        <v>920.88</v>
      </c>
      <c r="K95" t="str">
        <f t="shared" si="1"/>
        <v>Minggu</v>
      </c>
    </row>
    <row r="96" spans="1:11" x14ac:dyDescent="0.25">
      <c r="A96" s="207" t="s">
        <v>132</v>
      </c>
      <c r="B96" s="112">
        <v>45984</v>
      </c>
      <c r="C96" s="109" t="s">
        <v>25</v>
      </c>
      <c r="D96" s="109" t="s">
        <v>31</v>
      </c>
      <c r="E96" s="109" t="s">
        <v>27</v>
      </c>
      <c r="F96" s="109" t="s">
        <v>14</v>
      </c>
      <c r="G96" s="109" t="s">
        <v>36</v>
      </c>
      <c r="H96" s="110">
        <v>199.61</v>
      </c>
      <c r="I96" s="109">
        <v>9</v>
      </c>
      <c r="J96" s="110">
        <v>1796.49</v>
      </c>
      <c r="K96" t="str">
        <f t="shared" si="1"/>
        <v>Minggu</v>
      </c>
    </row>
    <row r="97" spans="1:11" x14ac:dyDescent="0.25">
      <c r="A97" s="207" t="s">
        <v>133</v>
      </c>
      <c r="B97" s="112">
        <v>45883</v>
      </c>
      <c r="C97" s="109" t="s">
        <v>17</v>
      </c>
      <c r="D97" s="109" t="s">
        <v>35</v>
      </c>
      <c r="E97" s="109" t="s">
        <v>23</v>
      </c>
      <c r="F97" s="109" t="s">
        <v>32</v>
      </c>
      <c r="G97" s="109" t="s">
        <v>36</v>
      </c>
      <c r="H97" s="110">
        <v>138.63999999999999</v>
      </c>
      <c r="I97" s="109">
        <v>3</v>
      </c>
      <c r="J97" s="110">
        <v>415.92</v>
      </c>
      <c r="K97" t="str">
        <f t="shared" si="1"/>
        <v>Kamis</v>
      </c>
    </row>
    <row r="98" spans="1:11" x14ac:dyDescent="0.25">
      <c r="A98" s="207" t="s">
        <v>134</v>
      </c>
      <c r="B98" s="112">
        <v>45821</v>
      </c>
      <c r="C98" s="109" t="s">
        <v>11</v>
      </c>
      <c r="D98" s="109" t="s">
        <v>26</v>
      </c>
      <c r="E98" s="109" t="s">
        <v>23</v>
      </c>
      <c r="F98" s="109" t="s">
        <v>14</v>
      </c>
      <c r="G98" s="109" t="s">
        <v>36</v>
      </c>
      <c r="H98" s="110">
        <v>145</v>
      </c>
      <c r="I98" s="109">
        <v>18</v>
      </c>
      <c r="J98" s="110">
        <v>2610</v>
      </c>
      <c r="K98" t="str">
        <f t="shared" si="1"/>
        <v>Jumat</v>
      </c>
    </row>
    <row r="99" spans="1:11" x14ac:dyDescent="0.25">
      <c r="A99" s="207" t="s">
        <v>135</v>
      </c>
      <c r="B99" s="112">
        <v>46013</v>
      </c>
      <c r="C99" s="109" t="s">
        <v>17</v>
      </c>
      <c r="D99" s="109" t="s">
        <v>26</v>
      </c>
      <c r="E99" s="109" t="s">
        <v>45</v>
      </c>
      <c r="F99" s="109" t="s">
        <v>61</v>
      </c>
      <c r="G99" s="109" t="s">
        <v>36</v>
      </c>
      <c r="H99" s="110">
        <v>124.06</v>
      </c>
      <c r="I99" s="109">
        <v>5</v>
      </c>
      <c r="J99" s="110">
        <v>620.29999999999995</v>
      </c>
      <c r="K99" t="str">
        <f t="shared" si="1"/>
        <v>Senin</v>
      </c>
    </row>
    <row r="100" spans="1:11" x14ac:dyDescent="0.25">
      <c r="A100" s="207" t="s">
        <v>136</v>
      </c>
      <c r="B100" s="112">
        <v>45827</v>
      </c>
      <c r="C100" s="109" t="s">
        <v>38</v>
      </c>
      <c r="D100" s="109" t="s">
        <v>31</v>
      </c>
      <c r="E100" s="109" t="s">
        <v>45</v>
      </c>
      <c r="F100" s="109" t="s">
        <v>14</v>
      </c>
      <c r="G100" s="109" t="s">
        <v>36</v>
      </c>
      <c r="H100" s="110">
        <v>35.590000000000003</v>
      </c>
      <c r="I100" s="109">
        <v>18</v>
      </c>
      <c r="J100" s="110">
        <v>640.62</v>
      </c>
      <c r="K100" t="str">
        <f t="shared" si="1"/>
        <v>Kamis</v>
      </c>
    </row>
    <row r="101" spans="1:11" x14ac:dyDescent="0.25">
      <c r="A101" s="207" t="s">
        <v>137</v>
      </c>
      <c r="B101" s="112">
        <v>45857</v>
      </c>
      <c r="C101" s="109" t="s">
        <v>17</v>
      </c>
      <c r="D101" s="109" t="s">
        <v>22</v>
      </c>
      <c r="E101" s="109" t="s">
        <v>18</v>
      </c>
      <c r="F101" s="109" t="s">
        <v>61</v>
      </c>
      <c r="G101" s="109" t="s">
        <v>36</v>
      </c>
      <c r="H101" s="110">
        <v>53.74</v>
      </c>
      <c r="I101" s="109">
        <v>19</v>
      </c>
      <c r="J101" s="110">
        <v>1021.06</v>
      </c>
      <c r="K101" t="str">
        <f t="shared" si="1"/>
        <v>Sabtu</v>
      </c>
    </row>
    <row r="102" spans="1:11" x14ac:dyDescent="0.25">
      <c r="A102" s="207" t="s">
        <v>138</v>
      </c>
      <c r="B102" s="112">
        <v>45661</v>
      </c>
      <c r="C102" s="109" t="s">
        <v>34</v>
      </c>
      <c r="D102" s="109" t="s">
        <v>31</v>
      </c>
      <c r="E102" s="109" t="s">
        <v>41</v>
      </c>
      <c r="F102" s="109" t="s">
        <v>42</v>
      </c>
      <c r="G102" s="109" t="s">
        <v>20</v>
      </c>
      <c r="H102" s="110">
        <v>36.909999999999997</v>
      </c>
      <c r="I102" s="109">
        <v>12</v>
      </c>
      <c r="J102" s="110">
        <v>442.92</v>
      </c>
      <c r="K102" t="str">
        <f t="shared" si="1"/>
        <v>Sabtu</v>
      </c>
    </row>
    <row r="103" spans="1:11" x14ac:dyDescent="0.25">
      <c r="A103" s="207" t="s">
        <v>139</v>
      </c>
      <c r="B103" s="112">
        <v>45937</v>
      </c>
      <c r="C103" s="109" t="s">
        <v>30</v>
      </c>
      <c r="D103" s="109" t="s">
        <v>31</v>
      </c>
      <c r="E103" s="109" t="s">
        <v>23</v>
      </c>
      <c r="F103" s="109" t="s">
        <v>32</v>
      </c>
      <c r="G103" s="109" t="s">
        <v>36</v>
      </c>
      <c r="H103" s="110">
        <v>170.01</v>
      </c>
      <c r="I103" s="109">
        <v>20</v>
      </c>
      <c r="J103" s="110">
        <v>3400.2</v>
      </c>
      <c r="K103" t="str">
        <f t="shared" si="1"/>
        <v>Selasa</v>
      </c>
    </row>
    <row r="104" spans="1:11" x14ac:dyDescent="0.25">
      <c r="A104" s="207" t="s">
        <v>140</v>
      </c>
      <c r="B104" s="112">
        <v>45906</v>
      </c>
      <c r="C104" s="109" t="s">
        <v>38</v>
      </c>
      <c r="D104" s="109" t="s">
        <v>35</v>
      </c>
      <c r="E104" s="109" t="s">
        <v>27</v>
      </c>
      <c r="F104" s="109" t="s">
        <v>28</v>
      </c>
      <c r="G104" s="109" t="s">
        <v>36</v>
      </c>
      <c r="H104" s="110">
        <v>99.16</v>
      </c>
      <c r="I104" s="109">
        <v>1</v>
      </c>
      <c r="J104" s="110">
        <v>99.16</v>
      </c>
      <c r="K104" t="str">
        <f t="shared" si="1"/>
        <v>Sabtu</v>
      </c>
    </row>
    <row r="105" spans="1:11" x14ac:dyDescent="0.25">
      <c r="A105" s="207" t="s">
        <v>141</v>
      </c>
      <c r="B105" s="112">
        <v>45742</v>
      </c>
      <c r="C105" s="109" t="s">
        <v>30</v>
      </c>
      <c r="D105" s="109" t="s">
        <v>55</v>
      </c>
      <c r="E105" s="109" t="s">
        <v>18</v>
      </c>
      <c r="F105" s="109" t="s">
        <v>19</v>
      </c>
      <c r="G105" s="109" t="s">
        <v>36</v>
      </c>
      <c r="H105" s="110">
        <v>141.88999999999999</v>
      </c>
      <c r="I105" s="109">
        <v>15</v>
      </c>
      <c r="J105" s="110">
        <v>2128.35</v>
      </c>
      <c r="K105" t="str">
        <f t="shared" si="1"/>
        <v>Rabu</v>
      </c>
    </row>
    <row r="106" spans="1:11" x14ac:dyDescent="0.25">
      <c r="A106" s="207" t="s">
        <v>142</v>
      </c>
      <c r="B106" s="112">
        <v>45961</v>
      </c>
      <c r="C106" s="109" t="s">
        <v>17</v>
      </c>
      <c r="D106" s="109" t="s">
        <v>22</v>
      </c>
      <c r="E106" s="109" t="s">
        <v>45</v>
      </c>
      <c r="F106" s="109" t="s">
        <v>28</v>
      </c>
      <c r="G106" s="109" t="s">
        <v>36</v>
      </c>
      <c r="H106" s="110">
        <v>229.66</v>
      </c>
      <c r="I106" s="109">
        <v>19</v>
      </c>
      <c r="J106" s="110">
        <v>4363.54</v>
      </c>
      <c r="K106" t="str">
        <f t="shared" si="1"/>
        <v>Jumat</v>
      </c>
    </row>
    <row r="107" spans="1:11" x14ac:dyDescent="0.25">
      <c r="A107" s="207" t="s">
        <v>143</v>
      </c>
      <c r="B107" s="112">
        <v>45727</v>
      </c>
      <c r="C107" s="109" t="s">
        <v>30</v>
      </c>
      <c r="D107" s="109" t="s">
        <v>22</v>
      </c>
      <c r="E107" s="109" t="s">
        <v>13</v>
      </c>
      <c r="F107" s="109" t="s">
        <v>61</v>
      </c>
      <c r="G107" s="109" t="s">
        <v>36</v>
      </c>
      <c r="H107" s="110">
        <v>84.84</v>
      </c>
      <c r="I107" s="109">
        <v>15</v>
      </c>
      <c r="J107" s="110">
        <v>1272.5999999999999</v>
      </c>
      <c r="K107" t="str">
        <f t="shared" si="1"/>
        <v>Selasa</v>
      </c>
    </row>
    <row r="108" spans="1:11" x14ac:dyDescent="0.25">
      <c r="A108" s="207" t="s">
        <v>144</v>
      </c>
      <c r="B108" s="112">
        <v>45766</v>
      </c>
      <c r="C108" s="109" t="s">
        <v>34</v>
      </c>
      <c r="D108" s="109" t="s">
        <v>35</v>
      </c>
      <c r="E108" s="109" t="s">
        <v>41</v>
      </c>
      <c r="F108" s="109" t="s">
        <v>32</v>
      </c>
      <c r="G108" s="109" t="s">
        <v>36</v>
      </c>
      <c r="H108" s="110">
        <v>120.28</v>
      </c>
      <c r="I108" s="109">
        <v>15</v>
      </c>
      <c r="J108" s="110">
        <v>1804.2</v>
      </c>
      <c r="K108" t="str">
        <f t="shared" si="1"/>
        <v>Sabtu</v>
      </c>
    </row>
    <row r="109" spans="1:11" x14ac:dyDescent="0.25">
      <c r="A109" s="207" t="s">
        <v>145</v>
      </c>
      <c r="B109" s="112">
        <v>45787</v>
      </c>
      <c r="C109" s="109" t="s">
        <v>38</v>
      </c>
      <c r="D109" s="109" t="s">
        <v>22</v>
      </c>
      <c r="E109" s="109" t="s">
        <v>27</v>
      </c>
      <c r="F109" s="109" t="s">
        <v>42</v>
      </c>
      <c r="G109" s="109" t="s">
        <v>15</v>
      </c>
      <c r="H109" s="110">
        <v>196.22</v>
      </c>
      <c r="I109" s="109">
        <v>3</v>
      </c>
      <c r="J109" s="110">
        <v>588.66</v>
      </c>
      <c r="K109" t="str">
        <f t="shared" si="1"/>
        <v>Sabtu</v>
      </c>
    </row>
    <row r="110" spans="1:11" x14ac:dyDescent="0.25">
      <c r="A110" s="207" t="s">
        <v>146</v>
      </c>
      <c r="B110" s="112">
        <v>45837</v>
      </c>
      <c r="C110" s="109" t="s">
        <v>17</v>
      </c>
      <c r="D110" s="109" t="s">
        <v>22</v>
      </c>
      <c r="E110" s="109" t="s">
        <v>27</v>
      </c>
      <c r="F110" s="109" t="s">
        <v>19</v>
      </c>
      <c r="G110" s="109" t="s">
        <v>15</v>
      </c>
      <c r="H110" s="110">
        <v>80.34</v>
      </c>
      <c r="I110" s="109">
        <v>8</v>
      </c>
      <c r="J110" s="110">
        <v>642.72</v>
      </c>
      <c r="K110" t="str">
        <f t="shared" si="1"/>
        <v>Minggu</v>
      </c>
    </row>
    <row r="111" spans="1:11" x14ac:dyDescent="0.25">
      <c r="A111" s="207" t="s">
        <v>147</v>
      </c>
      <c r="B111" s="112">
        <v>45784</v>
      </c>
      <c r="C111" s="109" t="s">
        <v>11</v>
      </c>
      <c r="D111" s="109" t="s">
        <v>55</v>
      </c>
      <c r="E111" s="109" t="s">
        <v>23</v>
      </c>
      <c r="F111" s="109" t="s">
        <v>14</v>
      </c>
      <c r="G111" s="109" t="s">
        <v>15</v>
      </c>
      <c r="H111" s="110">
        <v>46.94</v>
      </c>
      <c r="I111" s="109">
        <v>7</v>
      </c>
      <c r="J111" s="110">
        <v>328.58</v>
      </c>
      <c r="K111" t="str">
        <f t="shared" si="1"/>
        <v>Rabu</v>
      </c>
    </row>
    <row r="112" spans="1:11" x14ac:dyDescent="0.25">
      <c r="A112" s="207" t="s">
        <v>148</v>
      </c>
      <c r="B112" s="112">
        <v>45900</v>
      </c>
      <c r="C112" s="109" t="s">
        <v>25</v>
      </c>
      <c r="D112" s="109" t="s">
        <v>26</v>
      </c>
      <c r="E112" s="109" t="s">
        <v>41</v>
      </c>
      <c r="F112" s="109" t="s">
        <v>28</v>
      </c>
      <c r="G112" s="109" t="s">
        <v>36</v>
      </c>
      <c r="H112" s="110">
        <v>93.75</v>
      </c>
      <c r="I112" s="109">
        <v>4</v>
      </c>
      <c r="J112" s="110">
        <v>375</v>
      </c>
      <c r="K112" t="str">
        <f t="shared" si="1"/>
        <v>Minggu</v>
      </c>
    </row>
    <row r="113" spans="1:11" x14ac:dyDescent="0.25">
      <c r="A113" s="207" t="s">
        <v>149</v>
      </c>
      <c r="B113" s="112">
        <v>45846</v>
      </c>
      <c r="C113" s="109" t="s">
        <v>25</v>
      </c>
      <c r="D113" s="109" t="s">
        <v>55</v>
      </c>
      <c r="E113" s="109" t="s">
        <v>27</v>
      </c>
      <c r="F113" s="109" t="s">
        <v>28</v>
      </c>
      <c r="G113" s="109" t="s">
        <v>15</v>
      </c>
      <c r="H113" s="110">
        <v>65.47</v>
      </c>
      <c r="I113" s="109">
        <v>6</v>
      </c>
      <c r="J113" s="110">
        <v>392.82</v>
      </c>
      <c r="K113" t="str">
        <f t="shared" si="1"/>
        <v>Selasa</v>
      </c>
    </row>
    <row r="114" spans="1:11" x14ac:dyDescent="0.25">
      <c r="A114" s="207" t="s">
        <v>150</v>
      </c>
      <c r="B114" s="112">
        <v>45741</v>
      </c>
      <c r="C114" s="109" t="s">
        <v>11</v>
      </c>
      <c r="D114" s="109" t="s">
        <v>55</v>
      </c>
      <c r="E114" s="109" t="s">
        <v>45</v>
      </c>
      <c r="F114" s="109" t="s">
        <v>32</v>
      </c>
      <c r="G114" s="109" t="s">
        <v>20</v>
      </c>
      <c r="H114" s="110">
        <v>234.53</v>
      </c>
      <c r="I114" s="109">
        <v>10</v>
      </c>
      <c r="J114" s="110">
        <v>2345.3000000000002</v>
      </c>
      <c r="K114" t="str">
        <f t="shared" si="1"/>
        <v>Selasa</v>
      </c>
    </row>
    <row r="115" spans="1:11" x14ac:dyDescent="0.25">
      <c r="A115" s="207" t="s">
        <v>151</v>
      </c>
      <c r="B115" s="112">
        <v>46004</v>
      </c>
      <c r="C115" s="109" t="s">
        <v>38</v>
      </c>
      <c r="D115" s="109" t="s">
        <v>12</v>
      </c>
      <c r="E115" s="109" t="s">
        <v>23</v>
      </c>
      <c r="F115" s="109" t="s">
        <v>19</v>
      </c>
      <c r="G115" s="109" t="s">
        <v>20</v>
      </c>
      <c r="H115" s="110">
        <v>207.79</v>
      </c>
      <c r="I115" s="109">
        <v>13</v>
      </c>
      <c r="J115" s="110">
        <v>2701.27</v>
      </c>
      <c r="K115" t="str">
        <f t="shared" si="1"/>
        <v>Sabtu</v>
      </c>
    </row>
    <row r="116" spans="1:11" x14ac:dyDescent="0.25">
      <c r="A116" s="207" t="s">
        <v>152</v>
      </c>
      <c r="B116" s="112">
        <v>46011</v>
      </c>
      <c r="C116" s="109" t="s">
        <v>11</v>
      </c>
      <c r="D116" s="109" t="s">
        <v>12</v>
      </c>
      <c r="E116" s="109" t="s">
        <v>13</v>
      </c>
      <c r="F116" s="109" t="s">
        <v>39</v>
      </c>
      <c r="G116" s="109" t="s">
        <v>20</v>
      </c>
      <c r="H116" s="110">
        <v>169.35</v>
      </c>
      <c r="I116" s="109">
        <v>8</v>
      </c>
      <c r="J116" s="110">
        <v>1354.8</v>
      </c>
      <c r="K116" t="str">
        <f t="shared" si="1"/>
        <v>Sabtu</v>
      </c>
    </row>
    <row r="117" spans="1:11" x14ac:dyDescent="0.25">
      <c r="A117" s="207" t="s">
        <v>153</v>
      </c>
      <c r="B117" s="112">
        <v>45965</v>
      </c>
      <c r="C117" s="109" t="s">
        <v>25</v>
      </c>
      <c r="D117" s="109" t="s">
        <v>22</v>
      </c>
      <c r="E117" s="109" t="s">
        <v>13</v>
      </c>
      <c r="F117" s="109" t="s">
        <v>42</v>
      </c>
      <c r="G117" s="109" t="s">
        <v>36</v>
      </c>
      <c r="H117" s="110">
        <v>221.72</v>
      </c>
      <c r="I117" s="109">
        <v>4</v>
      </c>
      <c r="J117" s="110">
        <v>886.88</v>
      </c>
      <c r="K117" t="str">
        <f t="shared" si="1"/>
        <v>Selasa</v>
      </c>
    </row>
    <row r="118" spans="1:11" x14ac:dyDescent="0.25">
      <c r="A118" s="207" t="s">
        <v>154</v>
      </c>
      <c r="B118" s="112">
        <v>45996</v>
      </c>
      <c r="C118" s="109" t="s">
        <v>11</v>
      </c>
      <c r="D118" s="109" t="s">
        <v>55</v>
      </c>
      <c r="E118" s="109" t="s">
        <v>27</v>
      </c>
      <c r="F118" s="109" t="s">
        <v>32</v>
      </c>
      <c r="G118" s="109" t="s">
        <v>15</v>
      </c>
      <c r="H118" s="110">
        <v>206.81</v>
      </c>
      <c r="I118" s="109">
        <v>12</v>
      </c>
      <c r="J118" s="110">
        <v>2481.7199999999998</v>
      </c>
      <c r="K118" t="str">
        <f t="shared" si="1"/>
        <v>Jumat</v>
      </c>
    </row>
    <row r="119" spans="1:11" x14ac:dyDescent="0.25">
      <c r="A119" s="207" t="s">
        <v>155</v>
      </c>
      <c r="B119" s="112">
        <v>45873</v>
      </c>
      <c r="C119" s="109" t="s">
        <v>11</v>
      </c>
      <c r="D119" s="109" t="s">
        <v>31</v>
      </c>
      <c r="E119" s="109" t="s">
        <v>13</v>
      </c>
      <c r="F119" s="109" t="s">
        <v>28</v>
      </c>
      <c r="G119" s="109" t="s">
        <v>36</v>
      </c>
      <c r="H119" s="110">
        <v>71.05</v>
      </c>
      <c r="I119" s="109">
        <v>16</v>
      </c>
      <c r="J119" s="110">
        <v>1136.8</v>
      </c>
      <c r="K119" t="str">
        <f t="shared" si="1"/>
        <v>Senin</v>
      </c>
    </row>
    <row r="120" spans="1:11" x14ac:dyDescent="0.25">
      <c r="A120" s="207" t="s">
        <v>156</v>
      </c>
      <c r="B120" s="112">
        <v>46020</v>
      </c>
      <c r="C120" s="109" t="s">
        <v>38</v>
      </c>
      <c r="D120" s="109" t="s">
        <v>26</v>
      </c>
      <c r="E120" s="109" t="s">
        <v>27</v>
      </c>
      <c r="F120" s="109" t="s">
        <v>42</v>
      </c>
      <c r="G120" s="109" t="s">
        <v>20</v>
      </c>
      <c r="H120" s="110">
        <v>226.36</v>
      </c>
      <c r="I120" s="109">
        <v>5</v>
      </c>
      <c r="J120" s="110">
        <v>1131.8</v>
      </c>
      <c r="K120" t="str">
        <f t="shared" si="1"/>
        <v>Senin</v>
      </c>
    </row>
    <row r="121" spans="1:11" x14ac:dyDescent="0.25">
      <c r="A121" s="207" t="s">
        <v>157</v>
      </c>
      <c r="B121" s="112">
        <v>45796</v>
      </c>
      <c r="C121" s="109" t="s">
        <v>25</v>
      </c>
      <c r="D121" s="109" t="s">
        <v>31</v>
      </c>
      <c r="E121" s="109" t="s">
        <v>41</v>
      </c>
      <c r="F121" s="109" t="s">
        <v>61</v>
      </c>
      <c r="G121" s="109" t="s">
        <v>20</v>
      </c>
      <c r="H121" s="110">
        <v>148.66</v>
      </c>
      <c r="I121" s="109">
        <v>20</v>
      </c>
      <c r="J121" s="110">
        <v>2973.2</v>
      </c>
      <c r="K121" t="str">
        <f t="shared" si="1"/>
        <v>Senin</v>
      </c>
    </row>
    <row r="122" spans="1:11" x14ac:dyDescent="0.25">
      <c r="A122" s="207" t="s">
        <v>158</v>
      </c>
      <c r="B122" s="112">
        <v>45961</v>
      </c>
      <c r="C122" s="109" t="s">
        <v>34</v>
      </c>
      <c r="D122" s="109" t="s">
        <v>26</v>
      </c>
      <c r="E122" s="109" t="s">
        <v>45</v>
      </c>
      <c r="F122" s="109" t="s">
        <v>32</v>
      </c>
      <c r="G122" s="109" t="s">
        <v>36</v>
      </c>
      <c r="H122" s="110">
        <v>207.64</v>
      </c>
      <c r="I122" s="109">
        <v>9</v>
      </c>
      <c r="J122" s="110">
        <v>1868.76</v>
      </c>
      <c r="K122" t="str">
        <f t="shared" si="1"/>
        <v>Jumat</v>
      </c>
    </row>
    <row r="123" spans="1:11" x14ac:dyDescent="0.25">
      <c r="A123" s="207" t="s">
        <v>159</v>
      </c>
      <c r="B123" s="112">
        <v>45782</v>
      </c>
      <c r="C123" s="109" t="s">
        <v>25</v>
      </c>
      <c r="D123" s="109" t="s">
        <v>55</v>
      </c>
      <c r="E123" s="109" t="s">
        <v>27</v>
      </c>
      <c r="F123" s="109" t="s">
        <v>61</v>
      </c>
      <c r="G123" s="109" t="s">
        <v>36</v>
      </c>
      <c r="H123" s="110">
        <v>227.14</v>
      </c>
      <c r="I123" s="109">
        <v>15</v>
      </c>
      <c r="J123" s="110">
        <v>3407.1</v>
      </c>
      <c r="K123" t="str">
        <f t="shared" si="1"/>
        <v>Senin</v>
      </c>
    </row>
    <row r="124" spans="1:11" x14ac:dyDescent="0.25">
      <c r="A124" s="207" t="s">
        <v>160</v>
      </c>
      <c r="B124" s="112">
        <v>45672</v>
      </c>
      <c r="C124" s="109" t="s">
        <v>34</v>
      </c>
      <c r="D124" s="109" t="s">
        <v>26</v>
      </c>
      <c r="E124" s="109" t="s">
        <v>41</v>
      </c>
      <c r="F124" s="109" t="s">
        <v>14</v>
      </c>
      <c r="G124" s="109" t="s">
        <v>36</v>
      </c>
      <c r="H124" s="110">
        <v>99.96</v>
      </c>
      <c r="I124" s="109">
        <v>16</v>
      </c>
      <c r="J124" s="110">
        <v>1599.36</v>
      </c>
      <c r="K124" t="str">
        <f t="shared" si="1"/>
        <v>Rabu</v>
      </c>
    </row>
    <row r="125" spans="1:11" x14ac:dyDescent="0.25">
      <c r="A125" s="207" t="s">
        <v>161</v>
      </c>
      <c r="B125" s="112">
        <v>45790</v>
      </c>
      <c r="C125" s="109" t="s">
        <v>34</v>
      </c>
      <c r="D125" s="109" t="s">
        <v>55</v>
      </c>
      <c r="E125" s="109" t="s">
        <v>27</v>
      </c>
      <c r="F125" s="109" t="s">
        <v>32</v>
      </c>
      <c r="G125" s="109" t="s">
        <v>20</v>
      </c>
      <c r="H125" s="110">
        <v>54.21</v>
      </c>
      <c r="I125" s="109">
        <v>11</v>
      </c>
      <c r="J125" s="110">
        <v>596.30999999999995</v>
      </c>
      <c r="K125" t="str">
        <f t="shared" si="1"/>
        <v>Selasa</v>
      </c>
    </row>
    <row r="126" spans="1:11" x14ac:dyDescent="0.25">
      <c r="A126" s="207" t="s">
        <v>162</v>
      </c>
      <c r="B126" s="112">
        <v>45663</v>
      </c>
      <c r="C126" s="109" t="s">
        <v>30</v>
      </c>
      <c r="D126" s="109" t="s">
        <v>22</v>
      </c>
      <c r="E126" s="109" t="s">
        <v>23</v>
      </c>
      <c r="F126" s="109" t="s">
        <v>28</v>
      </c>
      <c r="G126" s="109" t="s">
        <v>36</v>
      </c>
      <c r="H126" s="110">
        <v>80.150000000000006</v>
      </c>
      <c r="I126" s="109">
        <v>17</v>
      </c>
      <c r="J126" s="110">
        <v>1362.55</v>
      </c>
      <c r="K126" t="str">
        <f t="shared" si="1"/>
        <v>Senin</v>
      </c>
    </row>
    <row r="127" spans="1:11" x14ac:dyDescent="0.25">
      <c r="A127" s="207" t="s">
        <v>163</v>
      </c>
      <c r="B127" s="112">
        <v>45908</v>
      </c>
      <c r="C127" s="109" t="s">
        <v>30</v>
      </c>
      <c r="D127" s="109" t="s">
        <v>12</v>
      </c>
      <c r="E127" s="109" t="s">
        <v>41</v>
      </c>
      <c r="F127" s="109" t="s">
        <v>28</v>
      </c>
      <c r="G127" s="109" t="s">
        <v>20</v>
      </c>
      <c r="H127" s="110">
        <v>123.96</v>
      </c>
      <c r="I127" s="109">
        <v>18</v>
      </c>
      <c r="J127" s="110">
        <v>2231.2800000000002</v>
      </c>
      <c r="K127" t="str">
        <f t="shared" si="1"/>
        <v>Senin</v>
      </c>
    </row>
    <row r="128" spans="1:11" x14ac:dyDescent="0.25">
      <c r="A128" s="207" t="s">
        <v>164</v>
      </c>
      <c r="B128" s="112">
        <v>45909</v>
      </c>
      <c r="C128" s="109" t="s">
        <v>11</v>
      </c>
      <c r="D128" s="109" t="s">
        <v>22</v>
      </c>
      <c r="E128" s="109" t="s">
        <v>13</v>
      </c>
      <c r="F128" s="109" t="s">
        <v>14</v>
      </c>
      <c r="G128" s="109" t="s">
        <v>36</v>
      </c>
      <c r="H128" s="110">
        <v>209.96</v>
      </c>
      <c r="I128" s="109">
        <v>15</v>
      </c>
      <c r="J128" s="110">
        <v>3149.4</v>
      </c>
      <c r="K128" t="str">
        <f t="shared" si="1"/>
        <v>Selasa</v>
      </c>
    </row>
    <row r="129" spans="1:11" x14ac:dyDescent="0.25">
      <c r="A129" s="207" t="s">
        <v>165</v>
      </c>
      <c r="B129" s="112">
        <v>46012</v>
      </c>
      <c r="C129" s="109" t="s">
        <v>34</v>
      </c>
      <c r="D129" s="109" t="s">
        <v>12</v>
      </c>
      <c r="E129" s="109" t="s">
        <v>18</v>
      </c>
      <c r="F129" s="109" t="s">
        <v>32</v>
      </c>
      <c r="G129" s="109" t="s">
        <v>36</v>
      </c>
      <c r="H129" s="110">
        <v>219.36</v>
      </c>
      <c r="I129" s="109">
        <v>8</v>
      </c>
      <c r="J129" s="110">
        <v>1754.88</v>
      </c>
      <c r="K129" t="str">
        <f t="shared" si="1"/>
        <v>Minggu</v>
      </c>
    </row>
    <row r="130" spans="1:11" x14ac:dyDescent="0.25">
      <c r="A130" s="207" t="s">
        <v>166</v>
      </c>
      <c r="B130" s="112">
        <v>45941</v>
      </c>
      <c r="C130" s="109" t="s">
        <v>34</v>
      </c>
      <c r="D130" s="109" t="s">
        <v>31</v>
      </c>
      <c r="E130" s="109" t="s">
        <v>27</v>
      </c>
      <c r="F130" s="109" t="s">
        <v>42</v>
      </c>
      <c r="G130" s="109" t="s">
        <v>36</v>
      </c>
      <c r="H130" s="110">
        <v>31.53</v>
      </c>
      <c r="I130" s="109">
        <v>17</v>
      </c>
      <c r="J130" s="110">
        <v>536.01</v>
      </c>
      <c r="K130" t="str">
        <f t="shared" si="1"/>
        <v>Sabtu</v>
      </c>
    </row>
    <row r="131" spans="1:11" x14ac:dyDescent="0.25">
      <c r="A131" s="207" t="s">
        <v>167</v>
      </c>
      <c r="B131" s="112">
        <v>45838</v>
      </c>
      <c r="C131" s="109" t="s">
        <v>34</v>
      </c>
      <c r="D131" s="109" t="s">
        <v>35</v>
      </c>
      <c r="E131" s="109" t="s">
        <v>13</v>
      </c>
      <c r="F131" s="109" t="s">
        <v>14</v>
      </c>
      <c r="G131" s="109" t="s">
        <v>15</v>
      </c>
      <c r="H131" s="110">
        <v>142.36000000000001</v>
      </c>
      <c r="I131" s="109">
        <v>15</v>
      </c>
      <c r="J131" s="110">
        <v>2135.4</v>
      </c>
      <c r="K131" t="str">
        <f t="shared" ref="K131:K194" si="2">TEXT(B131,"dddd")</f>
        <v>Senin</v>
      </c>
    </row>
    <row r="132" spans="1:11" x14ac:dyDescent="0.25">
      <c r="A132" s="207" t="s">
        <v>168</v>
      </c>
      <c r="B132" s="112">
        <v>45756</v>
      </c>
      <c r="C132" s="109" t="s">
        <v>11</v>
      </c>
      <c r="D132" s="109" t="s">
        <v>12</v>
      </c>
      <c r="E132" s="109" t="s">
        <v>18</v>
      </c>
      <c r="F132" s="109" t="s">
        <v>39</v>
      </c>
      <c r="G132" s="109" t="s">
        <v>20</v>
      </c>
      <c r="H132" s="110">
        <v>121.83</v>
      </c>
      <c r="I132" s="109">
        <v>11</v>
      </c>
      <c r="J132" s="110">
        <v>1340.13</v>
      </c>
      <c r="K132" t="str">
        <f t="shared" si="2"/>
        <v>Rabu</v>
      </c>
    </row>
    <row r="133" spans="1:11" x14ac:dyDescent="0.25">
      <c r="A133" s="207" t="s">
        <v>169</v>
      </c>
      <c r="B133" s="112">
        <v>45752</v>
      </c>
      <c r="C133" s="109" t="s">
        <v>30</v>
      </c>
      <c r="D133" s="109" t="s">
        <v>12</v>
      </c>
      <c r="E133" s="109" t="s">
        <v>41</v>
      </c>
      <c r="F133" s="109" t="s">
        <v>32</v>
      </c>
      <c r="G133" s="109" t="s">
        <v>20</v>
      </c>
      <c r="H133" s="110">
        <v>78.86</v>
      </c>
      <c r="I133" s="109">
        <v>7</v>
      </c>
      <c r="J133" s="110">
        <v>552.02</v>
      </c>
      <c r="K133" t="str">
        <f t="shared" si="2"/>
        <v>Sabtu</v>
      </c>
    </row>
    <row r="134" spans="1:11" x14ac:dyDescent="0.25">
      <c r="A134" s="207" t="s">
        <v>170</v>
      </c>
      <c r="B134" s="112">
        <v>45959</v>
      </c>
      <c r="C134" s="109" t="s">
        <v>25</v>
      </c>
      <c r="D134" s="109" t="s">
        <v>35</v>
      </c>
      <c r="E134" s="109" t="s">
        <v>45</v>
      </c>
      <c r="F134" s="109" t="s">
        <v>39</v>
      </c>
      <c r="G134" s="109" t="s">
        <v>15</v>
      </c>
      <c r="H134" s="110">
        <v>56.37</v>
      </c>
      <c r="I134" s="109">
        <v>17</v>
      </c>
      <c r="J134" s="110">
        <v>958.29</v>
      </c>
      <c r="K134" t="str">
        <f t="shared" si="2"/>
        <v>Rabu</v>
      </c>
    </row>
    <row r="135" spans="1:11" x14ac:dyDescent="0.25">
      <c r="A135" s="207" t="s">
        <v>171</v>
      </c>
      <c r="B135" s="112">
        <v>45809</v>
      </c>
      <c r="C135" s="109" t="s">
        <v>34</v>
      </c>
      <c r="D135" s="109" t="s">
        <v>26</v>
      </c>
      <c r="E135" s="109" t="s">
        <v>13</v>
      </c>
      <c r="F135" s="109" t="s">
        <v>19</v>
      </c>
      <c r="G135" s="109" t="s">
        <v>20</v>
      </c>
      <c r="H135" s="110">
        <v>104.28</v>
      </c>
      <c r="I135" s="109">
        <v>8</v>
      </c>
      <c r="J135" s="110">
        <v>834.24</v>
      </c>
      <c r="K135" t="str">
        <f t="shared" si="2"/>
        <v>Minggu</v>
      </c>
    </row>
    <row r="136" spans="1:11" x14ac:dyDescent="0.25">
      <c r="A136" s="207" t="s">
        <v>172</v>
      </c>
      <c r="B136" s="112">
        <v>45931</v>
      </c>
      <c r="C136" s="109" t="s">
        <v>34</v>
      </c>
      <c r="D136" s="109" t="s">
        <v>22</v>
      </c>
      <c r="E136" s="109" t="s">
        <v>45</v>
      </c>
      <c r="F136" s="109" t="s">
        <v>42</v>
      </c>
      <c r="G136" s="109" t="s">
        <v>36</v>
      </c>
      <c r="H136" s="110">
        <v>237.44</v>
      </c>
      <c r="I136" s="109">
        <v>5</v>
      </c>
      <c r="J136" s="110">
        <v>1187.2</v>
      </c>
      <c r="K136" t="str">
        <f t="shared" si="2"/>
        <v>Rabu</v>
      </c>
    </row>
    <row r="137" spans="1:11" x14ac:dyDescent="0.25">
      <c r="A137" s="207" t="s">
        <v>173</v>
      </c>
      <c r="B137" s="112">
        <v>46015</v>
      </c>
      <c r="C137" s="109" t="s">
        <v>17</v>
      </c>
      <c r="D137" s="109" t="s">
        <v>31</v>
      </c>
      <c r="E137" s="109" t="s">
        <v>45</v>
      </c>
      <c r="F137" s="109" t="s">
        <v>39</v>
      </c>
      <c r="G137" s="109" t="s">
        <v>15</v>
      </c>
      <c r="H137" s="110">
        <v>101.1</v>
      </c>
      <c r="I137" s="109">
        <v>5</v>
      </c>
      <c r="J137" s="110">
        <v>505.5</v>
      </c>
      <c r="K137" t="str">
        <f t="shared" si="2"/>
        <v>Rabu</v>
      </c>
    </row>
    <row r="138" spans="1:11" x14ac:dyDescent="0.25">
      <c r="A138" s="207" t="s">
        <v>174</v>
      </c>
      <c r="B138" s="112">
        <v>45951</v>
      </c>
      <c r="C138" s="109" t="s">
        <v>38</v>
      </c>
      <c r="D138" s="109" t="s">
        <v>31</v>
      </c>
      <c r="E138" s="109" t="s">
        <v>41</v>
      </c>
      <c r="F138" s="109" t="s">
        <v>32</v>
      </c>
      <c r="G138" s="109" t="s">
        <v>15</v>
      </c>
      <c r="H138" s="110">
        <v>144.13</v>
      </c>
      <c r="I138" s="109">
        <v>10</v>
      </c>
      <c r="J138" s="110">
        <v>1441.3</v>
      </c>
      <c r="K138" t="str">
        <f t="shared" si="2"/>
        <v>Selasa</v>
      </c>
    </row>
    <row r="139" spans="1:11" x14ac:dyDescent="0.25">
      <c r="A139" s="207" t="s">
        <v>175</v>
      </c>
      <c r="B139" s="112">
        <v>45684</v>
      </c>
      <c r="C139" s="109" t="s">
        <v>38</v>
      </c>
      <c r="D139" s="109" t="s">
        <v>22</v>
      </c>
      <c r="E139" s="109" t="s">
        <v>45</v>
      </c>
      <c r="F139" s="109" t="s">
        <v>61</v>
      </c>
      <c r="G139" s="109" t="s">
        <v>36</v>
      </c>
      <c r="H139" s="110">
        <v>184.66</v>
      </c>
      <c r="I139" s="109">
        <v>9</v>
      </c>
      <c r="J139" s="110">
        <v>1661.94</v>
      </c>
      <c r="K139" t="str">
        <f t="shared" si="2"/>
        <v>Senin</v>
      </c>
    </row>
    <row r="140" spans="1:11" x14ac:dyDescent="0.25">
      <c r="A140" s="207" t="s">
        <v>176</v>
      </c>
      <c r="B140" s="112">
        <v>45695</v>
      </c>
      <c r="C140" s="109" t="s">
        <v>17</v>
      </c>
      <c r="D140" s="109" t="s">
        <v>12</v>
      </c>
      <c r="E140" s="109" t="s">
        <v>45</v>
      </c>
      <c r="F140" s="109" t="s">
        <v>14</v>
      </c>
      <c r="G140" s="109" t="s">
        <v>15</v>
      </c>
      <c r="H140" s="110">
        <v>110</v>
      </c>
      <c r="I140" s="109">
        <v>19</v>
      </c>
      <c r="J140" s="110">
        <v>2090</v>
      </c>
      <c r="K140" t="str">
        <f t="shared" si="2"/>
        <v>Jumat</v>
      </c>
    </row>
    <row r="141" spans="1:11" x14ac:dyDescent="0.25">
      <c r="A141" s="207" t="s">
        <v>177</v>
      </c>
      <c r="B141" s="112">
        <v>45946</v>
      </c>
      <c r="C141" s="109" t="s">
        <v>11</v>
      </c>
      <c r="D141" s="109" t="s">
        <v>26</v>
      </c>
      <c r="E141" s="109" t="s">
        <v>45</v>
      </c>
      <c r="F141" s="109" t="s">
        <v>42</v>
      </c>
      <c r="G141" s="109" t="s">
        <v>36</v>
      </c>
      <c r="H141" s="110">
        <v>243.79</v>
      </c>
      <c r="I141" s="109">
        <v>10</v>
      </c>
      <c r="J141" s="110">
        <v>2437.9</v>
      </c>
      <c r="K141" t="str">
        <f t="shared" si="2"/>
        <v>Kamis</v>
      </c>
    </row>
    <row r="142" spans="1:11" x14ac:dyDescent="0.25">
      <c r="A142" s="207" t="s">
        <v>178</v>
      </c>
      <c r="B142" s="112">
        <v>45968</v>
      </c>
      <c r="C142" s="109" t="s">
        <v>25</v>
      </c>
      <c r="D142" s="109" t="s">
        <v>26</v>
      </c>
      <c r="E142" s="109" t="s">
        <v>18</v>
      </c>
      <c r="F142" s="109" t="s">
        <v>61</v>
      </c>
      <c r="G142" s="109" t="s">
        <v>36</v>
      </c>
      <c r="H142" s="110">
        <v>241.74</v>
      </c>
      <c r="I142" s="109">
        <v>20</v>
      </c>
      <c r="J142" s="110">
        <v>4834.8</v>
      </c>
      <c r="K142" t="str">
        <f t="shared" si="2"/>
        <v>Jumat</v>
      </c>
    </row>
    <row r="143" spans="1:11" x14ac:dyDescent="0.25">
      <c r="A143" s="207" t="s">
        <v>179</v>
      </c>
      <c r="B143" s="112">
        <v>45884</v>
      </c>
      <c r="C143" s="109" t="s">
        <v>25</v>
      </c>
      <c r="D143" s="109" t="s">
        <v>31</v>
      </c>
      <c r="E143" s="109" t="s">
        <v>13</v>
      </c>
      <c r="F143" s="109" t="s">
        <v>42</v>
      </c>
      <c r="G143" s="109" t="s">
        <v>20</v>
      </c>
      <c r="H143" s="110">
        <v>85.39</v>
      </c>
      <c r="I143" s="109">
        <v>10</v>
      </c>
      <c r="J143" s="110">
        <v>853.9</v>
      </c>
      <c r="K143" t="str">
        <f t="shared" si="2"/>
        <v>Jumat</v>
      </c>
    </row>
    <row r="144" spans="1:11" x14ac:dyDescent="0.25">
      <c r="A144" s="207" t="s">
        <v>180</v>
      </c>
      <c r="B144" s="112">
        <v>45688</v>
      </c>
      <c r="C144" s="109" t="s">
        <v>17</v>
      </c>
      <c r="D144" s="109" t="s">
        <v>22</v>
      </c>
      <c r="E144" s="109" t="s">
        <v>23</v>
      </c>
      <c r="F144" s="109" t="s">
        <v>28</v>
      </c>
      <c r="G144" s="109" t="s">
        <v>15</v>
      </c>
      <c r="H144" s="110">
        <v>139.38999999999999</v>
      </c>
      <c r="I144" s="109">
        <v>20</v>
      </c>
      <c r="J144" s="110">
        <v>2787.8</v>
      </c>
      <c r="K144" t="str">
        <f t="shared" si="2"/>
        <v>Jumat</v>
      </c>
    </row>
    <row r="145" spans="1:11" x14ac:dyDescent="0.25">
      <c r="A145" s="207" t="s">
        <v>181</v>
      </c>
      <c r="B145" s="112">
        <v>45793</v>
      </c>
      <c r="C145" s="109" t="s">
        <v>30</v>
      </c>
      <c r="D145" s="109" t="s">
        <v>26</v>
      </c>
      <c r="E145" s="109" t="s">
        <v>23</v>
      </c>
      <c r="F145" s="109" t="s">
        <v>42</v>
      </c>
      <c r="G145" s="109" t="s">
        <v>15</v>
      </c>
      <c r="H145" s="110">
        <v>96.19</v>
      </c>
      <c r="I145" s="109">
        <v>3</v>
      </c>
      <c r="J145" s="110">
        <v>288.57</v>
      </c>
      <c r="K145" t="str">
        <f t="shared" si="2"/>
        <v>Jumat</v>
      </c>
    </row>
    <row r="146" spans="1:11" x14ac:dyDescent="0.25">
      <c r="A146" s="207" t="s">
        <v>182</v>
      </c>
      <c r="B146" s="112">
        <v>45738</v>
      </c>
      <c r="C146" s="109" t="s">
        <v>38</v>
      </c>
      <c r="D146" s="109" t="s">
        <v>31</v>
      </c>
      <c r="E146" s="109" t="s">
        <v>27</v>
      </c>
      <c r="F146" s="109" t="s">
        <v>42</v>
      </c>
      <c r="G146" s="109" t="s">
        <v>36</v>
      </c>
      <c r="H146" s="110">
        <v>92.66</v>
      </c>
      <c r="I146" s="109">
        <v>1</v>
      </c>
      <c r="J146" s="110">
        <v>92.66</v>
      </c>
      <c r="K146" t="str">
        <f t="shared" si="2"/>
        <v>Sabtu</v>
      </c>
    </row>
    <row r="147" spans="1:11" x14ac:dyDescent="0.25">
      <c r="A147" s="207" t="s">
        <v>183</v>
      </c>
      <c r="B147" s="112">
        <v>45807</v>
      </c>
      <c r="C147" s="109" t="s">
        <v>30</v>
      </c>
      <c r="D147" s="109" t="s">
        <v>35</v>
      </c>
      <c r="E147" s="109" t="s">
        <v>27</v>
      </c>
      <c r="F147" s="109" t="s">
        <v>32</v>
      </c>
      <c r="G147" s="109" t="s">
        <v>20</v>
      </c>
      <c r="H147" s="110">
        <v>38.119999999999997</v>
      </c>
      <c r="I147" s="109">
        <v>2</v>
      </c>
      <c r="J147" s="110">
        <v>76.239999999999995</v>
      </c>
      <c r="K147" t="str">
        <f t="shared" si="2"/>
        <v>Jumat</v>
      </c>
    </row>
    <row r="148" spans="1:11" x14ac:dyDescent="0.25">
      <c r="A148" s="207" t="s">
        <v>184</v>
      </c>
      <c r="B148" s="112">
        <v>45890</v>
      </c>
      <c r="C148" s="109" t="s">
        <v>17</v>
      </c>
      <c r="D148" s="109" t="s">
        <v>26</v>
      </c>
      <c r="E148" s="109" t="s">
        <v>13</v>
      </c>
      <c r="F148" s="109" t="s">
        <v>39</v>
      </c>
      <c r="G148" s="109" t="s">
        <v>20</v>
      </c>
      <c r="H148" s="110">
        <v>164.1</v>
      </c>
      <c r="I148" s="109">
        <v>3</v>
      </c>
      <c r="J148" s="110">
        <v>492.3</v>
      </c>
      <c r="K148" t="str">
        <f t="shared" si="2"/>
        <v>Kamis</v>
      </c>
    </row>
    <row r="149" spans="1:11" x14ac:dyDescent="0.25">
      <c r="A149" s="207" t="s">
        <v>185</v>
      </c>
      <c r="B149" s="112">
        <v>45959</v>
      </c>
      <c r="C149" s="109" t="s">
        <v>38</v>
      </c>
      <c r="D149" s="109" t="s">
        <v>22</v>
      </c>
      <c r="E149" s="109" t="s">
        <v>18</v>
      </c>
      <c r="F149" s="109" t="s">
        <v>14</v>
      </c>
      <c r="G149" s="109" t="s">
        <v>20</v>
      </c>
      <c r="H149" s="110">
        <v>140.59</v>
      </c>
      <c r="I149" s="109">
        <v>7</v>
      </c>
      <c r="J149" s="110">
        <v>984.13</v>
      </c>
      <c r="K149" t="str">
        <f t="shared" si="2"/>
        <v>Rabu</v>
      </c>
    </row>
    <row r="150" spans="1:11" x14ac:dyDescent="0.25">
      <c r="A150" s="207" t="s">
        <v>186</v>
      </c>
      <c r="B150" s="112">
        <v>45734</v>
      </c>
      <c r="C150" s="109" t="s">
        <v>30</v>
      </c>
      <c r="D150" s="109" t="s">
        <v>22</v>
      </c>
      <c r="E150" s="109" t="s">
        <v>45</v>
      </c>
      <c r="F150" s="109" t="s">
        <v>14</v>
      </c>
      <c r="G150" s="109" t="s">
        <v>36</v>
      </c>
      <c r="H150" s="110">
        <v>41.33</v>
      </c>
      <c r="I150" s="109">
        <v>9</v>
      </c>
      <c r="J150" s="110">
        <v>371.97</v>
      </c>
      <c r="K150" t="str">
        <f t="shared" si="2"/>
        <v>Selasa</v>
      </c>
    </row>
    <row r="151" spans="1:11" x14ac:dyDescent="0.25">
      <c r="A151" s="207" t="s">
        <v>187</v>
      </c>
      <c r="B151" s="112">
        <v>45962</v>
      </c>
      <c r="C151" s="109" t="s">
        <v>34</v>
      </c>
      <c r="D151" s="109" t="s">
        <v>31</v>
      </c>
      <c r="E151" s="109" t="s">
        <v>45</v>
      </c>
      <c r="F151" s="109" t="s">
        <v>61</v>
      </c>
      <c r="G151" s="109" t="s">
        <v>20</v>
      </c>
      <c r="H151" s="110">
        <v>91.3</v>
      </c>
      <c r="I151" s="109">
        <v>19</v>
      </c>
      <c r="J151" s="110">
        <v>1734.7</v>
      </c>
      <c r="K151" t="str">
        <f t="shared" si="2"/>
        <v>Sabtu</v>
      </c>
    </row>
    <row r="152" spans="1:11" x14ac:dyDescent="0.25">
      <c r="A152" s="207" t="s">
        <v>188</v>
      </c>
      <c r="B152" s="112">
        <v>45813</v>
      </c>
      <c r="C152" s="109" t="s">
        <v>34</v>
      </c>
      <c r="D152" s="109" t="s">
        <v>55</v>
      </c>
      <c r="E152" s="109" t="s">
        <v>18</v>
      </c>
      <c r="F152" s="109" t="s">
        <v>61</v>
      </c>
      <c r="G152" s="109" t="s">
        <v>36</v>
      </c>
      <c r="H152" s="110">
        <v>229.82</v>
      </c>
      <c r="I152" s="109">
        <v>13</v>
      </c>
      <c r="J152" s="110">
        <v>2987.66</v>
      </c>
      <c r="K152" t="str">
        <f t="shared" si="2"/>
        <v>Kamis</v>
      </c>
    </row>
    <row r="153" spans="1:11" x14ac:dyDescent="0.25">
      <c r="A153" s="207" t="s">
        <v>189</v>
      </c>
      <c r="B153" s="112">
        <v>45699</v>
      </c>
      <c r="C153" s="109" t="s">
        <v>11</v>
      </c>
      <c r="D153" s="109" t="s">
        <v>31</v>
      </c>
      <c r="E153" s="109" t="s">
        <v>27</v>
      </c>
      <c r="F153" s="109" t="s">
        <v>32</v>
      </c>
      <c r="G153" s="109" t="s">
        <v>20</v>
      </c>
      <c r="H153" s="110">
        <v>82.7</v>
      </c>
      <c r="I153" s="109">
        <v>20</v>
      </c>
      <c r="J153" s="110">
        <v>1654</v>
      </c>
      <c r="K153" t="str">
        <f t="shared" si="2"/>
        <v>Selasa</v>
      </c>
    </row>
    <row r="154" spans="1:11" x14ac:dyDescent="0.25">
      <c r="A154" s="207" t="s">
        <v>190</v>
      </c>
      <c r="B154" s="112">
        <v>45786</v>
      </c>
      <c r="C154" s="109" t="s">
        <v>11</v>
      </c>
      <c r="D154" s="109" t="s">
        <v>26</v>
      </c>
      <c r="E154" s="109" t="s">
        <v>27</v>
      </c>
      <c r="F154" s="109" t="s">
        <v>39</v>
      </c>
      <c r="G154" s="109" t="s">
        <v>20</v>
      </c>
      <c r="H154" s="110">
        <v>61.88</v>
      </c>
      <c r="I154" s="109">
        <v>1</v>
      </c>
      <c r="J154" s="110">
        <v>61.88</v>
      </c>
      <c r="K154" t="str">
        <f t="shared" si="2"/>
        <v>Jumat</v>
      </c>
    </row>
    <row r="155" spans="1:11" x14ac:dyDescent="0.25">
      <c r="A155" s="207" t="s">
        <v>191</v>
      </c>
      <c r="B155" s="112">
        <v>45958</v>
      </c>
      <c r="C155" s="109" t="s">
        <v>17</v>
      </c>
      <c r="D155" s="109" t="s">
        <v>35</v>
      </c>
      <c r="E155" s="109" t="s">
        <v>18</v>
      </c>
      <c r="F155" s="109" t="s">
        <v>19</v>
      </c>
      <c r="G155" s="109" t="s">
        <v>15</v>
      </c>
      <c r="H155" s="110">
        <v>137.68</v>
      </c>
      <c r="I155" s="109">
        <v>1</v>
      </c>
      <c r="J155" s="110">
        <v>137.68</v>
      </c>
      <c r="K155" t="str">
        <f t="shared" si="2"/>
        <v>Selasa</v>
      </c>
    </row>
    <row r="156" spans="1:11" x14ac:dyDescent="0.25">
      <c r="A156" s="207" t="s">
        <v>192</v>
      </c>
      <c r="B156" s="112">
        <v>45898</v>
      </c>
      <c r="C156" s="109" t="s">
        <v>17</v>
      </c>
      <c r="D156" s="109" t="s">
        <v>31</v>
      </c>
      <c r="E156" s="109" t="s">
        <v>13</v>
      </c>
      <c r="F156" s="109" t="s">
        <v>14</v>
      </c>
      <c r="G156" s="109" t="s">
        <v>20</v>
      </c>
      <c r="H156" s="110">
        <v>246.84</v>
      </c>
      <c r="I156" s="109">
        <v>17</v>
      </c>
      <c r="J156" s="110">
        <v>4196.28</v>
      </c>
      <c r="K156" t="str">
        <f t="shared" si="2"/>
        <v>Jumat</v>
      </c>
    </row>
    <row r="157" spans="1:11" x14ac:dyDescent="0.25">
      <c r="A157" s="207" t="s">
        <v>193</v>
      </c>
      <c r="B157" s="112">
        <v>45881</v>
      </c>
      <c r="C157" s="109" t="s">
        <v>11</v>
      </c>
      <c r="D157" s="109" t="s">
        <v>31</v>
      </c>
      <c r="E157" s="109" t="s">
        <v>13</v>
      </c>
      <c r="F157" s="109" t="s">
        <v>61</v>
      </c>
      <c r="G157" s="109" t="s">
        <v>36</v>
      </c>
      <c r="H157" s="110">
        <v>83.25</v>
      </c>
      <c r="I157" s="109">
        <v>16</v>
      </c>
      <c r="J157" s="110">
        <v>1332</v>
      </c>
      <c r="K157" t="str">
        <f t="shared" si="2"/>
        <v>Selasa</v>
      </c>
    </row>
    <row r="158" spans="1:11" x14ac:dyDescent="0.25">
      <c r="A158" s="207" t="s">
        <v>194</v>
      </c>
      <c r="B158" s="112">
        <v>45822</v>
      </c>
      <c r="C158" s="109" t="s">
        <v>30</v>
      </c>
      <c r="D158" s="109" t="s">
        <v>35</v>
      </c>
      <c r="E158" s="109" t="s">
        <v>41</v>
      </c>
      <c r="F158" s="109" t="s">
        <v>28</v>
      </c>
      <c r="G158" s="109" t="s">
        <v>36</v>
      </c>
      <c r="H158" s="110">
        <v>177.87</v>
      </c>
      <c r="I158" s="109">
        <v>4</v>
      </c>
      <c r="J158" s="110">
        <v>711.48</v>
      </c>
      <c r="K158" t="str">
        <f t="shared" si="2"/>
        <v>Sabtu</v>
      </c>
    </row>
    <row r="159" spans="1:11" x14ac:dyDescent="0.25">
      <c r="A159" s="207" t="s">
        <v>195</v>
      </c>
      <c r="B159" s="112">
        <v>45805</v>
      </c>
      <c r="C159" s="109" t="s">
        <v>25</v>
      </c>
      <c r="D159" s="109" t="s">
        <v>22</v>
      </c>
      <c r="E159" s="109" t="s">
        <v>41</v>
      </c>
      <c r="F159" s="109" t="s">
        <v>19</v>
      </c>
      <c r="G159" s="109" t="s">
        <v>36</v>
      </c>
      <c r="H159" s="110">
        <v>197.56</v>
      </c>
      <c r="I159" s="109">
        <v>13</v>
      </c>
      <c r="J159" s="110">
        <v>2568.2800000000002</v>
      </c>
      <c r="K159" t="str">
        <f t="shared" si="2"/>
        <v>Rabu</v>
      </c>
    </row>
    <row r="160" spans="1:11" x14ac:dyDescent="0.25">
      <c r="A160" s="207" t="s">
        <v>196</v>
      </c>
      <c r="B160" s="112">
        <v>45787</v>
      </c>
      <c r="C160" s="109" t="s">
        <v>11</v>
      </c>
      <c r="D160" s="109" t="s">
        <v>31</v>
      </c>
      <c r="E160" s="109" t="s">
        <v>18</v>
      </c>
      <c r="F160" s="109" t="s">
        <v>39</v>
      </c>
      <c r="G160" s="109" t="s">
        <v>15</v>
      </c>
      <c r="H160" s="110">
        <v>82.28</v>
      </c>
      <c r="I160" s="109">
        <v>11</v>
      </c>
      <c r="J160" s="110">
        <v>905.08</v>
      </c>
      <c r="K160" t="str">
        <f t="shared" si="2"/>
        <v>Sabtu</v>
      </c>
    </row>
    <row r="161" spans="1:11" x14ac:dyDescent="0.25">
      <c r="A161" s="207" t="s">
        <v>197</v>
      </c>
      <c r="B161" s="112">
        <v>45994</v>
      </c>
      <c r="C161" s="109" t="s">
        <v>38</v>
      </c>
      <c r="D161" s="109" t="s">
        <v>31</v>
      </c>
      <c r="E161" s="109" t="s">
        <v>45</v>
      </c>
      <c r="F161" s="109" t="s">
        <v>14</v>
      </c>
      <c r="G161" s="109" t="s">
        <v>20</v>
      </c>
      <c r="H161" s="110">
        <v>190.21</v>
      </c>
      <c r="I161" s="109">
        <v>18</v>
      </c>
      <c r="J161" s="110">
        <v>3423.78</v>
      </c>
      <c r="K161" t="str">
        <f t="shared" si="2"/>
        <v>Rabu</v>
      </c>
    </row>
    <row r="162" spans="1:11" x14ac:dyDescent="0.25">
      <c r="A162" s="207" t="s">
        <v>198</v>
      </c>
      <c r="B162" s="112">
        <v>45843</v>
      </c>
      <c r="C162" s="109" t="s">
        <v>38</v>
      </c>
      <c r="D162" s="109" t="s">
        <v>12</v>
      </c>
      <c r="E162" s="109" t="s">
        <v>41</v>
      </c>
      <c r="F162" s="109" t="s">
        <v>39</v>
      </c>
      <c r="G162" s="109" t="s">
        <v>15</v>
      </c>
      <c r="H162" s="110">
        <v>110.91</v>
      </c>
      <c r="I162" s="109">
        <v>20</v>
      </c>
      <c r="J162" s="110">
        <v>2218.1999999999998</v>
      </c>
      <c r="K162" t="str">
        <f t="shared" si="2"/>
        <v>Sabtu</v>
      </c>
    </row>
    <row r="163" spans="1:11" x14ac:dyDescent="0.25">
      <c r="A163" s="207" t="s">
        <v>199</v>
      </c>
      <c r="B163" s="112">
        <v>45762</v>
      </c>
      <c r="C163" s="109" t="s">
        <v>25</v>
      </c>
      <c r="D163" s="109" t="s">
        <v>26</v>
      </c>
      <c r="E163" s="109" t="s">
        <v>13</v>
      </c>
      <c r="F163" s="109" t="s">
        <v>61</v>
      </c>
      <c r="G163" s="109" t="s">
        <v>20</v>
      </c>
      <c r="H163" s="110">
        <v>169.11</v>
      </c>
      <c r="I163" s="109">
        <v>9</v>
      </c>
      <c r="J163" s="110">
        <v>1521.99</v>
      </c>
      <c r="K163" t="str">
        <f t="shared" si="2"/>
        <v>Selasa</v>
      </c>
    </row>
    <row r="164" spans="1:11" x14ac:dyDescent="0.25">
      <c r="A164" s="207" t="s">
        <v>200</v>
      </c>
      <c r="B164" s="112">
        <v>45906</v>
      </c>
      <c r="C164" s="109" t="s">
        <v>11</v>
      </c>
      <c r="D164" s="109" t="s">
        <v>12</v>
      </c>
      <c r="E164" s="109" t="s">
        <v>18</v>
      </c>
      <c r="F164" s="109" t="s">
        <v>39</v>
      </c>
      <c r="G164" s="109" t="s">
        <v>15</v>
      </c>
      <c r="H164" s="110">
        <v>169.38</v>
      </c>
      <c r="I164" s="109">
        <v>4</v>
      </c>
      <c r="J164" s="110">
        <v>677.52</v>
      </c>
      <c r="K164" t="str">
        <f t="shared" si="2"/>
        <v>Sabtu</v>
      </c>
    </row>
    <row r="165" spans="1:11" x14ac:dyDescent="0.25">
      <c r="A165" s="207" t="s">
        <v>201</v>
      </c>
      <c r="B165" s="112">
        <v>46021</v>
      </c>
      <c r="C165" s="109" t="s">
        <v>34</v>
      </c>
      <c r="D165" s="109" t="s">
        <v>55</v>
      </c>
      <c r="E165" s="109" t="s">
        <v>45</v>
      </c>
      <c r="F165" s="109" t="s">
        <v>42</v>
      </c>
      <c r="G165" s="109" t="s">
        <v>36</v>
      </c>
      <c r="H165" s="110">
        <v>147.87</v>
      </c>
      <c r="I165" s="109">
        <v>6</v>
      </c>
      <c r="J165" s="110">
        <v>887.22</v>
      </c>
      <c r="K165" t="str">
        <f t="shared" si="2"/>
        <v>Selasa</v>
      </c>
    </row>
    <row r="166" spans="1:11" x14ac:dyDescent="0.25">
      <c r="A166" s="207" t="s">
        <v>202</v>
      </c>
      <c r="B166" s="112">
        <v>45705</v>
      </c>
      <c r="C166" s="109" t="s">
        <v>11</v>
      </c>
      <c r="D166" s="109" t="s">
        <v>31</v>
      </c>
      <c r="E166" s="109" t="s">
        <v>45</v>
      </c>
      <c r="F166" s="109" t="s">
        <v>28</v>
      </c>
      <c r="G166" s="109" t="s">
        <v>15</v>
      </c>
      <c r="H166" s="110">
        <v>49.86</v>
      </c>
      <c r="I166" s="109">
        <v>8</v>
      </c>
      <c r="J166" s="110">
        <v>398.88</v>
      </c>
      <c r="K166" t="str">
        <f t="shared" si="2"/>
        <v>Senin</v>
      </c>
    </row>
    <row r="167" spans="1:11" x14ac:dyDescent="0.25">
      <c r="A167" s="207" t="s">
        <v>203</v>
      </c>
      <c r="B167" s="112">
        <v>45913</v>
      </c>
      <c r="C167" s="109" t="s">
        <v>25</v>
      </c>
      <c r="D167" s="109" t="s">
        <v>12</v>
      </c>
      <c r="E167" s="109" t="s">
        <v>13</v>
      </c>
      <c r="F167" s="109" t="s">
        <v>61</v>
      </c>
      <c r="G167" s="109" t="s">
        <v>36</v>
      </c>
      <c r="H167" s="110">
        <v>213.77</v>
      </c>
      <c r="I167" s="109">
        <v>10</v>
      </c>
      <c r="J167" s="110">
        <v>2137.6999999999998</v>
      </c>
      <c r="K167" t="str">
        <f t="shared" si="2"/>
        <v>Sabtu</v>
      </c>
    </row>
    <row r="168" spans="1:11" x14ac:dyDescent="0.25">
      <c r="A168" s="207" t="s">
        <v>204</v>
      </c>
      <c r="B168" s="112">
        <v>45899</v>
      </c>
      <c r="C168" s="109" t="s">
        <v>38</v>
      </c>
      <c r="D168" s="109" t="s">
        <v>55</v>
      </c>
      <c r="E168" s="109" t="s">
        <v>23</v>
      </c>
      <c r="F168" s="109" t="s">
        <v>61</v>
      </c>
      <c r="G168" s="109" t="s">
        <v>15</v>
      </c>
      <c r="H168" s="110">
        <v>100.57</v>
      </c>
      <c r="I168" s="109">
        <v>8</v>
      </c>
      <c r="J168" s="110">
        <v>804.56</v>
      </c>
      <c r="K168" t="str">
        <f t="shared" si="2"/>
        <v>Sabtu</v>
      </c>
    </row>
    <row r="169" spans="1:11" x14ac:dyDescent="0.25">
      <c r="A169" s="207" t="s">
        <v>205</v>
      </c>
      <c r="B169" s="112">
        <v>45964</v>
      </c>
      <c r="C169" s="109" t="s">
        <v>17</v>
      </c>
      <c r="D169" s="109" t="s">
        <v>26</v>
      </c>
      <c r="E169" s="109" t="s">
        <v>45</v>
      </c>
      <c r="F169" s="109" t="s">
        <v>32</v>
      </c>
      <c r="G169" s="109" t="s">
        <v>36</v>
      </c>
      <c r="H169" s="110">
        <v>71.03</v>
      </c>
      <c r="I169" s="109">
        <v>17</v>
      </c>
      <c r="J169" s="110">
        <v>1207.51</v>
      </c>
      <c r="K169" t="str">
        <f t="shared" si="2"/>
        <v>Senin</v>
      </c>
    </row>
    <row r="170" spans="1:11" x14ac:dyDescent="0.25">
      <c r="A170" s="207" t="s">
        <v>206</v>
      </c>
      <c r="B170" s="112">
        <v>45832</v>
      </c>
      <c r="C170" s="109" t="s">
        <v>34</v>
      </c>
      <c r="D170" s="109" t="s">
        <v>22</v>
      </c>
      <c r="E170" s="109" t="s">
        <v>13</v>
      </c>
      <c r="F170" s="109" t="s">
        <v>28</v>
      </c>
      <c r="G170" s="109" t="s">
        <v>36</v>
      </c>
      <c r="H170" s="110">
        <v>38.97</v>
      </c>
      <c r="I170" s="109">
        <v>17</v>
      </c>
      <c r="J170" s="110">
        <v>662.49</v>
      </c>
      <c r="K170" t="str">
        <f t="shared" si="2"/>
        <v>Selasa</v>
      </c>
    </row>
    <row r="171" spans="1:11" x14ac:dyDescent="0.25">
      <c r="A171" s="207" t="s">
        <v>207</v>
      </c>
      <c r="B171" s="112">
        <v>45958</v>
      </c>
      <c r="C171" s="109" t="s">
        <v>17</v>
      </c>
      <c r="D171" s="109" t="s">
        <v>31</v>
      </c>
      <c r="E171" s="109" t="s">
        <v>23</v>
      </c>
      <c r="F171" s="109" t="s">
        <v>61</v>
      </c>
      <c r="G171" s="109" t="s">
        <v>20</v>
      </c>
      <c r="H171" s="110">
        <v>160</v>
      </c>
      <c r="I171" s="109">
        <v>19</v>
      </c>
      <c r="J171" s="110">
        <v>3040</v>
      </c>
      <c r="K171" t="str">
        <f t="shared" si="2"/>
        <v>Selasa</v>
      </c>
    </row>
    <row r="172" spans="1:11" x14ac:dyDescent="0.25">
      <c r="A172" s="207" t="s">
        <v>208</v>
      </c>
      <c r="B172" s="112">
        <v>45905</v>
      </c>
      <c r="C172" s="109" t="s">
        <v>34</v>
      </c>
      <c r="D172" s="109" t="s">
        <v>55</v>
      </c>
      <c r="E172" s="109" t="s">
        <v>18</v>
      </c>
      <c r="F172" s="109" t="s">
        <v>61</v>
      </c>
      <c r="G172" s="109" t="s">
        <v>36</v>
      </c>
      <c r="H172" s="110">
        <v>179.06</v>
      </c>
      <c r="I172" s="109">
        <v>12</v>
      </c>
      <c r="J172" s="110">
        <v>2148.7199999999998</v>
      </c>
      <c r="K172" t="str">
        <f t="shared" si="2"/>
        <v>Jumat</v>
      </c>
    </row>
    <row r="173" spans="1:11" x14ac:dyDescent="0.25">
      <c r="A173" s="207" t="s">
        <v>209</v>
      </c>
      <c r="B173" s="112">
        <v>45822</v>
      </c>
      <c r="C173" s="109" t="s">
        <v>17</v>
      </c>
      <c r="D173" s="109" t="s">
        <v>26</v>
      </c>
      <c r="E173" s="109" t="s">
        <v>18</v>
      </c>
      <c r="F173" s="109" t="s">
        <v>61</v>
      </c>
      <c r="G173" s="109" t="s">
        <v>15</v>
      </c>
      <c r="H173" s="110">
        <v>33.65</v>
      </c>
      <c r="I173" s="109">
        <v>7</v>
      </c>
      <c r="J173" s="110">
        <v>235.55</v>
      </c>
      <c r="K173" t="str">
        <f t="shared" si="2"/>
        <v>Sabtu</v>
      </c>
    </row>
    <row r="174" spans="1:11" x14ac:dyDescent="0.25">
      <c r="A174" s="207" t="s">
        <v>210</v>
      </c>
      <c r="B174" s="112">
        <v>45868</v>
      </c>
      <c r="C174" s="109" t="s">
        <v>34</v>
      </c>
      <c r="D174" s="109" t="s">
        <v>12</v>
      </c>
      <c r="E174" s="109" t="s">
        <v>41</v>
      </c>
      <c r="F174" s="109" t="s">
        <v>28</v>
      </c>
      <c r="G174" s="109" t="s">
        <v>36</v>
      </c>
      <c r="H174" s="110">
        <v>142.66</v>
      </c>
      <c r="I174" s="109">
        <v>2</v>
      </c>
      <c r="J174" s="110">
        <v>285.32</v>
      </c>
      <c r="K174" t="str">
        <f t="shared" si="2"/>
        <v>Rabu</v>
      </c>
    </row>
    <row r="175" spans="1:11" x14ac:dyDescent="0.25">
      <c r="A175" s="207" t="s">
        <v>211</v>
      </c>
      <c r="B175" s="112">
        <v>45855</v>
      </c>
      <c r="C175" s="109" t="s">
        <v>38</v>
      </c>
      <c r="D175" s="109" t="s">
        <v>22</v>
      </c>
      <c r="E175" s="109" t="s">
        <v>23</v>
      </c>
      <c r="F175" s="109" t="s">
        <v>42</v>
      </c>
      <c r="G175" s="109" t="s">
        <v>20</v>
      </c>
      <c r="H175" s="110">
        <v>79.83</v>
      </c>
      <c r="I175" s="109">
        <v>5</v>
      </c>
      <c r="J175" s="110">
        <v>399.15</v>
      </c>
      <c r="K175" t="str">
        <f t="shared" si="2"/>
        <v>Kamis</v>
      </c>
    </row>
    <row r="176" spans="1:11" x14ac:dyDescent="0.25">
      <c r="A176" s="207" t="s">
        <v>212</v>
      </c>
      <c r="B176" s="112">
        <v>45827</v>
      </c>
      <c r="C176" s="109" t="s">
        <v>38</v>
      </c>
      <c r="D176" s="109" t="s">
        <v>22</v>
      </c>
      <c r="E176" s="109" t="s">
        <v>18</v>
      </c>
      <c r="F176" s="109" t="s">
        <v>61</v>
      </c>
      <c r="G176" s="109" t="s">
        <v>15</v>
      </c>
      <c r="H176" s="110">
        <v>171.94</v>
      </c>
      <c r="I176" s="109">
        <v>4</v>
      </c>
      <c r="J176" s="110">
        <v>687.76</v>
      </c>
      <c r="K176" t="str">
        <f t="shared" si="2"/>
        <v>Kamis</v>
      </c>
    </row>
    <row r="177" spans="1:11" x14ac:dyDescent="0.25">
      <c r="A177" s="207" t="s">
        <v>213</v>
      </c>
      <c r="B177" s="112">
        <v>45731</v>
      </c>
      <c r="C177" s="109" t="s">
        <v>17</v>
      </c>
      <c r="D177" s="109" t="s">
        <v>26</v>
      </c>
      <c r="E177" s="109" t="s">
        <v>45</v>
      </c>
      <c r="F177" s="109" t="s">
        <v>61</v>
      </c>
      <c r="G177" s="109" t="s">
        <v>36</v>
      </c>
      <c r="H177" s="110">
        <v>68.36</v>
      </c>
      <c r="I177" s="109">
        <v>14</v>
      </c>
      <c r="J177" s="110">
        <v>957.04</v>
      </c>
      <c r="K177" t="str">
        <f t="shared" si="2"/>
        <v>Sabtu</v>
      </c>
    </row>
    <row r="178" spans="1:11" x14ac:dyDescent="0.25">
      <c r="A178" s="207" t="s">
        <v>214</v>
      </c>
      <c r="B178" s="112">
        <v>45831</v>
      </c>
      <c r="C178" s="109" t="s">
        <v>17</v>
      </c>
      <c r="D178" s="109" t="s">
        <v>31</v>
      </c>
      <c r="E178" s="109" t="s">
        <v>27</v>
      </c>
      <c r="F178" s="109" t="s">
        <v>19</v>
      </c>
      <c r="G178" s="109" t="s">
        <v>36</v>
      </c>
      <c r="H178" s="110">
        <v>182.01</v>
      </c>
      <c r="I178" s="109">
        <v>20</v>
      </c>
      <c r="J178" s="110">
        <v>3640.2</v>
      </c>
      <c r="K178" t="str">
        <f t="shared" si="2"/>
        <v>Senin</v>
      </c>
    </row>
    <row r="179" spans="1:11" x14ac:dyDescent="0.25">
      <c r="A179" s="207" t="s">
        <v>215</v>
      </c>
      <c r="B179" s="112">
        <v>46003</v>
      </c>
      <c r="C179" s="109" t="s">
        <v>38</v>
      </c>
      <c r="D179" s="109" t="s">
        <v>35</v>
      </c>
      <c r="E179" s="109" t="s">
        <v>27</v>
      </c>
      <c r="F179" s="109" t="s">
        <v>28</v>
      </c>
      <c r="G179" s="109" t="s">
        <v>36</v>
      </c>
      <c r="H179" s="110">
        <v>115.08</v>
      </c>
      <c r="I179" s="109">
        <v>18</v>
      </c>
      <c r="J179" s="110">
        <v>2071.44</v>
      </c>
      <c r="K179" t="str">
        <f t="shared" si="2"/>
        <v>Jumat</v>
      </c>
    </row>
    <row r="180" spans="1:11" x14ac:dyDescent="0.25">
      <c r="A180" s="207" t="s">
        <v>216</v>
      </c>
      <c r="B180" s="112">
        <v>45935</v>
      </c>
      <c r="C180" s="109" t="s">
        <v>25</v>
      </c>
      <c r="D180" s="109" t="s">
        <v>22</v>
      </c>
      <c r="E180" s="109" t="s">
        <v>23</v>
      </c>
      <c r="F180" s="109" t="s">
        <v>28</v>
      </c>
      <c r="G180" s="109" t="s">
        <v>20</v>
      </c>
      <c r="H180" s="110">
        <v>236.08</v>
      </c>
      <c r="I180" s="109">
        <v>2</v>
      </c>
      <c r="J180" s="110">
        <v>472.16</v>
      </c>
      <c r="K180" t="str">
        <f t="shared" si="2"/>
        <v>Minggu</v>
      </c>
    </row>
    <row r="181" spans="1:11" x14ac:dyDescent="0.25">
      <c r="A181" s="207" t="s">
        <v>217</v>
      </c>
      <c r="B181" s="112">
        <v>45805</v>
      </c>
      <c r="C181" s="109" t="s">
        <v>17</v>
      </c>
      <c r="D181" s="109" t="s">
        <v>22</v>
      </c>
      <c r="E181" s="109" t="s">
        <v>41</v>
      </c>
      <c r="F181" s="109" t="s">
        <v>19</v>
      </c>
      <c r="G181" s="109" t="s">
        <v>20</v>
      </c>
      <c r="H181" s="110">
        <v>60.25</v>
      </c>
      <c r="I181" s="109">
        <v>8</v>
      </c>
      <c r="J181" s="110">
        <v>482</v>
      </c>
      <c r="K181" t="str">
        <f t="shared" si="2"/>
        <v>Rabu</v>
      </c>
    </row>
    <row r="182" spans="1:11" x14ac:dyDescent="0.25">
      <c r="A182" s="207" t="s">
        <v>218</v>
      </c>
      <c r="B182" s="112">
        <v>46018</v>
      </c>
      <c r="C182" s="109" t="s">
        <v>38</v>
      </c>
      <c r="D182" s="109" t="s">
        <v>26</v>
      </c>
      <c r="E182" s="109" t="s">
        <v>27</v>
      </c>
      <c r="F182" s="109" t="s">
        <v>32</v>
      </c>
      <c r="G182" s="109" t="s">
        <v>15</v>
      </c>
      <c r="H182" s="110">
        <v>105.03</v>
      </c>
      <c r="I182" s="109">
        <v>4</v>
      </c>
      <c r="J182" s="110">
        <v>420.12</v>
      </c>
      <c r="K182" t="str">
        <f t="shared" si="2"/>
        <v>Sabtu</v>
      </c>
    </row>
    <row r="183" spans="1:11" x14ac:dyDescent="0.25">
      <c r="A183" s="207" t="s">
        <v>219</v>
      </c>
      <c r="B183" s="112">
        <v>45681</v>
      </c>
      <c r="C183" s="109" t="s">
        <v>11</v>
      </c>
      <c r="D183" s="109" t="s">
        <v>35</v>
      </c>
      <c r="E183" s="109" t="s">
        <v>13</v>
      </c>
      <c r="F183" s="109" t="s">
        <v>32</v>
      </c>
      <c r="G183" s="109" t="s">
        <v>36</v>
      </c>
      <c r="H183" s="110">
        <v>54.96</v>
      </c>
      <c r="I183" s="109">
        <v>11</v>
      </c>
      <c r="J183" s="110">
        <v>604.55999999999995</v>
      </c>
      <c r="K183" t="str">
        <f t="shared" si="2"/>
        <v>Jumat</v>
      </c>
    </row>
    <row r="184" spans="1:11" x14ac:dyDescent="0.25">
      <c r="A184" s="207" t="s">
        <v>220</v>
      </c>
      <c r="B184" s="112">
        <v>45732</v>
      </c>
      <c r="C184" s="109" t="s">
        <v>25</v>
      </c>
      <c r="D184" s="109" t="s">
        <v>31</v>
      </c>
      <c r="E184" s="109" t="s">
        <v>18</v>
      </c>
      <c r="F184" s="109" t="s">
        <v>28</v>
      </c>
      <c r="G184" s="109" t="s">
        <v>15</v>
      </c>
      <c r="H184" s="110">
        <v>233.43</v>
      </c>
      <c r="I184" s="109">
        <v>8</v>
      </c>
      <c r="J184" s="110">
        <v>1867.44</v>
      </c>
      <c r="K184" t="str">
        <f t="shared" si="2"/>
        <v>Minggu</v>
      </c>
    </row>
    <row r="185" spans="1:11" x14ac:dyDescent="0.25">
      <c r="A185" s="207" t="s">
        <v>221</v>
      </c>
      <c r="B185" s="112">
        <v>45745</v>
      </c>
      <c r="C185" s="109" t="s">
        <v>11</v>
      </c>
      <c r="D185" s="109" t="s">
        <v>55</v>
      </c>
      <c r="E185" s="109" t="s">
        <v>41</v>
      </c>
      <c r="F185" s="109" t="s">
        <v>42</v>
      </c>
      <c r="G185" s="109" t="s">
        <v>20</v>
      </c>
      <c r="H185" s="110">
        <v>223.01</v>
      </c>
      <c r="I185" s="109">
        <v>6</v>
      </c>
      <c r="J185" s="110">
        <v>1338.06</v>
      </c>
      <c r="K185" t="str">
        <f t="shared" si="2"/>
        <v>Sabtu</v>
      </c>
    </row>
    <row r="186" spans="1:11" x14ac:dyDescent="0.25">
      <c r="A186" s="207" t="s">
        <v>222</v>
      </c>
      <c r="B186" s="112">
        <v>45781</v>
      </c>
      <c r="C186" s="109" t="s">
        <v>25</v>
      </c>
      <c r="D186" s="109" t="s">
        <v>26</v>
      </c>
      <c r="E186" s="109" t="s">
        <v>23</v>
      </c>
      <c r="F186" s="109" t="s">
        <v>61</v>
      </c>
      <c r="G186" s="109" t="s">
        <v>20</v>
      </c>
      <c r="H186" s="110">
        <v>86.75</v>
      </c>
      <c r="I186" s="109">
        <v>16</v>
      </c>
      <c r="J186" s="110">
        <v>1388</v>
      </c>
      <c r="K186" t="str">
        <f t="shared" si="2"/>
        <v>Minggu</v>
      </c>
    </row>
    <row r="187" spans="1:11" x14ac:dyDescent="0.25">
      <c r="A187" s="207" t="s">
        <v>223</v>
      </c>
      <c r="B187" s="112">
        <v>45788</v>
      </c>
      <c r="C187" s="109" t="s">
        <v>34</v>
      </c>
      <c r="D187" s="109" t="s">
        <v>12</v>
      </c>
      <c r="E187" s="109" t="s">
        <v>45</v>
      </c>
      <c r="F187" s="109" t="s">
        <v>39</v>
      </c>
      <c r="G187" s="109" t="s">
        <v>36</v>
      </c>
      <c r="H187" s="110">
        <v>175.2</v>
      </c>
      <c r="I187" s="109">
        <v>15</v>
      </c>
      <c r="J187" s="110">
        <v>2628</v>
      </c>
      <c r="K187" t="str">
        <f t="shared" si="2"/>
        <v>Minggu</v>
      </c>
    </row>
    <row r="188" spans="1:11" x14ac:dyDescent="0.25">
      <c r="A188" s="207" t="s">
        <v>224</v>
      </c>
      <c r="B188" s="112">
        <v>45805</v>
      </c>
      <c r="C188" s="109" t="s">
        <v>30</v>
      </c>
      <c r="D188" s="109" t="s">
        <v>22</v>
      </c>
      <c r="E188" s="109" t="s">
        <v>41</v>
      </c>
      <c r="F188" s="109" t="s">
        <v>32</v>
      </c>
      <c r="G188" s="109" t="s">
        <v>20</v>
      </c>
      <c r="H188" s="110">
        <v>209.79</v>
      </c>
      <c r="I188" s="109">
        <v>18</v>
      </c>
      <c r="J188" s="110">
        <v>3776.22</v>
      </c>
      <c r="K188" t="str">
        <f t="shared" si="2"/>
        <v>Rabu</v>
      </c>
    </row>
    <row r="189" spans="1:11" x14ac:dyDescent="0.25">
      <c r="A189" s="207" t="s">
        <v>225</v>
      </c>
      <c r="B189" s="112">
        <v>45811</v>
      </c>
      <c r="C189" s="109" t="s">
        <v>17</v>
      </c>
      <c r="D189" s="109" t="s">
        <v>35</v>
      </c>
      <c r="E189" s="109" t="s">
        <v>41</v>
      </c>
      <c r="F189" s="109" t="s">
        <v>39</v>
      </c>
      <c r="G189" s="109" t="s">
        <v>36</v>
      </c>
      <c r="H189" s="110">
        <v>152.13999999999999</v>
      </c>
      <c r="I189" s="109">
        <v>14</v>
      </c>
      <c r="J189" s="110">
        <v>2129.96</v>
      </c>
      <c r="K189" t="str">
        <f t="shared" si="2"/>
        <v>Selasa</v>
      </c>
    </row>
    <row r="190" spans="1:11" x14ac:dyDescent="0.25">
      <c r="A190" s="207" t="s">
        <v>226</v>
      </c>
      <c r="B190" s="112">
        <v>45759</v>
      </c>
      <c r="C190" s="109" t="s">
        <v>38</v>
      </c>
      <c r="D190" s="109" t="s">
        <v>22</v>
      </c>
      <c r="E190" s="109" t="s">
        <v>23</v>
      </c>
      <c r="F190" s="109" t="s">
        <v>61</v>
      </c>
      <c r="G190" s="109" t="s">
        <v>20</v>
      </c>
      <c r="H190" s="110">
        <v>146.52000000000001</v>
      </c>
      <c r="I190" s="109">
        <v>13</v>
      </c>
      <c r="J190" s="110">
        <v>1904.76</v>
      </c>
      <c r="K190" t="str">
        <f t="shared" si="2"/>
        <v>Sabtu</v>
      </c>
    </row>
    <row r="191" spans="1:11" x14ac:dyDescent="0.25">
      <c r="A191" s="207" t="s">
        <v>227</v>
      </c>
      <c r="B191" s="112">
        <v>45841</v>
      </c>
      <c r="C191" s="109" t="s">
        <v>34</v>
      </c>
      <c r="D191" s="109" t="s">
        <v>12</v>
      </c>
      <c r="E191" s="109" t="s">
        <v>13</v>
      </c>
      <c r="F191" s="109" t="s">
        <v>19</v>
      </c>
      <c r="G191" s="109" t="s">
        <v>20</v>
      </c>
      <c r="H191" s="110">
        <v>83.21</v>
      </c>
      <c r="I191" s="109">
        <v>19</v>
      </c>
      <c r="J191" s="110">
        <v>1580.99</v>
      </c>
      <c r="K191" t="str">
        <f t="shared" si="2"/>
        <v>Kamis</v>
      </c>
    </row>
    <row r="192" spans="1:11" x14ac:dyDescent="0.25">
      <c r="A192" s="207" t="s">
        <v>228</v>
      </c>
      <c r="B192" s="112">
        <v>45860</v>
      </c>
      <c r="C192" s="109" t="s">
        <v>11</v>
      </c>
      <c r="D192" s="109" t="s">
        <v>55</v>
      </c>
      <c r="E192" s="109" t="s">
        <v>27</v>
      </c>
      <c r="F192" s="109" t="s">
        <v>39</v>
      </c>
      <c r="G192" s="109" t="s">
        <v>20</v>
      </c>
      <c r="H192" s="110">
        <v>50.48</v>
      </c>
      <c r="I192" s="109">
        <v>9</v>
      </c>
      <c r="J192" s="110">
        <v>454.32</v>
      </c>
      <c r="K192" t="str">
        <f t="shared" si="2"/>
        <v>Selasa</v>
      </c>
    </row>
    <row r="193" spans="1:11" x14ac:dyDescent="0.25">
      <c r="A193" s="207" t="s">
        <v>229</v>
      </c>
      <c r="B193" s="112">
        <v>45683</v>
      </c>
      <c r="C193" s="109" t="s">
        <v>17</v>
      </c>
      <c r="D193" s="109" t="s">
        <v>31</v>
      </c>
      <c r="E193" s="109" t="s">
        <v>13</v>
      </c>
      <c r="F193" s="109" t="s">
        <v>39</v>
      </c>
      <c r="G193" s="109" t="s">
        <v>15</v>
      </c>
      <c r="H193" s="110">
        <v>227.39</v>
      </c>
      <c r="I193" s="109">
        <v>20</v>
      </c>
      <c r="J193" s="110">
        <v>4547.8</v>
      </c>
      <c r="K193" t="str">
        <f t="shared" si="2"/>
        <v>Minggu</v>
      </c>
    </row>
    <row r="194" spans="1:11" x14ac:dyDescent="0.25">
      <c r="A194" s="207" t="s">
        <v>230</v>
      </c>
      <c r="B194" s="112">
        <v>45968</v>
      </c>
      <c r="C194" s="109" t="s">
        <v>30</v>
      </c>
      <c r="D194" s="109" t="s">
        <v>12</v>
      </c>
      <c r="E194" s="109" t="s">
        <v>23</v>
      </c>
      <c r="F194" s="109" t="s">
        <v>42</v>
      </c>
      <c r="G194" s="109" t="s">
        <v>36</v>
      </c>
      <c r="H194" s="110">
        <v>228.09</v>
      </c>
      <c r="I194" s="109">
        <v>12</v>
      </c>
      <c r="J194" s="110">
        <v>2737.08</v>
      </c>
      <c r="K194" t="str">
        <f t="shared" si="2"/>
        <v>Jumat</v>
      </c>
    </row>
    <row r="195" spans="1:11" x14ac:dyDescent="0.25">
      <c r="A195" s="207" t="s">
        <v>231</v>
      </c>
      <c r="B195" s="112">
        <v>46005</v>
      </c>
      <c r="C195" s="109" t="s">
        <v>17</v>
      </c>
      <c r="D195" s="109" t="s">
        <v>22</v>
      </c>
      <c r="E195" s="109" t="s">
        <v>27</v>
      </c>
      <c r="F195" s="109" t="s">
        <v>28</v>
      </c>
      <c r="G195" s="109" t="s">
        <v>15</v>
      </c>
      <c r="H195" s="110">
        <v>169.28</v>
      </c>
      <c r="I195" s="109">
        <v>5</v>
      </c>
      <c r="J195" s="110">
        <v>846.4</v>
      </c>
      <c r="K195" t="str">
        <f t="shared" ref="K195:K258" si="3">TEXT(B195,"dddd")</f>
        <v>Minggu</v>
      </c>
    </row>
    <row r="196" spans="1:11" x14ac:dyDescent="0.25">
      <c r="A196" s="207" t="s">
        <v>232</v>
      </c>
      <c r="B196" s="112">
        <v>45816</v>
      </c>
      <c r="C196" s="109" t="s">
        <v>11</v>
      </c>
      <c r="D196" s="109" t="s">
        <v>55</v>
      </c>
      <c r="E196" s="109" t="s">
        <v>13</v>
      </c>
      <c r="F196" s="109" t="s">
        <v>28</v>
      </c>
      <c r="G196" s="109" t="s">
        <v>15</v>
      </c>
      <c r="H196" s="110">
        <v>104.59</v>
      </c>
      <c r="I196" s="109">
        <v>15</v>
      </c>
      <c r="J196" s="110">
        <v>1568.85</v>
      </c>
      <c r="K196" t="str">
        <f t="shared" si="3"/>
        <v>Minggu</v>
      </c>
    </row>
    <row r="197" spans="1:11" x14ac:dyDescent="0.25">
      <c r="A197" s="207" t="s">
        <v>233</v>
      </c>
      <c r="B197" s="112">
        <v>45704</v>
      </c>
      <c r="C197" s="109" t="s">
        <v>34</v>
      </c>
      <c r="D197" s="109" t="s">
        <v>12</v>
      </c>
      <c r="E197" s="109" t="s">
        <v>41</v>
      </c>
      <c r="F197" s="109" t="s">
        <v>14</v>
      </c>
      <c r="G197" s="109" t="s">
        <v>15</v>
      </c>
      <c r="H197" s="110">
        <v>106.83</v>
      </c>
      <c r="I197" s="109">
        <v>10</v>
      </c>
      <c r="J197" s="110">
        <v>1068.3</v>
      </c>
      <c r="K197" t="str">
        <f t="shared" si="3"/>
        <v>Minggu</v>
      </c>
    </row>
    <row r="198" spans="1:11" x14ac:dyDescent="0.25">
      <c r="A198" s="207" t="s">
        <v>234</v>
      </c>
      <c r="B198" s="112">
        <v>45725</v>
      </c>
      <c r="C198" s="109" t="s">
        <v>34</v>
      </c>
      <c r="D198" s="109" t="s">
        <v>55</v>
      </c>
      <c r="E198" s="109" t="s">
        <v>18</v>
      </c>
      <c r="F198" s="109" t="s">
        <v>32</v>
      </c>
      <c r="G198" s="109" t="s">
        <v>15</v>
      </c>
      <c r="H198" s="110">
        <v>189.71</v>
      </c>
      <c r="I198" s="109">
        <v>18</v>
      </c>
      <c r="J198" s="110">
        <v>3414.78</v>
      </c>
      <c r="K198" t="str">
        <f t="shared" si="3"/>
        <v>Minggu</v>
      </c>
    </row>
    <row r="199" spans="1:11" x14ac:dyDescent="0.25">
      <c r="A199" s="207" t="s">
        <v>235</v>
      </c>
      <c r="B199" s="112">
        <v>45789</v>
      </c>
      <c r="C199" s="109" t="s">
        <v>34</v>
      </c>
      <c r="D199" s="109" t="s">
        <v>12</v>
      </c>
      <c r="E199" s="109" t="s">
        <v>13</v>
      </c>
      <c r="F199" s="109" t="s">
        <v>39</v>
      </c>
      <c r="G199" s="109" t="s">
        <v>15</v>
      </c>
      <c r="H199" s="110">
        <v>227.36</v>
      </c>
      <c r="I199" s="109">
        <v>16</v>
      </c>
      <c r="J199" s="110">
        <v>3637.76</v>
      </c>
      <c r="K199" t="str">
        <f t="shared" si="3"/>
        <v>Senin</v>
      </c>
    </row>
    <row r="200" spans="1:11" x14ac:dyDescent="0.25">
      <c r="A200" s="207" t="s">
        <v>236</v>
      </c>
      <c r="B200" s="112">
        <v>45897</v>
      </c>
      <c r="C200" s="109" t="s">
        <v>30</v>
      </c>
      <c r="D200" s="109" t="s">
        <v>26</v>
      </c>
      <c r="E200" s="109" t="s">
        <v>27</v>
      </c>
      <c r="F200" s="109" t="s">
        <v>28</v>
      </c>
      <c r="G200" s="109" t="s">
        <v>20</v>
      </c>
      <c r="H200" s="110">
        <v>225.16</v>
      </c>
      <c r="I200" s="109">
        <v>3</v>
      </c>
      <c r="J200" s="110">
        <v>675.48</v>
      </c>
      <c r="K200" t="str">
        <f t="shared" si="3"/>
        <v>Kamis</v>
      </c>
    </row>
    <row r="201" spans="1:11" x14ac:dyDescent="0.25">
      <c r="A201" s="207" t="s">
        <v>237</v>
      </c>
      <c r="B201" s="112">
        <v>45861</v>
      </c>
      <c r="C201" s="109" t="s">
        <v>34</v>
      </c>
      <c r="D201" s="109" t="s">
        <v>22</v>
      </c>
      <c r="E201" s="109" t="s">
        <v>41</v>
      </c>
      <c r="F201" s="109" t="s">
        <v>19</v>
      </c>
      <c r="G201" s="109" t="s">
        <v>36</v>
      </c>
      <c r="H201" s="110">
        <v>201.57</v>
      </c>
      <c r="I201" s="109">
        <v>18</v>
      </c>
      <c r="J201" s="110">
        <v>3628.26</v>
      </c>
      <c r="K201" t="str">
        <f t="shared" si="3"/>
        <v>Rabu</v>
      </c>
    </row>
    <row r="202" spans="1:11" x14ac:dyDescent="0.25">
      <c r="A202" s="207" t="s">
        <v>238</v>
      </c>
      <c r="B202" s="112">
        <v>45932</v>
      </c>
      <c r="C202" s="109" t="s">
        <v>38</v>
      </c>
      <c r="D202" s="109" t="s">
        <v>35</v>
      </c>
      <c r="E202" s="109" t="s">
        <v>27</v>
      </c>
      <c r="F202" s="109" t="s">
        <v>28</v>
      </c>
      <c r="G202" s="109" t="s">
        <v>20</v>
      </c>
      <c r="H202" s="110">
        <v>171.25</v>
      </c>
      <c r="I202" s="109">
        <v>4</v>
      </c>
      <c r="J202" s="110">
        <v>685</v>
      </c>
      <c r="K202" t="str">
        <f t="shared" si="3"/>
        <v>Kamis</v>
      </c>
    </row>
    <row r="203" spans="1:11" x14ac:dyDescent="0.25">
      <c r="A203" s="207" t="s">
        <v>239</v>
      </c>
      <c r="B203" s="112">
        <v>45792</v>
      </c>
      <c r="C203" s="109" t="s">
        <v>38</v>
      </c>
      <c r="D203" s="109" t="s">
        <v>12</v>
      </c>
      <c r="E203" s="109" t="s">
        <v>13</v>
      </c>
      <c r="F203" s="109" t="s">
        <v>19</v>
      </c>
      <c r="G203" s="109" t="s">
        <v>20</v>
      </c>
      <c r="H203" s="110">
        <v>48.51</v>
      </c>
      <c r="I203" s="109">
        <v>19</v>
      </c>
      <c r="J203" s="110">
        <v>921.69</v>
      </c>
      <c r="K203" t="str">
        <f t="shared" si="3"/>
        <v>Kamis</v>
      </c>
    </row>
    <row r="204" spans="1:11" x14ac:dyDescent="0.25">
      <c r="A204" s="207" t="s">
        <v>240</v>
      </c>
      <c r="B204" s="112">
        <v>45777</v>
      </c>
      <c r="C204" s="109" t="s">
        <v>11</v>
      </c>
      <c r="D204" s="109" t="s">
        <v>55</v>
      </c>
      <c r="E204" s="109" t="s">
        <v>18</v>
      </c>
      <c r="F204" s="109" t="s">
        <v>32</v>
      </c>
      <c r="G204" s="109" t="s">
        <v>20</v>
      </c>
      <c r="H204" s="110">
        <v>65.56</v>
      </c>
      <c r="I204" s="109">
        <v>16</v>
      </c>
      <c r="J204" s="110">
        <v>1048.96</v>
      </c>
      <c r="K204" t="str">
        <f t="shared" si="3"/>
        <v>Rabu</v>
      </c>
    </row>
    <row r="205" spans="1:11" x14ac:dyDescent="0.25">
      <c r="A205" s="207" t="s">
        <v>241</v>
      </c>
      <c r="B205" s="112">
        <v>45771</v>
      </c>
      <c r="C205" s="109" t="s">
        <v>17</v>
      </c>
      <c r="D205" s="109" t="s">
        <v>31</v>
      </c>
      <c r="E205" s="109" t="s">
        <v>27</v>
      </c>
      <c r="F205" s="109" t="s">
        <v>32</v>
      </c>
      <c r="G205" s="109" t="s">
        <v>20</v>
      </c>
      <c r="H205" s="110">
        <v>227.68</v>
      </c>
      <c r="I205" s="109">
        <v>3</v>
      </c>
      <c r="J205" s="110">
        <v>683.04</v>
      </c>
      <c r="K205" t="str">
        <f t="shared" si="3"/>
        <v>Kamis</v>
      </c>
    </row>
    <row r="206" spans="1:11" x14ac:dyDescent="0.25">
      <c r="A206" s="207" t="s">
        <v>242</v>
      </c>
      <c r="B206" s="112">
        <v>45867</v>
      </c>
      <c r="C206" s="109" t="s">
        <v>30</v>
      </c>
      <c r="D206" s="109" t="s">
        <v>22</v>
      </c>
      <c r="E206" s="109" t="s">
        <v>45</v>
      </c>
      <c r="F206" s="109" t="s">
        <v>32</v>
      </c>
      <c r="G206" s="109" t="s">
        <v>36</v>
      </c>
      <c r="H206" s="110">
        <v>163.41</v>
      </c>
      <c r="I206" s="109">
        <v>4</v>
      </c>
      <c r="J206" s="110">
        <v>653.64</v>
      </c>
      <c r="K206" t="str">
        <f t="shared" si="3"/>
        <v>Selasa</v>
      </c>
    </row>
    <row r="207" spans="1:11" x14ac:dyDescent="0.25">
      <c r="A207" s="207" t="s">
        <v>243</v>
      </c>
      <c r="B207" s="112">
        <v>45717</v>
      </c>
      <c r="C207" s="109" t="s">
        <v>30</v>
      </c>
      <c r="D207" s="109" t="s">
        <v>55</v>
      </c>
      <c r="E207" s="109" t="s">
        <v>23</v>
      </c>
      <c r="F207" s="109" t="s">
        <v>61</v>
      </c>
      <c r="G207" s="109" t="s">
        <v>36</v>
      </c>
      <c r="H207" s="110">
        <v>32.020000000000003</v>
      </c>
      <c r="I207" s="109">
        <v>4</v>
      </c>
      <c r="J207" s="110">
        <v>128.08000000000001</v>
      </c>
      <c r="K207" t="str">
        <f t="shared" si="3"/>
        <v>Sabtu</v>
      </c>
    </row>
    <row r="208" spans="1:11" x14ac:dyDescent="0.25">
      <c r="A208" s="207" t="s">
        <v>244</v>
      </c>
      <c r="B208" s="112">
        <v>45847</v>
      </c>
      <c r="C208" s="109" t="s">
        <v>38</v>
      </c>
      <c r="D208" s="109" t="s">
        <v>55</v>
      </c>
      <c r="E208" s="109" t="s">
        <v>27</v>
      </c>
      <c r="F208" s="109" t="s">
        <v>28</v>
      </c>
      <c r="G208" s="109" t="s">
        <v>15</v>
      </c>
      <c r="H208" s="110">
        <v>52.32</v>
      </c>
      <c r="I208" s="109">
        <v>18</v>
      </c>
      <c r="J208" s="110">
        <v>941.76</v>
      </c>
      <c r="K208" t="str">
        <f t="shared" si="3"/>
        <v>Rabu</v>
      </c>
    </row>
    <row r="209" spans="1:11" x14ac:dyDescent="0.25">
      <c r="A209" s="207" t="s">
        <v>245</v>
      </c>
      <c r="B209" s="112">
        <v>45870</v>
      </c>
      <c r="C209" s="109" t="s">
        <v>38</v>
      </c>
      <c r="D209" s="109" t="s">
        <v>55</v>
      </c>
      <c r="E209" s="109" t="s">
        <v>41</v>
      </c>
      <c r="F209" s="109" t="s">
        <v>32</v>
      </c>
      <c r="G209" s="109" t="s">
        <v>15</v>
      </c>
      <c r="H209" s="110">
        <v>175.97</v>
      </c>
      <c r="I209" s="109">
        <v>4</v>
      </c>
      <c r="J209" s="110">
        <v>703.88</v>
      </c>
      <c r="K209" t="str">
        <f t="shared" si="3"/>
        <v>Jumat</v>
      </c>
    </row>
    <row r="210" spans="1:11" x14ac:dyDescent="0.25">
      <c r="A210" s="207" t="s">
        <v>246</v>
      </c>
      <c r="B210" s="112">
        <v>46011</v>
      </c>
      <c r="C210" s="109" t="s">
        <v>30</v>
      </c>
      <c r="D210" s="109" t="s">
        <v>31</v>
      </c>
      <c r="E210" s="109" t="s">
        <v>41</v>
      </c>
      <c r="F210" s="109" t="s">
        <v>14</v>
      </c>
      <c r="G210" s="109" t="s">
        <v>36</v>
      </c>
      <c r="H210" s="110">
        <v>31.11</v>
      </c>
      <c r="I210" s="109">
        <v>12</v>
      </c>
      <c r="J210" s="110">
        <v>373.32</v>
      </c>
      <c r="K210" t="str">
        <f t="shared" si="3"/>
        <v>Sabtu</v>
      </c>
    </row>
    <row r="211" spans="1:11" x14ac:dyDescent="0.25">
      <c r="A211" s="207" t="s">
        <v>247</v>
      </c>
      <c r="B211" s="112">
        <v>45708</v>
      </c>
      <c r="C211" s="109" t="s">
        <v>25</v>
      </c>
      <c r="D211" s="109" t="s">
        <v>12</v>
      </c>
      <c r="E211" s="109" t="s">
        <v>13</v>
      </c>
      <c r="F211" s="109" t="s">
        <v>19</v>
      </c>
      <c r="G211" s="109" t="s">
        <v>36</v>
      </c>
      <c r="H211" s="110">
        <v>65.38</v>
      </c>
      <c r="I211" s="109">
        <v>12</v>
      </c>
      <c r="J211" s="110">
        <v>784.56</v>
      </c>
      <c r="K211" t="str">
        <f t="shared" si="3"/>
        <v>Kamis</v>
      </c>
    </row>
    <row r="212" spans="1:11" x14ac:dyDescent="0.25">
      <c r="A212" s="207" t="s">
        <v>248</v>
      </c>
      <c r="B212" s="112">
        <v>45799</v>
      </c>
      <c r="C212" s="109" t="s">
        <v>11</v>
      </c>
      <c r="D212" s="109" t="s">
        <v>31</v>
      </c>
      <c r="E212" s="109" t="s">
        <v>45</v>
      </c>
      <c r="F212" s="109" t="s">
        <v>28</v>
      </c>
      <c r="G212" s="109" t="s">
        <v>15</v>
      </c>
      <c r="H212" s="110">
        <v>150.72</v>
      </c>
      <c r="I212" s="109">
        <v>7</v>
      </c>
      <c r="J212" s="110">
        <v>1055.04</v>
      </c>
      <c r="K212" t="str">
        <f t="shared" si="3"/>
        <v>Kamis</v>
      </c>
    </row>
    <row r="213" spans="1:11" x14ac:dyDescent="0.25">
      <c r="A213" s="207" t="s">
        <v>249</v>
      </c>
      <c r="B213" s="112">
        <v>45986</v>
      </c>
      <c r="C213" s="109" t="s">
        <v>11</v>
      </c>
      <c r="D213" s="109" t="s">
        <v>22</v>
      </c>
      <c r="E213" s="109" t="s">
        <v>13</v>
      </c>
      <c r="F213" s="109" t="s">
        <v>14</v>
      </c>
      <c r="G213" s="109" t="s">
        <v>15</v>
      </c>
      <c r="H213" s="110">
        <v>182.22</v>
      </c>
      <c r="I213" s="109">
        <v>20</v>
      </c>
      <c r="J213" s="110">
        <v>3644.4</v>
      </c>
      <c r="K213" t="str">
        <f t="shared" si="3"/>
        <v>Selasa</v>
      </c>
    </row>
    <row r="214" spans="1:11" x14ac:dyDescent="0.25">
      <c r="A214" s="207" t="s">
        <v>250</v>
      </c>
      <c r="B214" s="112">
        <v>45947</v>
      </c>
      <c r="C214" s="109" t="s">
        <v>11</v>
      </c>
      <c r="D214" s="109" t="s">
        <v>55</v>
      </c>
      <c r="E214" s="109" t="s">
        <v>23</v>
      </c>
      <c r="F214" s="109" t="s">
        <v>42</v>
      </c>
      <c r="G214" s="109" t="s">
        <v>15</v>
      </c>
      <c r="H214" s="110">
        <v>173.43</v>
      </c>
      <c r="I214" s="109">
        <v>7</v>
      </c>
      <c r="J214" s="110">
        <v>1214.01</v>
      </c>
      <c r="K214" t="str">
        <f t="shared" si="3"/>
        <v>Jumat</v>
      </c>
    </row>
    <row r="215" spans="1:11" x14ac:dyDescent="0.25">
      <c r="A215" s="207" t="s">
        <v>251</v>
      </c>
      <c r="B215" s="112">
        <v>45777</v>
      </c>
      <c r="C215" s="109" t="s">
        <v>30</v>
      </c>
      <c r="D215" s="109" t="s">
        <v>55</v>
      </c>
      <c r="E215" s="109" t="s">
        <v>45</v>
      </c>
      <c r="F215" s="109" t="s">
        <v>32</v>
      </c>
      <c r="G215" s="109" t="s">
        <v>15</v>
      </c>
      <c r="H215" s="110">
        <v>79.34</v>
      </c>
      <c r="I215" s="109">
        <v>11</v>
      </c>
      <c r="J215" s="110">
        <v>872.74</v>
      </c>
      <c r="K215" t="str">
        <f t="shared" si="3"/>
        <v>Rabu</v>
      </c>
    </row>
    <row r="216" spans="1:11" x14ac:dyDescent="0.25">
      <c r="A216" s="207" t="s">
        <v>252</v>
      </c>
      <c r="B216" s="112">
        <v>45724</v>
      </c>
      <c r="C216" s="109" t="s">
        <v>34</v>
      </c>
      <c r="D216" s="109" t="s">
        <v>26</v>
      </c>
      <c r="E216" s="109" t="s">
        <v>45</v>
      </c>
      <c r="F216" s="109" t="s">
        <v>28</v>
      </c>
      <c r="G216" s="109" t="s">
        <v>15</v>
      </c>
      <c r="H216" s="110">
        <v>186.68</v>
      </c>
      <c r="I216" s="109">
        <v>18</v>
      </c>
      <c r="J216" s="110">
        <v>3360.24</v>
      </c>
      <c r="K216" t="str">
        <f t="shared" si="3"/>
        <v>Sabtu</v>
      </c>
    </row>
    <row r="217" spans="1:11" x14ac:dyDescent="0.25">
      <c r="A217" s="207" t="s">
        <v>253</v>
      </c>
      <c r="B217" s="112">
        <v>45725</v>
      </c>
      <c r="C217" s="109" t="s">
        <v>34</v>
      </c>
      <c r="D217" s="109" t="s">
        <v>26</v>
      </c>
      <c r="E217" s="109" t="s">
        <v>18</v>
      </c>
      <c r="F217" s="109" t="s">
        <v>32</v>
      </c>
      <c r="G217" s="109" t="s">
        <v>15</v>
      </c>
      <c r="H217" s="110">
        <v>82.19</v>
      </c>
      <c r="I217" s="109">
        <v>1</v>
      </c>
      <c r="J217" s="110">
        <v>82.19</v>
      </c>
      <c r="K217" t="str">
        <f t="shared" si="3"/>
        <v>Minggu</v>
      </c>
    </row>
    <row r="218" spans="1:11" x14ac:dyDescent="0.25">
      <c r="A218" s="207" t="s">
        <v>254</v>
      </c>
      <c r="B218" s="112">
        <v>45747</v>
      </c>
      <c r="C218" s="109" t="s">
        <v>11</v>
      </c>
      <c r="D218" s="109" t="s">
        <v>26</v>
      </c>
      <c r="E218" s="109" t="s">
        <v>27</v>
      </c>
      <c r="F218" s="109" t="s">
        <v>61</v>
      </c>
      <c r="G218" s="109" t="s">
        <v>20</v>
      </c>
      <c r="H218" s="110">
        <v>101.59</v>
      </c>
      <c r="I218" s="109">
        <v>9</v>
      </c>
      <c r="J218" s="110">
        <v>914.31</v>
      </c>
      <c r="K218" t="str">
        <f t="shared" si="3"/>
        <v>Senin</v>
      </c>
    </row>
    <row r="219" spans="1:11" x14ac:dyDescent="0.25">
      <c r="A219" s="207" t="s">
        <v>255</v>
      </c>
      <c r="B219" s="112">
        <v>45716</v>
      </c>
      <c r="C219" s="109" t="s">
        <v>38</v>
      </c>
      <c r="D219" s="109" t="s">
        <v>31</v>
      </c>
      <c r="E219" s="109" t="s">
        <v>13</v>
      </c>
      <c r="F219" s="109" t="s">
        <v>42</v>
      </c>
      <c r="G219" s="109" t="s">
        <v>20</v>
      </c>
      <c r="H219" s="110">
        <v>194.23</v>
      </c>
      <c r="I219" s="109">
        <v>3</v>
      </c>
      <c r="J219" s="110">
        <v>582.69000000000005</v>
      </c>
      <c r="K219" t="str">
        <f t="shared" si="3"/>
        <v>Jumat</v>
      </c>
    </row>
    <row r="220" spans="1:11" x14ac:dyDescent="0.25">
      <c r="A220" s="207" t="s">
        <v>256</v>
      </c>
      <c r="B220" s="112">
        <v>45713</v>
      </c>
      <c r="C220" s="109" t="s">
        <v>25</v>
      </c>
      <c r="D220" s="109" t="s">
        <v>26</v>
      </c>
      <c r="E220" s="109" t="s">
        <v>18</v>
      </c>
      <c r="F220" s="109" t="s">
        <v>19</v>
      </c>
      <c r="G220" s="109" t="s">
        <v>20</v>
      </c>
      <c r="H220" s="110">
        <v>172.92</v>
      </c>
      <c r="I220" s="109">
        <v>15</v>
      </c>
      <c r="J220" s="110">
        <v>2593.8000000000002</v>
      </c>
      <c r="K220" t="str">
        <f t="shared" si="3"/>
        <v>Selasa</v>
      </c>
    </row>
    <row r="221" spans="1:11" x14ac:dyDescent="0.25">
      <c r="A221" s="207" t="s">
        <v>257</v>
      </c>
      <c r="B221" s="112">
        <v>45995</v>
      </c>
      <c r="C221" s="109" t="s">
        <v>34</v>
      </c>
      <c r="D221" s="109" t="s">
        <v>31</v>
      </c>
      <c r="E221" s="109" t="s">
        <v>27</v>
      </c>
      <c r="F221" s="109" t="s">
        <v>19</v>
      </c>
      <c r="G221" s="109" t="s">
        <v>15</v>
      </c>
      <c r="H221" s="110">
        <v>216.83</v>
      </c>
      <c r="I221" s="109">
        <v>17</v>
      </c>
      <c r="J221" s="110">
        <v>3686.11</v>
      </c>
      <c r="K221" t="str">
        <f t="shared" si="3"/>
        <v>Kamis</v>
      </c>
    </row>
    <row r="222" spans="1:11" x14ac:dyDescent="0.25">
      <c r="A222" s="207" t="s">
        <v>258</v>
      </c>
      <c r="B222" s="112">
        <v>45903</v>
      </c>
      <c r="C222" s="109" t="s">
        <v>38</v>
      </c>
      <c r="D222" s="109" t="s">
        <v>12</v>
      </c>
      <c r="E222" s="109" t="s">
        <v>45</v>
      </c>
      <c r="F222" s="109" t="s">
        <v>61</v>
      </c>
      <c r="G222" s="109" t="s">
        <v>20</v>
      </c>
      <c r="H222" s="110">
        <v>174.67</v>
      </c>
      <c r="I222" s="109">
        <v>13</v>
      </c>
      <c r="J222" s="110">
        <v>2270.71</v>
      </c>
      <c r="K222" t="str">
        <f t="shared" si="3"/>
        <v>Rabu</v>
      </c>
    </row>
    <row r="223" spans="1:11" x14ac:dyDescent="0.25">
      <c r="A223" s="207" t="s">
        <v>259</v>
      </c>
      <c r="B223" s="112">
        <v>45885</v>
      </c>
      <c r="C223" s="109" t="s">
        <v>11</v>
      </c>
      <c r="D223" s="109" t="s">
        <v>35</v>
      </c>
      <c r="E223" s="109" t="s">
        <v>18</v>
      </c>
      <c r="F223" s="109" t="s">
        <v>14</v>
      </c>
      <c r="G223" s="109" t="s">
        <v>15</v>
      </c>
      <c r="H223" s="110">
        <v>155.03</v>
      </c>
      <c r="I223" s="109">
        <v>3</v>
      </c>
      <c r="J223" s="110">
        <v>465.09</v>
      </c>
      <c r="K223" t="str">
        <f t="shared" si="3"/>
        <v>Sabtu</v>
      </c>
    </row>
    <row r="224" spans="1:11" x14ac:dyDescent="0.25">
      <c r="A224" s="207" t="s">
        <v>260</v>
      </c>
      <c r="B224" s="112">
        <v>45722</v>
      </c>
      <c r="C224" s="109" t="s">
        <v>25</v>
      </c>
      <c r="D224" s="109" t="s">
        <v>12</v>
      </c>
      <c r="E224" s="109" t="s">
        <v>18</v>
      </c>
      <c r="F224" s="109" t="s">
        <v>42</v>
      </c>
      <c r="G224" s="109" t="s">
        <v>20</v>
      </c>
      <c r="H224" s="110">
        <v>50.61</v>
      </c>
      <c r="I224" s="109">
        <v>9</v>
      </c>
      <c r="J224" s="110">
        <v>455.49</v>
      </c>
      <c r="K224" t="str">
        <f t="shared" si="3"/>
        <v>Kamis</v>
      </c>
    </row>
    <row r="225" spans="1:11" x14ac:dyDescent="0.25">
      <c r="A225" s="207" t="s">
        <v>261</v>
      </c>
      <c r="B225" s="112">
        <v>45824</v>
      </c>
      <c r="C225" s="109" t="s">
        <v>25</v>
      </c>
      <c r="D225" s="109" t="s">
        <v>55</v>
      </c>
      <c r="E225" s="109" t="s">
        <v>13</v>
      </c>
      <c r="F225" s="109" t="s">
        <v>61</v>
      </c>
      <c r="G225" s="109" t="s">
        <v>20</v>
      </c>
      <c r="H225" s="110">
        <v>110.9</v>
      </c>
      <c r="I225" s="109">
        <v>13</v>
      </c>
      <c r="J225" s="110">
        <v>1441.7</v>
      </c>
      <c r="K225" t="str">
        <f t="shared" si="3"/>
        <v>Senin</v>
      </c>
    </row>
    <row r="226" spans="1:11" x14ac:dyDescent="0.25">
      <c r="A226" s="207" t="s">
        <v>262</v>
      </c>
      <c r="B226" s="112">
        <v>45967</v>
      </c>
      <c r="C226" s="109" t="s">
        <v>11</v>
      </c>
      <c r="D226" s="109" t="s">
        <v>12</v>
      </c>
      <c r="E226" s="109" t="s">
        <v>45</v>
      </c>
      <c r="F226" s="109" t="s">
        <v>39</v>
      </c>
      <c r="G226" s="109" t="s">
        <v>20</v>
      </c>
      <c r="H226" s="110">
        <v>88.34</v>
      </c>
      <c r="I226" s="109">
        <v>14</v>
      </c>
      <c r="J226" s="110">
        <v>1236.76</v>
      </c>
      <c r="K226" t="str">
        <f t="shared" si="3"/>
        <v>Kamis</v>
      </c>
    </row>
    <row r="227" spans="1:11" x14ac:dyDescent="0.25">
      <c r="A227" s="207" t="s">
        <v>263</v>
      </c>
      <c r="B227" s="112">
        <v>45991</v>
      </c>
      <c r="C227" s="109" t="s">
        <v>17</v>
      </c>
      <c r="D227" s="109" t="s">
        <v>26</v>
      </c>
      <c r="E227" s="109" t="s">
        <v>41</v>
      </c>
      <c r="F227" s="109" t="s">
        <v>61</v>
      </c>
      <c r="G227" s="109" t="s">
        <v>15</v>
      </c>
      <c r="H227" s="110">
        <v>83.68</v>
      </c>
      <c r="I227" s="109">
        <v>18</v>
      </c>
      <c r="J227" s="110">
        <v>1506.24</v>
      </c>
      <c r="K227" t="str">
        <f t="shared" si="3"/>
        <v>Minggu</v>
      </c>
    </row>
    <row r="228" spans="1:11" x14ac:dyDescent="0.25">
      <c r="A228" s="207" t="s">
        <v>264</v>
      </c>
      <c r="B228" s="112">
        <v>45869</v>
      </c>
      <c r="C228" s="109" t="s">
        <v>38</v>
      </c>
      <c r="D228" s="109" t="s">
        <v>31</v>
      </c>
      <c r="E228" s="109" t="s">
        <v>41</v>
      </c>
      <c r="F228" s="109" t="s">
        <v>28</v>
      </c>
      <c r="G228" s="109" t="s">
        <v>15</v>
      </c>
      <c r="H228" s="110">
        <v>244.06</v>
      </c>
      <c r="I228" s="109">
        <v>11</v>
      </c>
      <c r="J228" s="110">
        <v>2684.66</v>
      </c>
      <c r="K228" t="str">
        <f t="shared" si="3"/>
        <v>Kamis</v>
      </c>
    </row>
    <row r="229" spans="1:11" x14ac:dyDescent="0.25">
      <c r="A229" s="207" t="s">
        <v>265</v>
      </c>
      <c r="B229" s="112">
        <v>45818</v>
      </c>
      <c r="C229" s="109" t="s">
        <v>34</v>
      </c>
      <c r="D229" s="109" t="s">
        <v>12</v>
      </c>
      <c r="E229" s="109" t="s">
        <v>13</v>
      </c>
      <c r="F229" s="109" t="s">
        <v>32</v>
      </c>
      <c r="G229" s="109" t="s">
        <v>15</v>
      </c>
      <c r="H229" s="110">
        <v>116.48</v>
      </c>
      <c r="I229" s="109">
        <v>14</v>
      </c>
      <c r="J229" s="110">
        <v>1630.72</v>
      </c>
      <c r="K229" t="str">
        <f t="shared" si="3"/>
        <v>Selasa</v>
      </c>
    </row>
    <row r="230" spans="1:11" x14ac:dyDescent="0.25">
      <c r="A230" s="207" t="s">
        <v>266</v>
      </c>
      <c r="B230" s="112">
        <v>46009</v>
      </c>
      <c r="C230" s="109" t="s">
        <v>11</v>
      </c>
      <c r="D230" s="109" t="s">
        <v>22</v>
      </c>
      <c r="E230" s="109" t="s">
        <v>45</v>
      </c>
      <c r="F230" s="109" t="s">
        <v>19</v>
      </c>
      <c r="G230" s="109" t="s">
        <v>36</v>
      </c>
      <c r="H230" s="110">
        <v>226.25</v>
      </c>
      <c r="I230" s="109">
        <v>16</v>
      </c>
      <c r="J230" s="110">
        <v>3620</v>
      </c>
      <c r="K230" t="str">
        <f t="shared" si="3"/>
        <v>Kamis</v>
      </c>
    </row>
    <row r="231" spans="1:11" x14ac:dyDescent="0.25">
      <c r="A231" s="207" t="s">
        <v>267</v>
      </c>
      <c r="B231" s="112">
        <v>45707</v>
      </c>
      <c r="C231" s="109" t="s">
        <v>30</v>
      </c>
      <c r="D231" s="109" t="s">
        <v>55</v>
      </c>
      <c r="E231" s="109" t="s">
        <v>45</v>
      </c>
      <c r="F231" s="109" t="s">
        <v>42</v>
      </c>
      <c r="G231" s="109" t="s">
        <v>20</v>
      </c>
      <c r="H231" s="110">
        <v>168.85</v>
      </c>
      <c r="I231" s="109">
        <v>12</v>
      </c>
      <c r="J231" s="110">
        <v>2026.2</v>
      </c>
      <c r="K231" t="str">
        <f t="shared" si="3"/>
        <v>Rabu</v>
      </c>
    </row>
    <row r="232" spans="1:11" x14ac:dyDescent="0.25">
      <c r="A232" s="207" t="s">
        <v>268</v>
      </c>
      <c r="B232" s="112">
        <v>45945</v>
      </c>
      <c r="C232" s="109" t="s">
        <v>17</v>
      </c>
      <c r="D232" s="109" t="s">
        <v>22</v>
      </c>
      <c r="E232" s="109" t="s">
        <v>41</v>
      </c>
      <c r="F232" s="109" t="s">
        <v>32</v>
      </c>
      <c r="G232" s="109" t="s">
        <v>20</v>
      </c>
      <c r="H232" s="110">
        <v>204.86</v>
      </c>
      <c r="I232" s="109">
        <v>11</v>
      </c>
      <c r="J232" s="110">
        <v>2253.46</v>
      </c>
      <c r="K232" t="str">
        <f t="shared" si="3"/>
        <v>Rabu</v>
      </c>
    </row>
    <row r="233" spans="1:11" x14ac:dyDescent="0.25">
      <c r="A233" s="207" t="s">
        <v>269</v>
      </c>
      <c r="B233" s="112">
        <v>45874</v>
      </c>
      <c r="C233" s="109" t="s">
        <v>34</v>
      </c>
      <c r="D233" s="109" t="s">
        <v>55</v>
      </c>
      <c r="E233" s="109" t="s">
        <v>13</v>
      </c>
      <c r="F233" s="109" t="s">
        <v>32</v>
      </c>
      <c r="G233" s="109" t="s">
        <v>15</v>
      </c>
      <c r="H233" s="110">
        <v>140.58000000000001</v>
      </c>
      <c r="I233" s="109">
        <v>2</v>
      </c>
      <c r="J233" s="110">
        <v>281.16000000000003</v>
      </c>
      <c r="K233" t="str">
        <f t="shared" si="3"/>
        <v>Selasa</v>
      </c>
    </row>
    <row r="234" spans="1:11" x14ac:dyDescent="0.25">
      <c r="A234" s="207" t="s">
        <v>270</v>
      </c>
      <c r="B234" s="112">
        <v>45953</v>
      </c>
      <c r="C234" s="109" t="s">
        <v>30</v>
      </c>
      <c r="D234" s="109" t="s">
        <v>26</v>
      </c>
      <c r="E234" s="109" t="s">
        <v>27</v>
      </c>
      <c r="F234" s="109" t="s">
        <v>61</v>
      </c>
      <c r="G234" s="109" t="s">
        <v>15</v>
      </c>
      <c r="H234" s="110">
        <v>156.91999999999999</v>
      </c>
      <c r="I234" s="109">
        <v>17</v>
      </c>
      <c r="J234" s="110">
        <v>2667.64</v>
      </c>
      <c r="K234" t="str">
        <f t="shared" si="3"/>
        <v>Kamis</v>
      </c>
    </row>
    <row r="235" spans="1:11" x14ac:dyDescent="0.25">
      <c r="A235" s="207" t="s">
        <v>271</v>
      </c>
      <c r="B235" s="112">
        <v>45713</v>
      </c>
      <c r="C235" s="109" t="s">
        <v>25</v>
      </c>
      <c r="D235" s="109" t="s">
        <v>35</v>
      </c>
      <c r="E235" s="109" t="s">
        <v>45</v>
      </c>
      <c r="F235" s="109" t="s">
        <v>39</v>
      </c>
      <c r="G235" s="109" t="s">
        <v>36</v>
      </c>
      <c r="H235" s="110">
        <v>138.35</v>
      </c>
      <c r="I235" s="109">
        <v>12</v>
      </c>
      <c r="J235" s="110">
        <v>1660.2</v>
      </c>
      <c r="K235" t="str">
        <f t="shared" si="3"/>
        <v>Selasa</v>
      </c>
    </row>
    <row r="236" spans="1:11" x14ac:dyDescent="0.25">
      <c r="A236" s="207" t="s">
        <v>272</v>
      </c>
      <c r="B236" s="112">
        <v>45951</v>
      </c>
      <c r="C236" s="109" t="s">
        <v>38</v>
      </c>
      <c r="D236" s="109" t="s">
        <v>55</v>
      </c>
      <c r="E236" s="109" t="s">
        <v>18</v>
      </c>
      <c r="F236" s="109" t="s">
        <v>42</v>
      </c>
      <c r="G236" s="109" t="s">
        <v>20</v>
      </c>
      <c r="H236" s="110">
        <v>72.95</v>
      </c>
      <c r="I236" s="109">
        <v>8</v>
      </c>
      <c r="J236" s="110">
        <v>583.6</v>
      </c>
      <c r="K236" t="str">
        <f t="shared" si="3"/>
        <v>Selasa</v>
      </c>
    </row>
    <row r="237" spans="1:11" x14ac:dyDescent="0.25">
      <c r="A237" s="207" t="s">
        <v>273</v>
      </c>
      <c r="B237" s="112">
        <v>45987</v>
      </c>
      <c r="C237" s="109" t="s">
        <v>11</v>
      </c>
      <c r="D237" s="109" t="s">
        <v>55</v>
      </c>
      <c r="E237" s="109" t="s">
        <v>27</v>
      </c>
      <c r="F237" s="109" t="s">
        <v>39</v>
      </c>
      <c r="G237" s="109" t="s">
        <v>20</v>
      </c>
      <c r="H237" s="110">
        <v>188.94</v>
      </c>
      <c r="I237" s="109">
        <v>18</v>
      </c>
      <c r="J237" s="110">
        <v>3400.92</v>
      </c>
      <c r="K237" t="str">
        <f t="shared" si="3"/>
        <v>Rabu</v>
      </c>
    </row>
    <row r="238" spans="1:11" x14ac:dyDescent="0.25">
      <c r="A238" s="207" t="s">
        <v>274</v>
      </c>
      <c r="B238" s="112">
        <v>45794</v>
      </c>
      <c r="C238" s="109" t="s">
        <v>30</v>
      </c>
      <c r="D238" s="109" t="s">
        <v>35</v>
      </c>
      <c r="E238" s="109" t="s">
        <v>27</v>
      </c>
      <c r="F238" s="109" t="s">
        <v>39</v>
      </c>
      <c r="G238" s="109" t="s">
        <v>36</v>
      </c>
      <c r="H238" s="110">
        <v>91.77</v>
      </c>
      <c r="I238" s="109">
        <v>1</v>
      </c>
      <c r="J238" s="110">
        <v>91.77</v>
      </c>
      <c r="K238" t="str">
        <f t="shared" si="3"/>
        <v>Sabtu</v>
      </c>
    </row>
    <row r="239" spans="1:11" x14ac:dyDescent="0.25">
      <c r="A239" s="207" t="s">
        <v>275</v>
      </c>
      <c r="B239" s="112">
        <v>45831</v>
      </c>
      <c r="C239" s="109" t="s">
        <v>11</v>
      </c>
      <c r="D239" s="109" t="s">
        <v>26</v>
      </c>
      <c r="E239" s="109" t="s">
        <v>23</v>
      </c>
      <c r="F239" s="109" t="s">
        <v>42</v>
      </c>
      <c r="G239" s="109" t="s">
        <v>20</v>
      </c>
      <c r="H239" s="110">
        <v>35.35</v>
      </c>
      <c r="I239" s="109">
        <v>12</v>
      </c>
      <c r="J239" s="110">
        <v>424.2</v>
      </c>
      <c r="K239" t="str">
        <f t="shared" si="3"/>
        <v>Senin</v>
      </c>
    </row>
    <row r="240" spans="1:11" x14ac:dyDescent="0.25">
      <c r="A240" s="207" t="s">
        <v>276</v>
      </c>
      <c r="B240" s="112">
        <v>45863</v>
      </c>
      <c r="C240" s="109" t="s">
        <v>30</v>
      </c>
      <c r="D240" s="109" t="s">
        <v>12</v>
      </c>
      <c r="E240" s="109" t="s">
        <v>27</v>
      </c>
      <c r="F240" s="109" t="s">
        <v>19</v>
      </c>
      <c r="G240" s="109" t="s">
        <v>15</v>
      </c>
      <c r="H240" s="110">
        <v>172</v>
      </c>
      <c r="I240" s="109">
        <v>3</v>
      </c>
      <c r="J240" s="110">
        <v>516</v>
      </c>
      <c r="K240" t="str">
        <f t="shared" si="3"/>
        <v>Jumat</v>
      </c>
    </row>
    <row r="241" spans="1:11" x14ac:dyDescent="0.25">
      <c r="A241" s="207" t="s">
        <v>277</v>
      </c>
      <c r="B241" s="112">
        <v>45929</v>
      </c>
      <c r="C241" s="109" t="s">
        <v>38</v>
      </c>
      <c r="D241" s="109" t="s">
        <v>31</v>
      </c>
      <c r="E241" s="109" t="s">
        <v>41</v>
      </c>
      <c r="F241" s="109" t="s">
        <v>32</v>
      </c>
      <c r="G241" s="109" t="s">
        <v>15</v>
      </c>
      <c r="H241" s="110">
        <v>68.959999999999994</v>
      </c>
      <c r="I241" s="109">
        <v>7</v>
      </c>
      <c r="J241" s="110">
        <v>482.72</v>
      </c>
      <c r="K241" t="str">
        <f t="shared" si="3"/>
        <v>Senin</v>
      </c>
    </row>
    <row r="242" spans="1:11" x14ac:dyDescent="0.25">
      <c r="A242" s="207" t="s">
        <v>278</v>
      </c>
      <c r="B242" s="112">
        <v>45847</v>
      </c>
      <c r="C242" s="109" t="s">
        <v>17</v>
      </c>
      <c r="D242" s="109" t="s">
        <v>35</v>
      </c>
      <c r="E242" s="109" t="s">
        <v>18</v>
      </c>
      <c r="F242" s="109" t="s">
        <v>42</v>
      </c>
      <c r="G242" s="109" t="s">
        <v>15</v>
      </c>
      <c r="H242" s="110">
        <v>236.9</v>
      </c>
      <c r="I242" s="109">
        <v>10</v>
      </c>
      <c r="J242" s="110">
        <v>2369</v>
      </c>
      <c r="K242" t="str">
        <f t="shared" si="3"/>
        <v>Rabu</v>
      </c>
    </row>
    <row r="243" spans="1:11" x14ac:dyDescent="0.25">
      <c r="A243" s="207" t="s">
        <v>279</v>
      </c>
      <c r="B243" s="112">
        <v>45684</v>
      </c>
      <c r="C243" s="109" t="s">
        <v>30</v>
      </c>
      <c r="D243" s="109" t="s">
        <v>55</v>
      </c>
      <c r="E243" s="109" t="s">
        <v>45</v>
      </c>
      <c r="F243" s="109" t="s">
        <v>28</v>
      </c>
      <c r="G243" s="109" t="s">
        <v>15</v>
      </c>
      <c r="H243" s="110">
        <v>239.86</v>
      </c>
      <c r="I243" s="109">
        <v>5</v>
      </c>
      <c r="J243" s="110">
        <v>1199.3</v>
      </c>
      <c r="K243" t="str">
        <f t="shared" si="3"/>
        <v>Senin</v>
      </c>
    </row>
    <row r="244" spans="1:11" x14ac:dyDescent="0.25">
      <c r="A244" s="207" t="s">
        <v>280</v>
      </c>
      <c r="B244" s="112">
        <v>45797</v>
      </c>
      <c r="C244" s="109" t="s">
        <v>17</v>
      </c>
      <c r="D244" s="109" t="s">
        <v>31</v>
      </c>
      <c r="E244" s="109" t="s">
        <v>41</v>
      </c>
      <c r="F244" s="109" t="s">
        <v>42</v>
      </c>
      <c r="G244" s="109" t="s">
        <v>36</v>
      </c>
      <c r="H244" s="110">
        <v>231.27</v>
      </c>
      <c r="I244" s="109">
        <v>15</v>
      </c>
      <c r="J244" s="110">
        <v>3469.05</v>
      </c>
      <c r="K244" t="str">
        <f t="shared" si="3"/>
        <v>Selasa</v>
      </c>
    </row>
    <row r="245" spans="1:11" x14ac:dyDescent="0.25">
      <c r="A245" s="207" t="s">
        <v>281</v>
      </c>
      <c r="B245" s="112">
        <v>45870</v>
      </c>
      <c r="C245" s="109" t="s">
        <v>30</v>
      </c>
      <c r="D245" s="109" t="s">
        <v>55</v>
      </c>
      <c r="E245" s="109" t="s">
        <v>45</v>
      </c>
      <c r="F245" s="109" t="s">
        <v>32</v>
      </c>
      <c r="G245" s="109" t="s">
        <v>36</v>
      </c>
      <c r="H245" s="110">
        <v>111.43</v>
      </c>
      <c r="I245" s="109">
        <v>9</v>
      </c>
      <c r="J245" s="110">
        <v>1002.87</v>
      </c>
      <c r="K245" t="str">
        <f t="shared" si="3"/>
        <v>Jumat</v>
      </c>
    </row>
    <row r="246" spans="1:11" x14ac:dyDescent="0.25">
      <c r="A246" s="207" t="s">
        <v>282</v>
      </c>
      <c r="B246" s="112">
        <v>45714</v>
      </c>
      <c r="C246" s="109" t="s">
        <v>17</v>
      </c>
      <c r="D246" s="109" t="s">
        <v>12</v>
      </c>
      <c r="E246" s="109" t="s">
        <v>18</v>
      </c>
      <c r="F246" s="109" t="s">
        <v>61</v>
      </c>
      <c r="G246" s="109" t="s">
        <v>20</v>
      </c>
      <c r="H246" s="110">
        <v>33.4</v>
      </c>
      <c r="I246" s="109">
        <v>10</v>
      </c>
      <c r="J246" s="110">
        <v>334</v>
      </c>
      <c r="K246" t="str">
        <f t="shared" si="3"/>
        <v>Rabu</v>
      </c>
    </row>
    <row r="247" spans="1:11" x14ac:dyDescent="0.25">
      <c r="A247" s="207" t="s">
        <v>283</v>
      </c>
      <c r="B247" s="112">
        <v>45999</v>
      </c>
      <c r="C247" s="109" t="s">
        <v>11</v>
      </c>
      <c r="D247" s="109" t="s">
        <v>26</v>
      </c>
      <c r="E247" s="109" t="s">
        <v>41</v>
      </c>
      <c r="F247" s="109" t="s">
        <v>42</v>
      </c>
      <c r="G247" s="109" t="s">
        <v>15</v>
      </c>
      <c r="H247" s="110">
        <v>234.23</v>
      </c>
      <c r="I247" s="109">
        <v>10</v>
      </c>
      <c r="J247" s="110">
        <v>2342.3000000000002</v>
      </c>
      <c r="K247" t="str">
        <f t="shared" si="3"/>
        <v>Senin</v>
      </c>
    </row>
    <row r="248" spans="1:11" x14ac:dyDescent="0.25">
      <c r="A248" s="207" t="s">
        <v>284</v>
      </c>
      <c r="B248" s="112">
        <v>45661</v>
      </c>
      <c r="C248" s="109" t="s">
        <v>34</v>
      </c>
      <c r="D248" s="109" t="s">
        <v>26</v>
      </c>
      <c r="E248" s="109" t="s">
        <v>23</v>
      </c>
      <c r="F248" s="109" t="s">
        <v>39</v>
      </c>
      <c r="G248" s="109" t="s">
        <v>36</v>
      </c>
      <c r="H248" s="110">
        <v>124.2</v>
      </c>
      <c r="I248" s="109">
        <v>7</v>
      </c>
      <c r="J248" s="110">
        <v>869.4</v>
      </c>
      <c r="K248" t="str">
        <f t="shared" si="3"/>
        <v>Sabtu</v>
      </c>
    </row>
    <row r="249" spans="1:11" x14ac:dyDescent="0.25">
      <c r="A249" s="207" t="s">
        <v>285</v>
      </c>
      <c r="B249" s="112">
        <v>45806</v>
      </c>
      <c r="C249" s="109" t="s">
        <v>11</v>
      </c>
      <c r="D249" s="109" t="s">
        <v>22</v>
      </c>
      <c r="E249" s="109" t="s">
        <v>41</v>
      </c>
      <c r="F249" s="109" t="s">
        <v>28</v>
      </c>
      <c r="G249" s="109" t="s">
        <v>36</v>
      </c>
      <c r="H249" s="110">
        <v>242.66</v>
      </c>
      <c r="I249" s="109">
        <v>11</v>
      </c>
      <c r="J249" s="110">
        <v>2669.26</v>
      </c>
      <c r="K249" t="str">
        <f t="shared" si="3"/>
        <v>Kamis</v>
      </c>
    </row>
    <row r="250" spans="1:11" x14ac:dyDescent="0.25">
      <c r="A250" s="207" t="s">
        <v>286</v>
      </c>
      <c r="B250" s="112">
        <v>45747</v>
      </c>
      <c r="C250" s="109" t="s">
        <v>38</v>
      </c>
      <c r="D250" s="109" t="s">
        <v>55</v>
      </c>
      <c r="E250" s="109" t="s">
        <v>27</v>
      </c>
      <c r="F250" s="109" t="s">
        <v>14</v>
      </c>
      <c r="G250" s="109" t="s">
        <v>20</v>
      </c>
      <c r="H250" s="110">
        <v>242</v>
      </c>
      <c r="I250" s="109">
        <v>5</v>
      </c>
      <c r="J250" s="110">
        <v>1210</v>
      </c>
      <c r="K250" t="str">
        <f t="shared" si="3"/>
        <v>Senin</v>
      </c>
    </row>
    <row r="251" spans="1:11" x14ac:dyDescent="0.25">
      <c r="A251" s="207" t="s">
        <v>287</v>
      </c>
      <c r="B251" s="112">
        <v>45944</v>
      </c>
      <c r="C251" s="109" t="s">
        <v>11</v>
      </c>
      <c r="D251" s="109" t="s">
        <v>31</v>
      </c>
      <c r="E251" s="109" t="s">
        <v>27</v>
      </c>
      <c r="F251" s="109" t="s">
        <v>19</v>
      </c>
      <c r="G251" s="109" t="s">
        <v>36</v>
      </c>
      <c r="H251" s="110">
        <v>217.66</v>
      </c>
      <c r="I251" s="109">
        <v>12</v>
      </c>
      <c r="J251" s="110">
        <v>2611.92</v>
      </c>
      <c r="K251" t="str">
        <f t="shared" si="3"/>
        <v>Selasa</v>
      </c>
    </row>
    <row r="252" spans="1:11" x14ac:dyDescent="0.25">
      <c r="A252" s="207" t="s">
        <v>288</v>
      </c>
      <c r="B252" s="112">
        <v>45667</v>
      </c>
      <c r="C252" s="109" t="s">
        <v>11</v>
      </c>
      <c r="D252" s="109" t="s">
        <v>35</v>
      </c>
      <c r="E252" s="109" t="s">
        <v>18</v>
      </c>
      <c r="F252" s="109" t="s">
        <v>61</v>
      </c>
      <c r="G252" s="109" t="s">
        <v>20</v>
      </c>
      <c r="H252" s="110">
        <v>94.78</v>
      </c>
      <c r="I252" s="109">
        <v>15</v>
      </c>
      <c r="J252" s="110">
        <v>1421.7</v>
      </c>
      <c r="K252" t="str">
        <f t="shared" si="3"/>
        <v>Jumat</v>
      </c>
    </row>
    <row r="253" spans="1:11" x14ac:dyDescent="0.25">
      <c r="A253" s="207" t="s">
        <v>289</v>
      </c>
      <c r="B253" s="112">
        <v>45865</v>
      </c>
      <c r="C253" s="109" t="s">
        <v>34</v>
      </c>
      <c r="D253" s="109" t="s">
        <v>22</v>
      </c>
      <c r="E253" s="109" t="s">
        <v>41</v>
      </c>
      <c r="F253" s="109" t="s">
        <v>19</v>
      </c>
      <c r="G253" s="109" t="s">
        <v>36</v>
      </c>
      <c r="H253" s="110">
        <v>114.72</v>
      </c>
      <c r="I253" s="109">
        <v>14</v>
      </c>
      <c r="J253" s="110">
        <v>1606.08</v>
      </c>
      <c r="K253" t="str">
        <f t="shared" si="3"/>
        <v>Minggu</v>
      </c>
    </row>
    <row r="254" spans="1:11" x14ac:dyDescent="0.25">
      <c r="A254" s="207" t="s">
        <v>290</v>
      </c>
      <c r="B254" s="112">
        <v>45745</v>
      </c>
      <c r="C254" s="109" t="s">
        <v>38</v>
      </c>
      <c r="D254" s="109" t="s">
        <v>12</v>
      </c>
      <c r="E254" s="109" t="s">
        <v>13</v>
      </c>
      <c r="F254" s="109" t="s">
        <v>19</v>
      </c>
      <c r="G254" s="109" t="s">
        <v>36</v>
      </c>
      <c r="H254" s="110">
        <v>217.25</v>
      </c>
      <c r="I254" s="109">
        <v>20</v>
      </c>
      <c r="J254" s="110">
        <v>4345</v>
      </c>
      <c r="K254" t="str">
        <f t="shared" si="3"/>
        <v>Sabtu</v>
      </c>
    </row>
    <row r="255" spans="1:11" x14ac:dyDescent="0.25">
      <c r="A255" s="207" t="s">
        <v>291</v>
      </c>
      <c r="B255" s="112">
        <v>45712</v>
      </c>
      <c r="C255" s="109" t="s">
        <v>38</v>
      </c>
      <c r="D255" s="109" t="s">
        <v>55</v>
      </c>
      <c r="E255" s="109" t="s">
        <v>41</v>
      </c>
      <c r="F255" s="109" t="s">
        <v>42</v>
      </c>
      <c r="G255" s="109" t="s">
        <v>15</v>
      </c>
      <c r="H255" s="110">
        <v>99.72</v>
      </c>
      <c r="I255" s="109">
        <v>8</v>
      </c>
      <c r="J255" s="110">
        <v>797.76</v>
      </c>
      <c r="K255" t="str">
        <f t="shared" si="3"/>
        <v>Senin</v>
      </c>
    </row>
    <row r="256" spans="1:11" x14ac:dyDescent="0.25">
      <c r="A256" s="207" t="s">
        <v>292</v>
      </c>
      <c r="B256" s="112">
        <v>45860</v>
      </c>
      <c r="C256" s="109" t="s">
        <v>17</v>
      </c>
      <c r="D256" s="109" t="s">
        <v>35</v>
      </c>
      <c r="E256" s="109" t="s">
        <v>23</v>
      </c>
      <c r="F256" s="109" t="s">
        <v>32</v>
      </c>
      <c r="G256" s="109" t="s">
        <v>15</v>
      </c>
      <c r="H256" s="110">
        <v>67.290000000000006</v>
      </c>
      <c r="I256" s="109">
        <v>10</v>
      </c>
      <c r="J256" s="110">
        <v>672.9</v>
      </c>
      <c r="K256" t="str">
        <f t="shared" si="3"/>
        <v>Selasa</v>
      </c>
    </row>
    <row r="257" spans="1:11" x14ac:dyDescent="0.25">
      <c r="A257" s="207" t="s">
        <v>293</v>
      </c>
      <c r="B257" s="112">
        <v>45697</v>
      </c>
      <c r="C257" s="109" t="s">
        <v>17</v>
      </c>
      <c r="D257" s="109" t="s">
        <v>22</v>
      </c>
      <c r="E257" s="109" t="s">
        <v>18</v>
      </c>
      <c r="F257" s="109" t="s">
        <v>42</v>
      </c>
      <c r="G257" s="109" t="s">
        <v>15</v>
      </c>
      <c r="H257" s="110">
        <v>152.5</v>
      </c>
      <c r="I257" s="109">
        <v>17</v>
      </c>
      <c r="J257" s="110">
        <v>2592.5</v>
      </c>
      <c r="K257" t="str">
        <f t="shared" si="3"/>
        <v>Minggu</v>
      </c>
    </row>
    <row r="258" spans="1:11" x14ac:dyDescent="0.25">
      <c r="A258" s="207" t="s">
        <v>294</v>
      </c>
      <c r="B258" s="112">
        <v>45836</v>
      </c>
      <c r="C258" s="109" t="s">
        <v>17</v>
      </c>
      <c r="D258" s="109" t="s">
        <v>12</v>
      </c>
      <c r="E258" s="109" t="s">
        <v>23</v>
      </c>
      <c r="F258" s="109" t="s">
        <v>14</v>
      </c>
      <c r="G258" s="109" t="s">
        <v>15</v>
      </c>
      <c r="H258" s="110">
        <v>235.95</v>
      </c>
      <c r="I258" s="109">
        <v>12</v>
      </c>
      <c r="J258" s="110">
        <v>2831.4</v>
      </c>
      <c r="K258" t="str">
        <f t="shared" si="3"/>
        <v>Sabtu</v>
      </c>
    </row>
    <row r="259" spans="1:11" x14ac:dyDescent="0.25">
      <c r="A259" s="207" t="s">
        <v>295</v>
      </c>
      <c r="B259" s="112">
        <v>45732</v>
      </c>
      <c r="C259" s="109" t="s">
        <v>30</v>
      </c>
      <c r="D259" s="109" t="s">
        <v>26</v>
      </c>
      <c r="E259" s="109" t="s">
        <v>18</v>
      </c>
      <c r="F259" s="109" t="s">
        <v>14</v>
      </c>
      <c r="G259" s="109" t="s">
        <v>20</v>
      </c>
      <c r="H259" s="110">
        <v>183.13</v>
      </c>
      <c r="I259" s="109">
        <v>9</v>
      </c>
      <c r="J259" s="110">
        <v>1648.17</v>
      </c>
      <c r="K259" t="str">
        <f t="shared" ref="K259:K322" si="4">TEXT(B259,"dddd")</f>
        <v>Minggu</v>
      </c>
    </row>
    <row r="260" spans="1:11" x14ac:dyDescent="0.25">
      <c r="A260" s="207" t="s">
        <v>296</v>
      </c>
      <c r="B260" s="112">
        <v>45696</v>
      </c>
      <c r="C260" s="109" t="s">
        <v>17</v>
      </c>
      <c r="D260" s="109" t="s">
        <v>31</v>
      </c>
      <c r="E260" s="109" t="s">
        <v>41</v>
      </c>
      <c r="F260" s="109" t="s">
        <v>39</v>
      </c>
      <c r="G260" s="109" t="s">
        <v>20</v>
      </c>
      <c r="H260" s="110">
        <v>155.41</v>
      </c>
      <c r="I260" s="109">
        <v>6</v>
      </c>
      <c r="J260" s="110">
        <v>932.46</v>
      </c>
      <c r="K260" t="str">
        <f t="shared" si="4"/>
        <v>Sabtu</v>
      </c>
    </row>
    <row r="261" spans="1:11" x14ac:dyDescent="0.25">
      <c r="A261" s="207" t="s">
        <v>297</v>
      </c>
      <c r="B261" s="112">
        <v>45954</v>
      </c>
      <c r="C261" s="109" t="s">
        <v>17</v>
      </c>
      <c r="D261" s="109" t="s">
        <v>55</v>
      </c>
      <c r="E261" s="109" t="s">
        <v>27</v>
      </c>
      <c r="F261" s="109" t="s">
        <v>28</v>
      </c>
      <c r="G261" s="109" t="s">
        <v>20</v>
      </c>
      <c r="H261" s="110">
        <v>51.38</v>
      </c>
      <c r="I261" s="109">
        <v>15</v>
      </c>
      <c r="J261" s="110">
        <v>770.7</v>
      </c>
      <c r="K261" t="str">
        <f t="shared" si="4"/>
        <v>Jumat</v>
      </c>
    </row>
    <row r="262" spans="1:11" x14ac:dyDescent="0.25">
      <c r="A262" s="207" t="s">
        <v>298</v>
      </c>
      <c r="B262" s="112">
        <v>45823</v>
      </c>
      <c r="C262" s="109" t="s">
        <v>30</v>
      </c>
      <c r="D262" s="109" t="s">
        <v>31</v>
      </c>
      <c r="E262" s="109" t="s">
        <v>45</v>
      </c>
      <c r="F262" s="109" t="s">
        <v>61</v>
      </c>
      <c r="G262" s="109" t="s">
        <v>36</v>
      </c>
      <c r="H262" s="110">
        <v>165.3</v>
      </c>
      <c r="I262" s="109">
        <v>11</v>
      </c>
      <c r="J262" s="110">
        <v>1818.3</v>
      </c>
      <c r="K262" t="str">
        <f t="shared" si="4"/>
        <v>Minggu</v>
      </c>
    </row>
    <row r="263" spans="1:11" x14ac:dyDescent="0.25">
      <c r="A263" s="207" t="s">
        <v>299</v>
      </c>
      <c r="B263" s="112">
        <v>45981</v>
      </c>
      <c r="C263" s="109" t="s">
        <v>34</v>
      </c>
      <c r="D263" s="109" t="s">
        <v>55</v>
      </c>
      <c r="E263" s="109" t="s">
        <v>45</v>
      </c>
      <c r="F263" s="109" t="s">
        <v>32</v>
      </c>
      <c r="G263" s="109" t="s">
        <v>20</v>
      </c>
      <c r="H263" s="110">
        <v>247.81</v>
      </c>
      <c r="I263" s="109">
        <v>10</v>
      </c>
      <c r="J263" s="110">
        <v>2478.1</v>
      </c>
      <c r="K263" t="str">
        <f t="shared" si="4"/>
        <v>Kamis</v>
      </c>
    </row>
    <row r="264" spans="1:11" x14ac:dyDescent="0.25">
      <c r="A264" s="207" t="s">
        <v>300</v>
      </c>
      <c r="B264" s="112">
        <v>45695</v>
      </c>
      <c r="C264" s="109" t="s">
        <v>38</v>
      </c>
      <c r="D264" s="109" t="s">
        <v>31</v>
      </c>
      <c r="E264" s="109" t="s">
        <v>45</v>
      </c>
      <c r="F264" s="109" t="s">
        <v>19</v>
      </c>
      <c r="G264" s="109" t="s">
        <v>36</v>
      </c>
      <c r="H264" s="110">
        <v>60.82</v>
      </c>
      <c r="I264" s="109">
        <v>10</v>
      </c>
      <c r="J264" s="110">
        <v>608.20000000000005</v>
      </c>
      <c r="K264" t="str">
        <f t="shared" si="4"/>
        <v>Jumat</v>
      </c>
    </row>
    <row r="265" spans="1:11" x14ac:dyDescent="0.25">
      <c r="A265" s="207" t="s">
        <v>301</v>
      </c>
      <c r="B265" s="112">
        <v>45804</v>
      </c>
      <c r="C265" s="109" t="s">
        <v>17</v>
      </c>
      <c r="D265" s="109" t="s">
        <v>22</v>
      </c>
      <c r="E265" s="109" t="s">
        <v>18</v>
      </c>
      <c r="F265" s="109" t="s">
        <v>42</v>
      </c>
      <c r="G265" s="109" t="s">
        <v>20</v>
      </c>
      <c r="H265" s="110">
        <v>144.03</v>
      </c>
      <c r="I265" s="109">
        <v>3</v>
      </c>
      <c r="J265" s="110">
        <v>432.09</v>
      </c>
      <c r="K265" t="str">
        <f t="shared" si="4"/>
        <v>Selasa</v>
      </c>
    </row>
    <row r="266" spans="1:11" x14ac:dyDescent="0.25">
      <c r="A266" s="207" t="s">
        <v>302</v>
      </c>
      <c r="B266" s="112">
        <v>45854</v>
      </c>
      <c r="C266" s="109" t="s">
        <v>25</v>
      </c>
      <c r="D266" s="109" t="s">
        <v>55</v>
      </c>
      <c r="E266" s="109" t="s">
        <v>27</v>
      </c>
      <c r="F266" s="109" t="s">
        <v>19</v>
      </c>
      <c r="G266" s="109" t="s">
        <v>36</v>
      </c>
      <c r="H266" s="110">
        <v>223.02</v>
      </c>
      <c r="I266" s="109">
        <v>15</v>
      </c>
      <c r="J266" s="110">
        <v>3345.3</v>
      </c>
      <c r="K266" t="str">
        <f t="shared" si="4"/>
        <v>Rabu</v>
      </c>
    </row>
    <row r="267" spans="1:11" x14ac:dyDescent="0.25">
      <c r="A267" s="207" t="s">
        <v>303</v>
      </c>
      <c r="B267" s="112">
        <v>45950</v>
      </c>
      <c r="C267" s="109" t="s">
        <v>34</v>
      </c>
      <c r="D267" s="109" t="s">
        <v>55</v>
      </c>
      <c r="E267" s="109" t="s">
        <v>41</v>
      </c>
      <c r="F267" s="109" t="s">
        <v>42</v>
      </c>
      <c r="G267" s="109" t="s">
        <v>15</v>
      </c>
      <c r="H267" s="110">
        <v>192.97</v>
      </c>
      <c r="I267" s="109">
        <v>7</v>
      </c>
      <c r="J267" s="110">
        <v>1350.79</v>
      </c>
      <c r="K267" t="str">
        <f t="shared" si="4"/>
        <v>Senin</v>
      </c>
    </row>
    <row r="268" spans="1:11" x14ac:dyDescent="0.25">
      <c r="A268" s="207" t="s">
        <v>304</v>
      </c>
      <c r="B268" s="112">
        <v>45689</v>
      </c>
      <c r="C268" s="109" t="s">
        <v>11</v>
      </c>
      <c r="D268" s="109" t="s">
        <v>35</v>
      </c>
      <c r="E268" s="109" t="s">
        <v>27</v>
      </c>
      <c r="F268" s="109" t="s">
        <v>19</v>
      </c>
      <c r="G268" s="109" t="s">
        <v>20</v>
      </c>
      <c r="H268" s="110">
        <v>183.34</v>
      </c>
      <c r="I268" s="109">
        <v>15</v>
      </c>
      <c r="J268" s="110">
        <v>2750.1</v>
      </c>
      <c r="K268" t="str">
        <f t="shared" si="4"/>
        <v>Sabtu</v>
      </c>
    </row>
    <row r="269" spans="1:11" x14ac:dyDescent="0.25">
      <c r="A269" s="207" t="s">
        <v>305</v>
      </c>
      <c r="B269" s="112">
        <v>45988</v>
      </c>
      <c r="C269" s="109" t="s">
        <v>11</v>
      </c>
      <c r="D269" s="109" t="s">
        <v>26</v>
      </c>
      <c r="E269" s="109" t="s">
        <v>27</v>
      </c>
      <c r="F269" s="109" t="s">
        <v>61</v>
      </c>
      <c r="G269" s="109" t="s">
        <v>36</v>
      </c>
      <c r="H269" s="110">
        <v>184.55</v>
      </c>
      <c r="I269" s="109">
        <v>6</v>
      </c>
      <c r="J269" s="110">
        <v>1107.3</v>
      </c>
      <c r="K269" t="str">
        <f t="shared" si="4"/>
        <v>Kamis</v>
      </c>
    </row>
    <row r="270" spans="1:11" x14ac:dyDescent="0.25">
      <c r="A270" s="207" t="s">
        <v>306</v>
      </c>
      <c r="B270" s="112">
        <v>45926</v>
      </c>
      <c r="C270" s="109" t="s">
        <v>25</v>
      </c>
      <c r="D270" s="109" t="s">
        <v>26</v>
      </c>
      <c r="E270" s="109" t="s">
        <v>13</v>
      </c>
      <c r="F270" s="109" t="s">
        <v>32</v>
      </c>
      <c r="G270" s="109" t="s">
        <v>36</v>
      </c>
      <c r="H270" s="110">
        <v>109.09</v>
      </c>
      <c r="I270" s="109">
        <v>17</v>
      </c>
      <c r="J270" s="110">
        <v>1854.53</v>
      </c>
      <c r="K270" t="str">
        <f t="shared" si="4"/>
        <v>Jumat</v>
      </c>
    </row>
    <row r="271" spans="1:11" x14ac:dyDescent="0.25">
      <c r="A271" s="207" t="s">
        <v>307</v>
      </c>
      <c r="B271" s="112">
        <v>45856</v>
      </c>
      <c r="C271" s="109" t="s">
        <v>34</v>
      </c>
      <c r="D271" s="109" t="s">
        <v>12</v>
      </c>
      <c r="E271" s="109" t="s">
        <v>18</v>
      </c>
      <c r="F271" s="109" t="s">
        <v>19</v>
      </c>
      <c r="G271" s="109" t="s">
        <v>20</v>
      </c>
      <c r="H271" s="110">
        <v>94.59</v>
      </c>
      <c r="I271" s="109">
        <v>14</v>
      </c>
      <c r="J271" s="110">
        <v>1324.26</v>
      </c>
      <c r="K271" t="str">
        <f t="shared" si="4"/>
        <v>Jumat</v>
      </c>
    </row>
    <row r="272" spans="1:11" x14ac:dyDescent="0.25">
      <c r="A272" s="207" t="s">
        <v>308</v>
      </c>
      <c r="B272" s="112">
        <v>45989</v>
      </c>
      <c r="C272" s="109" t="s">
        <v>11</v>
      </c>
      <c r="D272" s="109" t="s">
        <v>35</v>
      </c>
      <c r="E272" s="109" t="s">
        <v>45</v>
      </c>
      <c r="F272" s="109" t="s">
        <v>42</v>
      </c>
      <c r="G272" s="109" t="s">
        <v>20</v>
      </c>
      <c r="H272" s="110">
        <v>208.06</v>
      </c>
      <c r="I272" s="109">
        <v>11</v>
      </c>
      <c r="J272" s="110">
        <v>2288.66</v>
      </c>
      <c r="K272" t="str">
        <f t="shared" si="4"/>
        <v>Jumat</v>
      </c>
    </row>
    <row r="273" spans="1:11" x14ac:dyDescent="0.25">
      <c r="A273" s="207" t="s">
        <v>309</v>
      </c>
      <c r="B273" s="112">
        <v>45855</v>
      </c>
      <c r="C273" s="109" t="s">
        <v>34</v>
      </c>
      <c r="D273" s="109" t="s">
        <v>12</v>
      </c>
      <c r="E273" s="109" t="s">
        <v>27</v>
      </c>
      <c r="F273" s="109" t="s">
        <v>42</v>
      </c>
      <c r="G273" s="109" t="s">
        <v>15</v>
      </c>
      <c r="H273" s="110">
        <v>208.22</v>
      </c>
      <c r="I273" s="109">
        <v>10</v>
      </c>
      <c r="J273" s="110">
        <v>2082.1999999999998</v>
      </c>
      <c r="K273" t="str">
        <f t="shared" si="4"/>
        <v>Kamis</v>
      </c>
    </row>
    <row r="274" spans="1:11" x14ac:dyDescent="0.25">
      <c r="A274" s="207" t="s">
        <v>310</v>
      </c>
      <c r="B274" s="112">
        <v>45828</v>
      </c>
      <c r="C274" s="109" t="s">
        <v>25</v>
      </c>
      <c r="D274" s="109" t="s">
        <v>12</v>
      </c>
      <c r="E274" s="109" t="s">
        <v>23</v>
      </c>
      <c r="F274" s="109" t="s">
        <v>32</v>
      </c>
      <c r="G274" s="109" t="s">
        <v>36</v>
      </c>
      <c r="H274" s="110">
        <v>220.76</v>
      </c>
      <c r="I274" s="109">
        <v>3</v>
      </c>
      <c r="J274" s="110">
        <v>662.28</v>
      </c>
      <c r="K274" t="str">
        <f t="shared" si="4"/>
        <v>Jumat</v>
      </c>
    </row>
    <row r="275" spans="1:11" x14ac:dyDescent="0.25">
      <c r="A275" s="207" t="s">
        <v>311</v>
      </c>
      <c r="B275" s="112">
        <v>45993</v>
      </c>
      <c r="C275" s="109" t="s">
        <v>30</v>
      </c>
      <c r="D275" s="109" t="s">
        <v>55</v>
      </c>
      <c r="E275" s="109" t="s">
        <v>27</v>
      </c>
      <c r="F275" s="109" t="s">
        <v>19</v>
      </c>
      <c r="G275" s="109" t="s">
        <v>36</v>
      </c>
      <c r="H275" s="110">
        <v>230.91</v>
      </c>
      <c r="I275" s="109">
        <v>13</v>
      </c>
      <c r="J275" s="110">
        <v>3001.83</v>
      </c>
      <c r="K275" t="str">
        <f t="shared" si="4"/>
        <v>Selasa</v>
      </c>
    </row>
    <row r="276" spans="1:11" x14ac:dyDescent="0.25">
      <c r="A276" s="207" t="s">
        <v>312</v>
      </c>
      <c r="B276" s="112">
        <v>45944</v>
      </c>
      <c r="C276" s="109" t="s">
        <v>17</v>
      </c>
      <c r="D276" s="109" t="s">
        <v>35</v>
      </c>
      <c r="E276" s="109" t="s">
        <v>23</v>
      </c>
      <c r="F276" s="109" t="s">
        <v>28</v>
      </c>
      <c r="G276" s="109" t="s">
        <v>20</v>
      </c>
      <c r="H276" s="110">
        <v>142.5</v>
      </c>
      <c r="I276" s="109">
        <v>13</v>
      </c>
      <c r="J276" s="110">
        <v>1852.5</v>
      </c>
      <c r="K276" t="str">
        <f t="shared" si="4"/>
        <v>Selasa</v>
      </c>
    </row>
    <row r="277" spans="1:11" x14ac:dyDescent="0.25">
      <c r="A277" s="207" t="s">
        <v>313</v>
      </c>
      <c r="B277" s="112">
        <v>46008</v>
      </c>
      <c r="C277" s="109" t="s">
        <v>11</v>
      </c>
      <c r="D277" s="109" t="s">
        <v>12</v>
      </c>
      <c r="E277" s="109" t="s">
        <v>27</v>
      </c>
      <c r="F277" s="109" t="s">
        <v>61</v>
      </c>
      <c r="G277" s="109" t="s">
        <v>20</v>
      </c>
      <c r="H277" s="110">
        <v>140.33000000000001</v>
      </c>
      <c r="I277" s="109">
        <v>17</v>
      </c>
      <c r="J277" s="110">
        <v>2385.61</v>
      </c>
      <c r="K277" t="str">
        <f t="shared" si="4"/>
        <v>Rabu</v>
      </c>
    </row>
    <row r="278" spans="1:11" x14ac:dyDescent="0.25">
      <c r="A278" s="207" t="s">
        <v>314</v>
      </c>
      <c r="B278" s="112">
        <v>45843</v>
      </c>
      <c r="C278" s="109" t="s">
        <v>34</v>
      </c>
      <c r="D278" s="109" t="s">
        <v>35</v>
      </c>
      <c r="E278" s="109" t="s">
        <v>23</v>
      </c>
      <c r="F278" s="109" t="s">
        <v>14</v>
      </c>
      <c r="G278" s="109" t="s">
        <v>36</v>
      </c>
      <c r="H278" s="110">
        <v>205.62</v>
      </c>
      <c r="I278" s="109">
        <v>1</v>
      </c>
      <c r="J278" s="110">
        <v>205.62</v>
      </c>
      <c r="K278" t="str">
        <f t="shared" si="4"/>
        <v>Sabtu</v>
      </c>
    </row>
    <row r="279" spans="1:11" x14ac:dyDescent="0.25">
      <c r="A279" s="207" t="s">
        <v>315</v>
      </c>
      <c r="B279" s="112">
        <v>45906</v>
      </c>
      <c r="C279" s="109" t="s">
        <v>30</v>
      </c>
      <c r="D279" s="109" t="s">
        <v>26</v>
      </c>
      <c r="E279" s="109" t="s">
        <v>23</v>
      </c>
      <c r="F279" s="109" t="s">
        <v>19</v>
      </c>
      <c r="G279" s="109" t="s">
        <v>36</v>
      </c>
      <c r="H279" s="110">
        <v>172.99</v>
      </c>
      <c r="I279" s="109">
        <v>7</v>
      </c>
      <c r="J279" s="110">
        <v>1210.93</v>
      </c>
      <c r="K279" t="str">
        <f t="shared" si="4"/>
        <v>Sabtu</v>
      </c>
    </row>
    <row r="280" spans="1:11" x14ac:dyDescent="0.25">
      <c r="A280" s="207" t="s">
        <v>316</v>
      </c>
      <c r="B280" s="112">
        <v>45709</v>
      </c>
      <c r="C280" s="109" t="s">
        <v>25</v>
      </c>
      <c r="D280" s="109" t="s">
        <v>12</v>
      </c>
      <c r="E280" s="109" t="s">
        <v>18</v>
      </c>
      <c r="F280" s="109" t="s">
        <v>19</v>
      </c>
      <c r="G280" s="109" t="s">
        <v>20</v>
      </c>
      <c r="H280" s="110">
        <v>184.43</v>
      </c>
      <c r="I280" s="109">
        <v>17</v>
      </c>
      <c r="J280" s="110">
        <v>3135.31</v>
      </c>
      <c r="K280" t="str">
        <f t="shared" si="4"/>
        <v>Jumat</v>
      </c>
    </row>
    <row r="281" spans="1:11" x14ac:dyDescent="0.25">
      <c r="A281" s="207" t="s">
        <v>317</v>
      </c>
      <c r="B281" s="112">
        <v>45830</v>
      </c>
      <c r="C281" s="109" t="s">
        <v>30</v>
      </c>
      <c r="D281" s="109" t="s">
        <v>55</v>
      </c>
      <c r="E281" s="109" t="s">
        <v>41</v>
      </c>
      <c r="F281" s="109" t="s">
        <v>14</v>
      </c>
      <c r="G281" s="109" t="s">
        <v>15</v>
      </c>
      <c r="H281" s="110">
        <v>205.07</v>
      </c>
      <c r="I281" s="109">
        <v>20</v>
      </c>
      <c r="J281" s="110">
        <v>4101.3999999999996</v>
      </c>
      <c r="K281" t="str">
        <f t="shared" si="4"/>
        <v>Minggu</v>
      </c>
    </row>
    <row r="282" spans="1:11" x14ac:dyDescent="0.25">
      <c r="A282" s="207" t="s">
        <v>318</v>
      </c>
      <c r="B282" s="112">
        <v>45750</v>
      </c>
      <c r="C282" s="109" t="s">
        <v>30</v>
      </c>
      <c r="D282" s="109" t="s">
        <v>12</v>
      </c>
      <c r="E282" s="109" t="s">
        <v>41</v>
      </c>
      <c r="F282" s="109" t="s">
        <v>19</v>
      </c>
      <c r="G282" s="109" t="s">
        <v>36</v>
      </c>
      <c r="H282" s="110">
        <v>225.8</v>
      </c>
      <c r="I282" s="109">
        <v>20</v>
      </c>
      <c r="J282" s="110">
        <v>4516</v>
      </c>
      <c r="K282" t="str">
        <f t="shared" si="4"/>
        <v>Kamis</v>
      </c>
    </row>
    <row r="283" spans="1:11" x14ac:dyDescent="0.25">
      <c r="A283" s="207" t="s">
        <v>319</v>
      </c>
      <c r="B283" s="112">
        <v>45844</v>
      </c>
      <c r="C283" s="109" t="s">
        <v>38</v>
      </c>
      <c r="D283" s="109" t="s">
        <v>55</v>
      </c>
      <c r="E283" s="109" t="s">
        <v>13</v>
      </c>
      <c r="F283" s="109" t="s">
        <v>39</v>
      </c>
      <c r="G283" s="109" t="s">
        <v>20</v>
      </c>
      <c r="H283" s="110">
        <v>104.36</v>
      </c>
      <c r="I283" s="109">
        <v>8</v>
      </c>
      <c r="J283" s="110">
        <v>834.88</v>
      </c>
      <c r="K283" t="str">
        <f t="shared" si="4"/>
        <v>Minggu</v>
      </c>
    </row>
    <row r="284" spans="1:11" x14ac:dyDescent="0.25">
      <c r="A284" s="207" t="s">
        <v>320</v>
      </c>
      <c r="B284" s="112">
        <v>45887</v>
      </c>
      <c r="C284" s="109" t="s">
        <v>25</v>
      </c>
      <c r="D284" s="109" t="s">
        <v>26</v>
      </c>
      <c r="E284" s="109" t="s">
        <v>13</v>
      </c>
      <c r="F284" s="109" t="s">
        <v>39</v>
      </c>
      <c r="G284" s="109" t="s">
        <v>36</v>
      </c>
      <c r="H284" s="110">
        <v>112.63</v>
      </c>
      <c r="I284" s="109">
        <v>8</v>
      </c>
      <c r="J284" s="110">
        <v>901.04</v>
      </c>
      <c r="K284" t="str">
        <f t="shared" si="4"/>
        <v>Senin</v>
      </c>
    </row>
    <row r="285" spans="1:11" x14ac:dyDescent="0.25">
      <c r="A285" s="207" t="s">
        <v>321</v>
      </c>
      <c r="B285" s="112">
        <v>45757</v>
      </c>
      <c r="C285" s="109" t="s">
        <v>17</v>
      </c>
      <c r="D285" s="109" t="s">
        <v>55</v>
      </c>
      <c r="E285" s="109" t="s">
        <v>41</v>
      </c>
      <c r="F285" s="109" t="s">
        <v>61</v>
      </c>
      <c r="G285" s="109" t="s">
        <v>36</v>
      </c>
      <c r="H285" s="110">
        <v>50.68</v>
      </c>
      <c r="I285" s="109">
        <v>12</v>
      </c>
      <c r="J285" s="110">
        <v>608.16</v>
      </c>
      <c r="K285" t="str">
        <f t="shared" si="4"/>
        <v>Kamis</v>
      </c>
    </row>
    <row r="286" spans="1:11" x14ac:dyDescent="0.25">
      <c r="A286" s="207" t="s">
        <v>322</v>
      </c>
      <c r="B286" s="112">
        <v>45853</v>
      </c>
      <c r="C286" s="109" t="s">
        <v>25</v>
      </c>
      <c r="D286" s="109" t="s">
        <v>31</v>
      </c>
      <c r="E286" s="109" t="s">
        <v>23</v>
      </c>
      <c r="F286" s="109" t="s">
        <v>39</v>
      </c>
      <c r="G286" s="109" t="s">
        <v>15</v>
      </c>
      <c r="H286" s="110">
        <v>157.22</v>
      </c>
      <c r="I286" s="109">
        <v>17</v>
      </c>
      <c r="J286" s="110">
        <v>2672.74</v>
      </c>
      <c r="K286" t="str">
        <f t="shared" si="4"/>
        <v>Selasa</v>
      </c>
    </row>
    <row r="287" spans="1:11" x14ac:dyDescent="0.25">
      <c r="A287" s="207" t="s">
        <v>323</v>
      </c>
      <c r="B287" s="112">
        <v>45967</v>
      </c>
      <c r="C287" s="109" t="s">
        <v>34</v>
      </c>
      <c r="D287" s="109" t="s">
        <v>22</v>
      </c>
      <c r="E287" s="109" t="s">
        <v>27</v>
      </c>
      <c r="F287" s="109" t="s">
        <v>61</v>
      </c>
      <c r="G287" s="109" t="s">
        <v>36</v>
      </c>
      <c r="H287" s="110">
        <v>37.909999999999997</v>
      </c>
      <c r="I287" s="109">
        <v>5</v>
      </c>
      <c r="J287" s="110">
        <v>189.55</v>
      </c>
      <c r="K287" t="str">
        <f t="shared" si="4"/>
        <v>Kamis</v>
      </c>
    </row>
    <row r="288" spans="1:11" x14ac:dyDescent="0.25">
      <c r="A288" s="207" t="s">
        <v>324</v>
      </c>
      <c r="B288" s="112">
        <v>45941</v>
      </c>
      <c r="C288" s="109" t="s">
        <v>17</v>
      </c>
      <c r="D288" s="109" t="s">
        <v>55</v>
      </c>
      <c r="E288" s="109" t="s">
        <v>45</v>
      </c>
      <c r="F288" s="109" t="s">
        <v>32</v>
      </c>
      <c r="G288" s="109" t="s">
        <v>15</v>
      </c>
      <c r="H288" s="110">
        <v>132.43</v>
      </c>
      <c r="I288" s="109">
        <v>4</v>
      </c>
      <c r="J288" s="110">
        <v>529.72</v>
      </c>
      <c r="K288" t="str">
        <f t="shared" si="4"/>
        <v>Sabtu</v>
      </c>
    </row>
    <row r="289" spans="1:11" x14ac:dyDescent="0.25">
      <c r="A289" s="207" t="s">
        <v>325</v>
      </c>
      <c r="B289" s="112">
        <v>45740</v>
      </c>
      <c r="C289" s="109" t="s">
        <v>38</v>
      </c>
      <c r="D289" s="109" t="s">
        <v>55</v>
      </c>
      <c r="E289" s="109" t="s">
        <v>23</v>
      </c>
      <c r="F289" s="109" t="s">
        <v>39</v>
      </c>
      <c r="G289" s="109" t="s">
        <v>36</v>
      </c>
      <c r="H289" s="110">
        <v>149.38</v>
      </c>
      <c r="I289" s="109">
        <v>9</v>
      </c>
      <c r="J289" s="110">
        <v>1344.42</v>
      </c>
      <c r="K289" t="str">
        <f t="shared" si="4"/>
        <v>Senin</v>
      </c>
    </row>
    <row r="290" spans="1:11" x14ac:dyDescent="0.25">
      <c r="A290" s="207" t="s">
        <v>326</v>
      </c>
      <c r="B290" s="112">
        <v>45704</v>
      </c>
      <c r="C290" s="109" t="s">
        <v>38</v>
      </c>
      <c r="D290" s="109" t="s">
        <v>35</v>
      </c>
      <c r="E290" s="109" t="s">
        <v>45</v>
      </c>
      <c r="F290" s="109" t="s">
        <v>61</v>
      </c>
      <c r="G290" s="109" t="s">
        <v>15</v>
      </c>
      <c r="H290" s="110">
        <v>93.04</v>
      </c>
      <c r="I290" s="109">
        <v>8</v>
      </c>
      <c r="J290" s="110">
        <v>744.32</v>
      </c>
      <c r="K290" t="str">
        <f t="shared" si="4"/>
        <v>Minggu</v>
      </c>
    </row>
    <row r="291" spans="1:11" x14ac:dyDescent="0.25">
      <c r="A291" s="207" t="s">
        <v>327</v>
      </c>
      <c r="B291" s="112">
        <v>45860</v>
      </c>
      <c r="C291" s="109" t="s">
        <v>34</v>
      </c>
      <c r="D291" s="109" t="s">
        <v>26</v>
      </c>
      <c r="E291" s="109" t="s">
        <v>41</v>
      </c>
      <c r="F291" s="109" t="s">
        <v>19</v>
      </c>
      <c r="G291" s="109" t="s">
        <v>36</v>
      </c>
      <c r="H291" s="110">
        <v>159.97999999999999</v>
      </c>
      <c r="I291" s="109">
        <v>17</v>
      </c>
      <c r="J291" s="110">
        <v>2719.66</v>
      </c>
      <c r="K291" t="str">
        <f t="shared" si="4"/>
        <v>Selasa</v>
      </c>
    </row>
    <row r="292" spans="1:11" x14ac:dyDescent="0.25">
      <c r="A292" s="207" t="s">
        <v>328</v>
      </c>
      <c r="B292" s="112">
        <v>45772</v>
      </c>
      <c r="C292" s="109" t="s">
        <v>34</v>
      </c>
      <c r="D292" s="109" t="s">
        <v>22</v>
      </c>
      <c r="E292" s="109" t="s">
        <v>27</v>
      </c>
      <c r="F292" s="109" t="s">
        <v>28</v>
      </c>
      <c r="G292" s="109" t="s">
        <v>36</v>
      </c>
      <c r="H292" s="110">
        <v>36.71</v>
      </c>
      <c r="I292" s="109">
        <v>1</v>
      </c>
      <c r="J292" s="110">
        <v>36.71</v>
      </c>
      <c r="K292" t="str">
        <f t="shared" si="4"/>
        <v>Jumat</v>
      </c>
    </row>
    <row r="293" spans="1:11" x14ac:dyDescent="0.25">
      <c r="A293" s="207" t="s">
        <v>329</v>
      </c>
      <c r="B293" s="112">
        <v>45732</v>
      </c>
      <c r="C293" s="109" t="s">
        <v>11</v>
      </c>
      <c r="D293" s="109" t="s">
        <v>35</v>
      </c>
      <c r="E293" s="109" t="s">
        <v>41</v>
      </c>
      <c r="F293" s="109" t="s">
        <v>28</v>
      </c>
      <c r="G293" s="109" t="s">
        <v>15</v>
      </c>
      <c r="H293" s="110">
        <v>38.22</v>
      </c>
      <c r="I293" s="109">
        <v>5</v>
      </c>
      <c r="J293" s="110">
        <v>191.1</v>
      </c>
      <c r="K293" t="str">
        <f t="shared" si="4"/>
        <v>Minggu</v>
      </c>
    </row>
    <row r="294" spans="1:11" x14ac:dyDescent="0.25">
      <c r="A294" s="207" t="s">
        <v>330</v>
      </c>
      <c r="B294" s="112">
        <v>46019</v>
      </c>
      <c r="C294" s="109" t="s">
        <v>38</v>
      </c>
      <c r="D294" s="109" t="s">
        <v>55</v>
      </c>
      <c r="E294" s="109" t="s">
        <v>45</v>
      </c>
      <c r="F294" s="109" t="s">
        <v>19</v>
      </c>
      <c r="G294" s="109" t="s">
        <v>15</v>
      </c>
      <c r="H294" s="110">
        <v>210.97</v>
      </c>
      <c r="I294" s="109">
        <v>16</v>
      </c>
      <c r="J294" s="110">
        <v>3375.52</v>
      </c>
      <c r="K294" t="str">
        <f t="shared" si="4"/>
        <v>Minggu</v>
      </c>
    </row>
    <row r="295" spans="1:11" x14ac:dyDescent="0.25">
      <c r="A295" s="207" t="s">
        <v>331</v>
      </c>
      <c r="B295" s="112">
        <v>45789</v>
      </c>
      <c r="C295" s="109" t="s">
        <v>30</v>
      </c>
      <c r="D295" s="109" t="s">
        <v>55</v>
      </c>
      <c r="E295" s="109" t="s">
        <v>27</v>
      </c>
      <c r="F295" s="109" t="s">
        <v>42</v>
      </c>
      <c r="G295" s="109" t="s">
        <v>20</v>
      </c>
      <c r="H295" s="110">
        <v>109.24</v>
      </c>
      <c r="I295" s="109">
        <v>7</v>
      </c>
      <c r="J295" s="110">
        <v>764.68</v>
      </c>
      <c r="K295" t="str">
        <f t="shared" si="4"/>
        <v>Senin</v>
      </c>
    </row>
    <row r="296" spans="1:11" x14ac:dyDescent="0.25">
      <c r="A296" s="207" t="s">
        <v>332</v>
      </c>
      <c r="B296" s="112">
        <v>45874</v>
      </c>
      <c r="C296" s="109" t="s">
        <v>34</v>
      </c>
      <c r="D296" s="109" t="s">
        <v>26</v>
      </c>
      <c r="E296" s="109" t="s">
        <v>13</v>
      </c>
      <c r="F296" s="109" t="s">
        <v>19</v>
      </c>
      <c r="G296" s="109" t="s">
        <v>15</v>
      </c>
      <c r="H296" s="110">
        <v>57.95</v>
      </c>
      <c r="I296" s="109">
        <v>4</v>
      </c>
      <c r="J296" s="110">
        <v>231.8</v>
      </c>
      <c r="K296" t="str">
        <f t="shared" si="4"/>
        <v>Selasa</v>
      </c>
    </row>
    <row r="297" spans="1:11" x14ac:dyDescent="0.25">
      <c r="A297" s="207" t="s">
        <v>333</v>
      </c>
      <c r="B297" s="112">
        <v>45780</v>
      </c>
      <c r="C297" s="109" t="s">
        <v>17</v>
      </c>
      <c r="D297" s="109" t="s">
        <v>55</v>
      </c>
      <c r="E297" s="109" t="s">
        <v>41</v>
      </c>
      <c r="F297" s="109" t="s">
        <v>19</v>
      </c>
      <c r="G297" s="109" t="s">
        <v>15</v>
      </c>
      <c r="H297" s="110">
        <v>144.88999999999999</v>
      </c>
      <c r="I297" s="109">
        <v>14</v>
      </c>
      <c r="J297" s="110">
        <v>2028.46</v>
      </c>
      <c r="K297" t="str">
        <f t="shared" si="4"/>
        <v>Sabtu</v>
      </c>
    </row>
    <row r="298" spans="1:11" x14ac:dyDescent="0.25">
      <c r="A298" s="207" t="s">
        <v>334</v>
      </c>
      <c r="B298" s="112">
        <v>45913</v>
      </c>
      <c r="C298" s="109" t="s">
        <v>25</v>
      </c>
      <c r="D298" s="109" t="s">
        <v>22</v>
      </c>
      <c r="E298" s="109" t="s">
        <v>27</v>
      </c>
      <c r="F298" s="109" t="s">
        <v>42</v>
      </c>
      <c r="G298" s="109" t="s">
        <v>20</v>
      </c>
      <c r="H298" s="110">
        <v>199.4</v>
      </c>
      <c r="I298" s="109">
        <v>20</v>
      </c>
      <c r="J298" s="110">
        <v>3988</v>
      </c>
      <c r="K298" t="str">
        <f t="shared" si="4"/>
        <v>Sabtu</v>
      </c>
    </row>
    <row r="299" spans="1:11" x14ac:dyDescent="0.25">
      <c r="A299" s="207" t="s">
        <v>335</v>
      </c>
      <c r="B299" s="112">
        <v>45781</v>
      </c>
      <c r="C299" s="109" t="s">
        <v>34</v>
      </c>
      <c r="D299" s="109" t="s">
        <v>31</v>
      </c>
      <c r="E299" s="109" t="s">
        <v>45</v>
      </c>
      <c r="F299" s="109" t="s">
        <v>42</v>
      </c>
      <c r="G299" s="109" t="s">
        <v>36</v>
      </c>
      <c r="H299" s="110">
        <v>77.48</v>
      </c>
      <c r="I299" s="109">
        <v>5</v>
      </c>
      <c r="J299" s="110">
        <v>387.4</v>
      </c>
      <c r="K299" t="str">
        <f t="shared" si="4"/>
        <v>Minggu</v>
      </c>
    </row>
    <row r="300" spans="1:11" x14ac:dyDescent="0.25">
      <c r="A300" s="207" t="s">
        <v>336</v>
      </c>
      <c r="B300" s="112">
        <v>45781</v>
      </c>
      <c r="C300" s="109" t="s">
        <v>38</v>
      </c>
      <c r="D300" s="109" t="s">
        <v>26</v>
      </c>
      <c r="E300" s="109" t="s">
        <v>27</v>
      </c>
      <c r="F300" s="109" t="s">
        <v>28</v>
      </c>
      <c r="G300" s="109" t="s">
        <v>15</v>
      </c>
      <c r="H300" s="110">
        <v>167.04</v>
      </c>
      <c r="I300" s="109">
        <v>19</v>
      </c>
      <c r="J300" s="110">
        <v>3173.76</v>
      </c>
      <c r="K300" t="str">
        <f t="shared" si="4"/>
        <v>Minggu</v>
      </c>
    </row>
    <row r="301" spans="1:11" x14ac:dyDescent="0.25">
      <c r="A301" s="207" t="s">
        <v>337</v>
      </c>
      <c r="B301" s="112">
        <v>45926</v>
      </c>
      <c r="C301" s="109" t="s">
        <v>11</v>
      </c>
      <c r="D301" s="109" t="s">
        <v>55</v>
      </c>
      <c r="E301" s="109" t="s">
        <v>18</v>
      </c>
      <c r="F301" s="109" t="s">
        <v>42</v>
      </c>
      <c r="G301" s="109" t="s">
        <v>20</v>
      </c>
      <c r="H301" s="110">
        <v>48.78</v>
      </c>
      <c r="I301" s="109">
        <v>12</v>
      </c>
      <c r="J301" s="110">
        <v>585.36</v>
      </c>
      <c r="K301" t="str">
        <f t="shared" si="4"/>
        <v>Jumat</v>
      </c>
    </row>
    <row r="302" spans="1:11" x14ac:dyDescent="0.25">
      <c r="A302" s="207" t="s">
        <v>338</v>
      </c>
      <c r="B302" s="112">
        <v>45941</v>
      </c>
      <c r="C302" s="109" t="s">
        <v>38</v>
      </c>
      <c r="D302" s="109" t="s">
        <v>31</v>
      </c>
      <c r="E302" s="109" t="s">
        <v>45</v>
      </c>
      <c r="F302" s="109" t="s">
        <v>28</v>
      </c>
      <c r="G302" s="109" t="s">
        <v>36</v>
      </c>
      <c r="H302" s="110">
        <v>41.37</v>
      </c>
      <c r="I302" s="109">
        <v>1</v>
      </c>
      <c r="J302" s="110">
        <v>41.37</v>
      </c>
      <c r="K302" t="str">
        <f t="shared" si="4"/>
        <v>Sabtu</v>
      </c>
    </row>
    <row r="303" spans="1:11" x14ac:dyDescent="0.25">
      <c r="A303" s="207" t="s">
        <v>339</v>
      </c>
      <c r="B303" s="112">
        <v>45849</v>
      </c>
      <c r="C303" s="109" t="s">
        <v>17</v>
      </c>
      <c r="D303" s="109" t="s">
        <v>22</v>
      </c>
      <c r="E303" s="109" t="s">
        <v>13</v>
      </c>
      <c r="F303" s="109" t="s">
        <v>39</v>
      </c>
      <c r="G303" s="109" t="s">
        <v>15</v>
      </c>
      <c r="H303" s="110">
        <v>146.9</v>
      </c>
      <c r="I303" s="109">
        <v>9</v>
      </c>
      <c r="J303" s="110">
        <v>1322.1</v>
      </c>
      <c r="K303" t="str">
        <f t="shared" si="4"/>
        <v>Jumat</v>
      </c>
    </row>
    <row r="304" spans="1:11" x14ac:dyDescent="0.25">
      <c r="A304" s="207" t="s">
        <v>340</v>
      </c>
      <c r="B304" s="112">
        <v>45834</v>
      </c>
      <c r="C304" s="109" t="s">
        <v>17</v>
      </c>
      <c r="D304" s="109" t="s">
        <v>12</v>
      </c>
      <c r="E304" s="109" t="s">
        <v>27</v>
      </c>
      <c r="F304" s="109" t="s">
        <v>19</v>
      </c>
      <c r="G304" s="109" t="s">
        <v>20</v>
      </c>
      <c r="H304" s="110">
        <v>148.94</v>
      </c>
      <c r="I304" s="109">
        <v>8</v>
      </c>
      <c r="J304" s="110">
        <v>1191.52</v>
      </c>
      <c r="K304" t="str">
        <f t="shared" si="4"/>
        <v>Kamis</v>
      </c>
    </row>
    <row r="305" spans="1:11" x14ac:dyDescent="0.25">
      <c r="A305" s="207" t="s">
        <v>341</v>
      </c>
      <c r="B305" s="112">
        <v>45828</v>
      </c>
      <c r="C305" s="109" t="s">
        <v>11</v>
      </c>
      <c r="D305" s="109" t="s">
        <v>35</v>
      </c>
      <c r="E305" s="109" t="s">
        <v>18</v>
      </c>
      <c r="F305" s="109" t="s">
        <v>32</v>
      </c>
      <c r="G305" s="109" t="s">
        <v>20</v>
      </c>
      <c r="H305" s="110">
        <v>170.23</v>
      </c>
      <c r="I305" s="109">
        <v>5</v>
      </c>
      <c r="J305" s="110">
        <v>851.15</v>
      </c>
      <c r="K305" t="str">
        <f t="shared" si="4"/>
        <v>Jumat</v>
      </c>
    </row>
    <row r="306" spans="1:11" x14ac:dyDescent="0.25">
      <c r="A306" s="207" t="s">
        <v>342</v>
      </c>
      <c r="B306" s="112">
        <v>45747</v>
      </c>
      <c r="C306" s="109" t="s">
        <v>17</v>
      </c>
      <c r="D306" s="109" t="s">
        <v>31</v>
      </c>
      <c r="E306" s="109" t="s">
        <v>27</v>
      </c>
      <c r="F306" s="109" t="s">
        <v>14</v>
      </c>
      <c r="G306" s="109" t="s">
        <v>15</v>
      </c>
      <c r="H306" s="110">
        <v>189.74</v>
      </c>
      <c r="I306" s="109">
        <v>15</v>
      </c>
      <c r="J306" s="110">
        <v>2846.1</v>
      </c>
      <c r="K306" t="str">
        <f t="shared" si="4"/>
        <v>Senin</v>
      </c>
    </row>
    <row r="307" spans="1:11" x14ac:dyDescent="0.25">
      <c r="A307" s="207" t="s">
        <v>343</v>
      </c>
      <c r="B307" s="112">
        <v>45690</v>
      </c>
      <c r="C307" s="109" t="s">
        <v>11</v>
      </c>
      <c r="D307" s="109" t="s">
        <v>35</v>
      </c>
      <c r="E307" s="109" t="s">
        <v>23</v>
      </c>
      <c r="F307" s="109" t="s">
        <v>19</v>
      </c>
      <c r="G307" s="109" t="s">
        <v>15</v>
      </c>
      <c r="H307" s="110">
        <v>244.69</v>
      </c>
      <c r="I307" s="109">
        <v>15</v>
      </c>
      <c r="J307" s="110">
        <v>3670.35</v>
      </c>
      <c r="K307" t="str">
        <f t="shared" si="4"/>
        <v>Minggu</v>
      </c>
    </row>
    <row r="308" spans="1:11" x14ac:dyDescent="0.25">
      <c r="A308" s="207" t="s">
        <v>344</v>
      </c>
      <c r="B308" s="112">
        <v>45679</v>
      </c>
      <c r="C308" s="109" t="s">
        <v>34</v>
      </c>
      <c r="D308" s="109" t="s">
        <v>55</v>
      </c>
      <c r="E308" s="109" t="s">
        <v>41</v>
      </c>
      <c r="F308" s="109" t="s">
        <v>39</v>
      </c>
      <c r="G308" s="109" t="s">
        <v>20</v>
      </c>
      <c r="H308" s="110">
        <v>143.59</v>
      </c>
      <c r="I308" s="109">
        <v>11</v>
      </c>
      <c r="J308" s="110">
        <v>1579.49</v>
      </c>
      <c r="K308" t="str">
        <f t="shared" si="4"/>
        <v>Rabu</v>
      </c>
    </row>
    <row r="309" spans="1:11" x14ac:dyDescent="0.25">
      <c r="A309" s="207" t="s">
        <v>345</v>
      </c>
      <c r="B309" s="112">
        <v>45900</v>
      </c>
      <c r="C309" s="109" t="s">
        <v>11</v>
      </c>
      <c r="D309" s="109" t="s">
        <v>12</v>
      </c>
      <c r="E309" s="109" t="s">
        <v>23</v>
      </c>
      <c r="F309" s="109" t="s">
        <v>32</v>
      </c>
      <c r="G309" s="109" t="s">
        <v>36</v>
      </c>
      <c r="H309" s="110">
        <v>101.05</v>
      </c>
      <c r="I309" s="109">
        <v>9</v>
      </c>
      <c r="J309" s="110">
        <v>909.45</v>
      </c>
      <c r="K309" t="str">
        <f t="shared" si="4"/>
        <v>Minggu</v>
      </c>
    </row>
    <row r="310" spans="1:11" x14ac:dyDescent="0.25">
      <c r="A310" s="207" t="s">
        <v>346</v>
      </c>
      <c r="B310" s="112">
        <v>45682</v>
      </c>
      <c r="C310" s="109" t="s">
        <v>34</v>
      </c>
      <c r="D310" s="109" t="s">
        <v>22</v>
      </c>
      <c r="E310" s="109" t="s">
        <v>13</v>
      </c>
      <c r="F310" s="109" t="s">
        <v>61</v>
      </c>
      <c r="G310" s="109" t="s">
        <v>36</v>
      </c>
      <c r="H310" s="110">
        <v>204.94</v>
      </c>
      <c r="I310" s="109">
        <v>11</v>
      </c>
      <c r="J310" s="110">
        <v>2254.34</v>
      </c>
      <c r="K310" t="str">
        <f t="shared" si="4"/>
        <v>Sabtu</v>
      </c>
    </row>
    <row r="311" spans="1:11" x14ac:dyDescent="0.25">
      <c r="A311" s="207" t="s">
        <v>347</v>
      </c>
      <c r="B311" s="112">
        <v>45883</v>
      </c>
      <c r="C311" s="109" t="s">
        <v>34</v>
      </c>
      <c r="D311" s="109" t="s">
        <v>26</v>
      </c>
      <c r="E311" s="109" t="s">
        <v>41</v>
      </c>
      <c r="F311" s="109" t="s">
        <v>28</v>
      </c>
      <c r="G311" s="109" t="s">
        <v>36</v>
      </c>
      <c r="H311" s="110">
        <v>89.58</v>
      </c>
      <c r="I311" s="109">
        <v>13</v>
      </c>
      <c r="J311" s="110">
        <v>1164.54</v>
      </c>
      <c r="K311" t="str">
        <f t="shared" si="4"/>
        <v>Kamis</v>
      </c>
    </row>
    <row r="312" spans="1:11" x14ac:dyDescent="0.25">
      <c r="A312" s="207" t="s">
        <v>348</v>
      </c>
      <c r="B312" s="112">
        <v>45846</v>
      </c>
      <c r="C312" s="109" t="s">
        <v>34</v>
      </c>
      <c r="D312" s="109" t="s">
        <v>22</v>
      </c>
      <c r="E312" s="109" t="s">
        <v>27</v>
      </c>
      <c r="F312" s="109" t="s">
        <v>61</v>
      </c>
      <c r="G312" s="109" t="s">
        <v>15</v>
      </c>
      <c r="H312" s="110">
        <v>126.57</v>
      </c>
      <c r="I312" s="109">
        <v>17</v>
      </c>
      <c r="J312" s="110">
        <v>2151.69</v>
      </c>
      <c r="K312" t="str">
        <f t="shared" si="4"/>
        <v>Selasa</v>
      </c>
    </row>
    <row r="313" spans="1:11" x14ac:dyDescent="0.25">
      <c r="A313" s="207" t="s">
        <v>349</v>
      </c>
      <c r="B313" s="112">
        <v>45878</v>
      </c>
      <c r="C313" s="109" t="s">
        <v>30</v>
      </c>
      <c r="D313" s="109" t="s">
        <v>55</v>
      </c>
      <c r="E313" s="109" t="s">
        <v>13</v>
      </c>
      <c r="F313" s="109" t="s">
        <v>32</v>
      </c>
      <c r="G313" s="109" t="s">
        <v>15</v>
      </c>
      <c r="H313" s="110">
        <v>47.26</v>
      </c>
      <c r="I313" s="109">
        <v>20</v>
      </c>
      <c r="J313" s="110">
        <v>945.2</v>
      </c>
      <c r="K313" t="str">
        <f t="shared" si="4"/>
        <v>Sabtu</v>
      </c>
    </row>
    <row r="314" spans="1:11" x14ac:dyDescent="0.25">
      <c r="A314" s="207" t="s">
        <v>350</v>
      </c>
      <c r="B314" s="112">
        <v>45698</v>
      </c>
      <c r="C314" s="109" t="s">
        <v>17</v>
      </c>
      <c r="D314" s="109" t="s">
        <v>35</v>
      </c>
      <c r="E314" s="109" t="s">
        <v>13</v>
      </c>
      <c r="F314" s="109" t="s">
        <v>61</v>
      </c>
      <c r="G314" s="109" t="s">
        <v>20</v>
      </c>
      <c r="H314" s="110">
        <v>35.58</v>
      </c>
      <c r="I314" s="109">
        <v>11</v>
      </c>
      <c r="J314" s="110">
        <v>391.38</v>
      </c>
      <c r="K314" t="str">
        <f t="shared" si="4"/>
        <v>Senin</v>
      </c>
    </row>
    <row r="315" spans="1:11" x14ac:dyDescent="0.25">
      <c r="A315" s="207" t="s">
        <v>351</v>
      </c>
      <c r="B315" s="112">
        <v>45876</v>
      </c>
      <c r="C315" s="109" t="s">
        <v>17</v>
      </c>
      <c r="D315" s="109" t="s">
        <v>31</v>
      </c>
      <c r="E315" s="109" t="s">
        <v>13</v>
      </c>
      <c r="F315" s="109" t="s">
        <v>61</v>
      </c>
      <c r="G315" s="109" t="s">
        <v>15</v>
      </c>
      <c r="H315" s="110">
        <v>241.78</v>
      </c>
      <c r="I315" s="109">
        <v>6</v>
      </c>
      <c r="J315" s="110">
        <v>1450.68</v>
      </c>
      <c r="K315" t="str">
        <f t="shared" si="4"/>
        <v>Kamis</v>
      </c>
    </row>
    <row r="316" spans="1:11" x14ac:dyDescent="0.25">
      <c r="A316" s="207" t="s">
        <v>352</v>
      </c>
      <c r="B316" s="112">
        <v>45838</v>
      </c>
      <c r="C316" s="109" t="s">
        <v>38</v>
      </c>
      <c r="D316" s="109" t="s">
        <v>35</v>
      </c>
      <c r="E316" s="109" t="s">
        <v>27</v>
      </c>
      <c r="F316" s="109" t="s">
        <v>39</v>
      </c>
      <c r="G316" s="109" t="s">
        <v>15</v>
      </c>
      <c r="H316" s="110">
        <v>213.92</v>
      </c>
      <c r="I316" s="109">
        <v>20</v>
      </c>
      <c r="J316" s="110">
        <v>4278.3999999999996</v>
      </c>
      <c r="K316" t="str">
        <f t="shared" si="4"/>
        <v>Senin</v>
      </c>
    </row>
    <row r="317" spans="1:11" x14ac:dyDescent="0.25">
      <c r="A317" s="207" t="s">
        <v>353</v>
      </c>
      <c r="B317" s="112">
        <v>45696</v>
      </c>
      <c r="C317" s="109" t="s">
        <v>34</v>
      </c>
      <c r="D317" s="109" t="s">
        <v>55</v>
      </c>
      <c r="E317" s="109" t="s">
        <v>27</v>
      </c>
      <c r="F317" s="109" t="s">
        <v>28</v>
      </c>
      <c r="G317" s="109" t="s">
        <v>15</v>
      </c>
      <c r="H317" s="110">
        <v>183.11</v>
      </c>
      <c r="I317" s="109">
        <v>13</v>
      </c>
      <c r="J317" s="110">
        <v>2380.4299999999998</v>
      </c>
      <c r="K317" t="str">
        <f t="shared" si="4"/>
        <v>Sabtu</v>
      </c>
    </row>
    <row r="318" spans="1:11" x14ac:dyDescent="0.25">
      <c r="A318" s="207" t="s">
        <v>354</v>
      </c>
      <c r="B318" s="112">
        <v>45673</v>
      </c>
      <c r="C318" s="109" t="s">
        <v>25</v>
      </c>
      <c r="D318" s="109" t="s">
        <v>12</v>
      </c>
      <c r="E318" s="109" t="s">
        <v>41</v>
      </c>
      <c r="F318" s="109" t="s">
        <v>19</v>
      </c>
      <c r="G318" s="109" t="s">
        <v>15</v>
      </c>
      <c r="H318" s="110">
        <v>119.97</v>
      </c>
      <c r="I318" s="109">
        <v>5</v>
      </c>
      <c r="J318" s="110">
        <v>599.85</v>
      </c>
      <c r="K318" t="str">
        <f t="shared" si="4"/>
        <v>Kamis</v>
      </c>
    </row>
    <row r="319" spans="1:11" x14ac:dyDescent="0.25">
      <c r="A319" s="207" t="s">
        <v>355</v>
      </c>
      <c r="B319" s="112">
        <v>45692</v>
      </c>
      <c r="C319" s="109" t="s">
        <v>17</v>
      </c>
      <c r="D319" s="109" t="s">
        <v>35</v>
      </c>
      <c r="E319" s="109" t="s">
        <v>13</v>
      </c>
      <c r="F319" s="109" t="s">
        <v>61</v>
      </c>
      <c r="G319" s="109" t="s">
        <v>20</v>
      </c>
      <c r="H319" s="110">
        <v>68.12</v>
      </c>
      <c r="I319" s="109">
        <v>8</v>
      </c>
      <c r="J319" s="110">
        <v>544.96</v>
      </c>
      <c r="K319" t="str">
        <f t="shared" si="4"/>
        <v>Selasa</v>
      </c>
    </row>
    <row r="320" spans="1:11" x14ac:dyDescent="0.25">
      <c r="A320" s="207" t="s">
        <v>356</v>
      </c>
      <c r="B320" s="112">
        <v>45674</v>
      </c>
      <c r="C320" s="109" t="s">
        <v>30</v>
      </c>
      <c r="D320" s="109" t="s">
        <v>12</v>
      </c>
      <c r="E320" s="109" t="s">
        <v>41</v>
      </c>
      <c r="F320" s="109" t="s">
        <v>32</v>
      </c>
      <c r="G320" s="109" t="s">
        <v>36</v>
      </c>
      <c r="H320" s="110">
        <v>64.42</v>
      </c>
      <c r="I320" s="109">
        <v>20</v>
      </c>
      <c r="J320" s="110">
        <v>1288.4000000000001</v>
      </c>
      <c r="K320" t="str">
        <f t="shared" si="4"/>
        <v>Jumat</v>
      </c>
    </row>
    <row r="321" spans="1:11" x14ac:dyDescent="0.25">
      <c r="A321" s="207" t="s">
        <v>357</v>
      </c>
      <c r="B321" s="112">
        <v>45885</v>
      </c>
      <c r="C321" s="109" t="s">
        <v>25</v>
      </c>
      <c r="D321" s="109" t="s">
        <v>26</v>
      </c>
      <c r="E321" s="109" t="s">
        <v>18</v>
      </c>
      <c r="F321" s="109" t="s">
        <v>32</v>
      </c>
      <c r="G321" s="109" t="s">
        <v>36</v>
      </c>
      <c r="H321" s="110">
        <v>85.05</v>
      </c>
      <c r="I321" s="109">
        <v>3</v>
      </c>
      <c r="J321" s="110">
        <v>255.15</v>
      </c>
      <c r="K321" t="str">
        <f t="shared" si="4"/>
        <v>Sabtu</v>
      </c>
    </row>
    <row r="322" spans="1:11" x14ac:dyDescent="0.25">
      <c r="A322" s="207" t="s">
        <v>358</v>
      </c>
      <c r="B322" s="112">
        <v>45818</v>
      </c>
      <c r="C322" s="109" t="s">
        <v>30</v>
      </c>
      <c r="D322" s="109" t="s">
        <v>22</v>
      </c>
      <c r="E322" s="109" t="s">
        <v>45</v>
      </c>
      <c r="F322" s="109" t="s">
        <v>28</v>
      </c>
      <c r="G322" s="109" t="s">
        <v>15</v>
      </c>
      <c r="H322" s="110">
        <v>150.83000000000001</v>
      </c>
      <c r="I322" s="109">
        <v>9</v>
      </c>
      <c r="J322" s="110">
        <v>1357.47</v>
      </c>
      <c r="K322" t="str">
        <f t="shared" si="4"/>
        <v>Selasa</v>
      </c>
    </row>
    <row r="323" spans="1:11" x14ac:dyDescent="0.25">
      <c r="A323" s="207" t="s">
        <v>359</v>
      </c>
      <c r="B323" s="112">
        <v>45913</v>
      </c>
      <c r="C323" s="109" t="s">
        <v>38</v>
      </c>
      <c r="D323" s="109" t="s">
        <v>55</v>
      </c>
      <c r="E323" s="109" t="s">
        <v>45</v>
      </c>
      <c r="F323" s="109" t="s">
        <v>32</v>
      </c>
      <c r="G323" s="109" t="s">
        <v>36</v>
      </c>
      <c r="H323" s="110">
        <v>187.21</v>
      </c>
      <c r="I323" s="109">
        <v>17</v>
      </c>
      <c r="J323" s="110">
        <v>3182.57</v>
      </c>
      <c r="K323" t="str">
        <f t="shared" ref="K323:K386" si="5">TEXT(B323,"dddd")</f>
        <v>Sabtu</v>
      </c>
    </row>
    <row r="324" spans="1:11" x14ac:dyDescent="0.25">
      <c r="A324" s="207" t="s">
        <v>360</v>
      </c>
      <c r="B324" s="112">
        <v>46018</v>
      </c>
      <c r="C324" s="109" t="s">
        <v>30</v>
      </c>
      <c r="D324" s="109" t="s">
        <v>55</v>
      </c>
      <c r="E324" s="109" t="s">
        <v>13</v>
      </c>
      <c r="F324" s="109" t="s">
        <v>28</v>
      </c>
      <c r="G324" s="109" t="s">
        <v>36</v>
      </c>
      <c r="H324" s="110">
        <v>175.24</v>
      </c>
      <c r="I324" s="109">
        <v>15</v>
      </c>
      <c r="J324" s="110">
        <v>2628.6</v>
      </c>
      <c r="K324" t="str">
        <f t="shared" si="5"/>
        <v>Sabtu</v>
      </c>
    </row>
    <row r="325" spans="1:11" x14ac:dyDescent="0.25">
      <c r="A325" s="207" t="s">
        <v>361</v>
      </c>
      <c r="B325" s="112">
        <v>45760</v>
      </c>
      <c r="C325" s="109" t="s">
        <v>30</v>
      </c>
      <c r="D325" s="109" t="s">
        <v>22</v>
      </c>
      <c r="E325" s="109" t="s">
        <v>41</v>
      </c>
      <c r="F325" s="109" t="s">
        <v>14</v>
      </c>
      <c r="G325" s="109" t="s">
        <v>20</v>
      </c>
      <c r="H325" s="110">
        <v>91.59</v>
      </c>
      <c r="I325" s="109">
        <v>4</v>
      </c>
      <c r="J325" s="110">
        <v>366.36</v>
      </c>
      <c r="K325" t="str">
        <f t="shared" si="5"/>
        <v>Minggu</v>
      </c>
    </row>
    <row r="326" spans="1:11" x14ac:dyDescent="0.25">
      <c r="A326" s="207" t="s">
        <v>362</v>
      </c>
      <c r="B326" s="112">
        <v>45885</v>
      </c>
      <c r="C326" s="109" t="s">
        <v>17</v>
      </c>
      <c r="D326" s="109" t="s">
        <v>35</v>
      </c>
      <c r="E326" s="109" t="s">
        <v>27</v>
      </c>
      <c r="F326" s="109" t="s">
        <v>32</v>
      </c>
      <c r="G326" s="109" t="s">
        <v>20</v>
      </c>
      <c r="H326" s="110">
        <v>240.07</v>
      </c>
      <c r="I326" s="109">
        <v>3</v>
      </c>
      <c r="J326" s="110">
        <v>720.21</v>
      </c>
      <c r="K326" t="str">
        <f t="shared" si="5"/>
        <v>Sabtu</v>
      </c>
    </row>
    <row r="327" spans="1:11" x14ac:dyDescent="0.25">
      <c r="A327" s="207" t="s">
        <v>363</v>
      </c>
      <c r="B327" s="112">
        <v>45691</v>
      </c>
      <c r="C327" s="109" t="s">
        <v>25</v>
      </c>
      <c r="D327" s="109" t="s">
        <v>35</v>
      </c>
      <c r="E327" s="109" t="s">
        <v>13</v>
      </c>
      <c r="F327" s="109" t="s">
        <v>39</v>
      </c>
      <c r="G327" s="109" t="s">
        <v>15</v>
      </c>
      <c r="H327" s="110">
        <v>192.34</v>
      </c>
      <c r="I327" s="109">
        <v>18</v>
      </c>
      <c r="J327" s="110">
        <v>3462.12</v>
      </c>
      <c r="K327" t="str">
        <f t="shared" si="5"/>
        <v>Senin</v>
      </c>
    </row>
    <row r="328" spans="1:11" x14ac:dyDescent="0.25">
      <c r="A328" s="207" t="s">
        <v>364</v>
      </c>
      <c r="B328" s="112">
        <v>46022</v>
      </c>
      <c r="C328" s="109" t="s">
        <v>34</v>
      </c>
      <c r="D328" s="109" t="s">
        <v>55</v>
      </c>
      <c r="E328" s="109" t="s">
        <v>23</v>
      </c>
      <c r="F328" s="109" t="s">
        <v>19</v>
      </c>
      <c r="G328" s="109" t="s">
        <v>15</v>
      </c>
      <c r="H328" s="110">
        <v>151.96</v>
      </c>
      <c r="I328" s="109">
        <v>6</v>
      </c>
      <c r="J328" s="110">
        <v>911.76</v>
      </c>
      <c r="K328" t="str">
        <f t="shared" si="5"/>
        <v>Rabu</v>
      </c>
    </row>
    <row r="329" spans="1:11" x14ac:dyDescent="0.25">
      <c r="A329" s="207" t="s">
        <v>365</v>
      </c>
      <c r="B329" s="112">
        <v>45729</v>
      </c>
      <c r="C329" s="109" t="s">
        <v>38</v>
      </c>
      <c r="D329" s="109" t="s">
        <v>22</v>
      </c>
      <c r="E329" s="109" t="s">
        <v>13</v>
      </c>
      <c r="F329" s="109" t="s">
        <v>42</v>
      </c>
      <c r="G329" s="109" t="s">
        <v>20</v>
      </c>
      <c r="H329" s="110">
        <v>164.58</v>
      </c>
      <c r="I329" s="109">
        <v>8</v>
      </c>
      <c r="J329" s="110">
        <v>1316.64</v>
      </c>
      <c r="K329" t="str">
        <f t="shared" si="5"/>
        <v>Kamis</v>
      </c>
    </row>
    <row r="330" spans="1:11" x14ac:dyDescent="0.25">
      <c r="A330" s="207" t="s">
        <v>366</v>
      </c>
      <c r="B330" s="112">
        <v>45846</v>
      </c>
      <c r="C330" s="109" t="s">
        <v>25</v>
      </c>
      <c r="D330" s="109" t="s">
        <v>26</v>
      </c>
      <c r="E330" s="109" t="s">
        <v>18</v>
      </c>
      <c r="F330" s="109" t="s">
        <v>19</v>
      </c>
      <c r="G330" s="109" t="s">
        <v>15</v>
      </c>
      <c r="H330" s="110">
        <v>122.31</v>
      </c>
      <c r="I330" s="109">
        <v>15</v>
      </c>
      <c r="J330" s="110">
        <v>1834.65</v>
      </c>
      <c r="K330" t="str">
        <f t="shared" si="5"/>
        <v>Selasa</v>
      </c>
    </row>
    <row r="331" spans="1:11" x14ac:dyDescent="0.25">
      <c r="A331" s="207" t="s">
        <v>367</v>
      </c>
      <c r="B331" s="112">
        <v>45816</v>
      </c>
      <c r="C331" s="109" t="s">
        <v>17</v>
      </c>
      <c r="D331" s="109" t="s">
        <v>12</v>
      </c>
      <c r="E331" s="109" t="s">
        <v>41</v>
      </c>
      <c r="F331" s="109" t="s">
        <v>42</v>
      </c>
      <c r="G331" s="109" t="s">
        <v>36</v>
      </c>
      <c r="H331" s="110">
        <v>84.5</v>
      </c>
      <c r="I331" s="109">
        <v>13</v>
      </c>
      <c r="J331" s="110">
        <v>1098.5</v>
      </c>
      <c r="K331" t="str">
        <f t="shared" si="5"/>
        <v>Minggu</v>
      </c>
    </row>
    <row r="332" spans="1:11" x14ac:dyDescent="0.25">
      <c r="A332" s="207" t="s">
        <v>368</v>
      </c>
      <c r="B332" s="112">
        <v>45867</v>
      </c>
      <c r="C332" s="109" t="s">
        <v>11</v>
      </c>
      <c r="D332" s="109" t="s">
        <v>26</v>
      </c>
      <c r="E332" s="109" t="s">
        <v>13</v>
      </c>
      <c r="F332" s="109" t="s">
        <v>28</v>
      </c>
      <c r="G332" s="109" t="s">
        <v>15</v>
      </c>
      <c r="H332" s="110">
        <v>108.31</v>
      </c>
      <c r="I332" s="109">
        <v>19</v>
      </c>
      <c r="J332" s="110">
        <v>2057.89</v>
      </c>
      <c r="K332" t="str">
        <f t="shared" si="5"/>
        <v>Selasa</v>
      </c>
    </row>
    <row r="333" spans="1:11" x14ac:dyDescent="0.25">
      <c r="A333" s="207" t="s">
        <v>369</v>
      </c>
      <c r="B333" s="112">
        <v>45888</v>
      </c>
      <c r="C333" s="109" t="s">
        <v>17</v>
      </c>
      <c r="D333" s="109" t="s">
        <v>55</v>
      </c>
      <c r="E333" s="109" t="s">
        <v>13</v>
      </c>
      <c r="F333" s="109" t="s">
        <v>14</v>
      </c>
      <c r="G333" s="109" t="s">
        <v>20</v>
      </c>
      <c r="H333" s="110">
        <v>196.73</v>
      </c>
      <c r="I333" s="109">
        <v>15</v>
      </c>
      <c r="J333" s="110">
        <v>2950.95</v>
      </c>
      <c r="K333" t="str">
        <f t="shared" si="5"/>
        <v>Selasa</v>
      </c>
    </row>
    <row r="334" spans="1:11" x14ac:dyDescent="0.25">
      <c r="A334" s="207" t="s">
        <v>370</v>
      </c>
      <c r="B334" s="112">
        <v>45985</v>
      </c>
      <c r="C334" s="109" t="s">
        <v>30</v>
      </c>
      <c r="D334" s="109" t="s">
        <v>26</v>
      </c>
      <c r="E334" s="109" t="s">
        <v>41</v>
      </c>
      <c r="F334" s="109" t="s">
        <v>42</v>
      </c>
      <c r="G334" s="109" t="s">
        <v>15</v>
      </c>
      <c r="H334" s="110">
        <v>33.17</v>
      </c>
      <c r="I334" s="109">
        <v>19</v>
      </c>
      <c r="J334" s="110">
        <v>630.23</v>
      </c>
      <c r="K334" t="str">
        <f t="shared" si="5"/>
        <v>Senin</v>
      </c>
    </row>
    <row r="335" spans="1:11" x14ac:dyDescent="0.25">
      <c r="A335" s="207" t="s">
        <v>371</v>
      </c>
      <c r="B335" s="112">
        <v>45721</v>
      </c>
      <c r="C335" s="109" t="s">
        <v>30</v>
      </c>
      <c r="D335" s="109" t="s">
        <v>35</v>
      </c>
      <c r="E335" s="109" t="s">
        <v>23</v>
      </c>
      <c r="F335" s="109" t="s">
        <v>14</v>
      </c>
      <c r="G335" s="109" t="s">
        <v>36</v>
      </c>
      <c r="H335" s="110">
        <v>55.54</v>
      </c>
      <c r="I335" s="109">
        <v>17</v>
      </c>
      <c r="J335" s="110">
        <v>944.18</v>
      </c>
      <c r="K335" t="str">
        <f t="shared" si="5"/>
        <v>Rabu</v>
      </c>
    </row>
    <row r="336" spans="1:11" x14ac:dyDescent="0.25">
      <c r="A336" s="207" t="s">
        <v>372</v>
      </c>
      <c r="B336" s="112">
        <v>46021</v>
      </c>
      <c r="C336" s="109" t="s">
        <v>34</v>
      </c>
      <c r="D336" s="109" t="s">
        <v>55</v>
      </c>
      <c r="E336" s="109" t="s">
        <v>13</v>
      </c>
      <c r="F336" s="109" t="s">
        <v>39</v>
      </c>
      <c r="G336" s="109" t="s">
        <v>15</v>
      </c>
      <c r="H336" s="110">
        <v>40.119999999999997</v>
      </c>
      <c r="I336" s="109">
        <v>8</v>
      </c>
      <c r="J336" s="110">
        <v>320.95999999999998</v>
      </c>
      <c r="K336" t="str">
        <f t="shared" si="5"/>
        <v>Selasa</v>
      </c>
    </row>
    <row r="337" spans="1:11" x14ac:dyDescent="0.25">
      <c r="A337" s="207" t="s">
        <v>373</v>
      </c>
      <c r="B337" s="112">
        <v>45786</v>
      </c>
      <c r="C337" s="109" t="s">
        <v>17</v>
      </c>
      <c r="D337" s="109" t="s">
        <v>55</v>
      </c>
      <c r="E337" s="109" t="s">
        <v>13</v>
      </c>
      <c r="F337" s="109" t="s">
        <v>14</v>
      </c>
      <c r="G337" s="109" t="s">
        <v>20</v>
      </c>
      <c r="H337" s="110">
        <v>38.96</v>
      </c>
      <c r="I337" s="109">
        <v>7</v>
      </c>
      <c r="J337" s="110">
        <v>272.72000000000003</v>
      </c>
      <c r="K337" t="str">
        <f t="shared" si="5"/>
        <v>Jumat</v>
      </c>
    </row>
    <row r="338" spans="1:11" x14ac:dyDescent="0.25">
      <c r="A338" s="207" t="s">
        <v>374</v>
      </c>
      <c r="B338" s="112">
        <v>45813</v>
      </c>
      <c r="C338" s="109" t="s">
        <v>25</v>
      </c>
      <c r="D338" s="109" t="s">
        <v>22</v>
      </c>
      <c r="E338" s="109" t="s">
        <v>18</v>
      </c>
      <c r="F338" s="109" t="s">
        <v>28</v>
      </c>
      <c r="G338" s="109" t="s">
        <v>15</v>
      </c>
      <c r="H338" s="110">
        <v>218.2</v>
      </c>
      <c r="I338" s="109">
        <v>20</v>
      </c>
      <c r="J338" s="110">
        <v>4364</v>
      </c>
      <c r="K338" t="str">
        <f t="shared" si="5"/>
        <v>Kamis</v>
      </c>
    </row>
    <row r="339" spans="1:11" x14ac:dyDescent="0.25">
      <c r="A339" s="207" t="s">
        <v>375</v>
      </c>
      <c r="B339" s="112">
        <v>45961</v>
      </c>
      <c r="C339" s="109" t="s">
        <v>30</v>
      </c>
      <c r="D339" s="109" t="s">
        <v>26</v>
      </c>
      <c r="E339" s="109" t="s">
        <v>27</v>
      </c>
      <c r="F339" s="109" t="s">
        <v>42</v>
      </c>
      <c r="G339" s="109" t="s">
        <v>20</v>
      </c>
      <c r="H339" s="110">
        <v>184.8</v>
      </c>
      <c r="I339" s="109">
        <v>19</v>
      </c>
      <c r="J339" s="110">
        <v>3511.2</v>
      </c>
      <c r="K339" t="str">
        <f t="shared" si="5"/>
        <v>Jumat</v>
      </c>
    </row>
    <row r="340" spans="1:11" x14ac:dyDescent="0.25">
      <c r="A340" s="207" t="s">
        <v>376</v>
      </c>
      <c r="B340" s="112">
        <v>45967</v>
      </c>
      <c r="C340" s="109" t="s">
        <v>25</v>
      </c>
      <c r="D340" s="109" t="s">
        <v>22</v>
      </c>
      <c r="E340" s="109" t="s">
        <v>45</v>
      </c>
      <c r="F340" s="109" t="s">
        <v>19</v>
      </c>
      <c r="G340" s="109" t="s">
        <v>15</v>
      </c>
      <c r="H340" s="110">
        <v>134.32</v>
      </c>
      <c r="I340" s="109">
        <v>11</v>
      </c>
      <c r="J340" s="110">
        <v>1477.52</v>
      </c>
      <c r="K340" t="str">
        <f t="shared" si="5"/>
        <v>Kamis</v>
      </c>
    </row>
    <row r="341" spans="1:11" x14ac:dyDescent="0.25">
      <c r="A341" s="207" t="s">
        <v>377</v>
      </c>
      <c r="B341" s="112">
        <v>45986</v>
      </c>
      <c r="C341" s="109" t="s">
        <v>34</v>
      </c>
      <c r="D341" s="109" t="s">
        <v>12</v>
      </c>
      <c r="E341" s="109" t="s">
        <v>23</v>
      </c>
      <c r="F341" s="109" t="s">
        <v>39</v>
      </c>
      <c r="G341" s="109" t="s">
        <v>20</v>
      </c>
      <c r="H341" s="110">
        <v>51.52</v>
      </c>
      <c r="I341" s="109">
        <v>19</v>
      </c>
      <c r="J341" s="110">
        <v>978.88</v>
      </c>
      <c r="K341" t="str">
        <f t="shared" si="5"/>
        <v>Selasa</v>
      </c>
    </row>
    <row r="342" spans="1:11" x14ac:dyDescent="0.25">
      <c r="A342" s="207" t="s">
        <v>378</v>
      </c>
      <c r="B342" s="112">
        <v>45871</v>
      </c>
      <c r="C342" s="109" t="s">
        <v>17</v>
      </c>
      <c r="D342" s="109" t="s">
        <v>22</v>
      </c>
      <c r="E342" s="109" t="s">
        <v>41</v>
      </c>
      <c r="F342" s="109" t="s">
        <v>28</v>
      </c>
      <c r="G342" s="109" t="s">
        <v>20</v>
      </c>
      <c r="H342" s="110">
        <v>138.16</v>
      </c>
      <c r="I342" s="109">
        <v>20</v>
      </c>
      <c r="J342" s="110">
        <v>2763.2</v>
      </c>
      <c r="K342" t="str">
        <f t="shared" si="5"/>
        <v>Sabtu</v>
      </c>
    </row>
    <row r="343" spans="1:11" x14ac:dyDescent="0.25">
      <c r="A343" s="207" t="s">
        <v>379</v>
      </c>
      <c r="B343" s="112">
        <v>45806</v>
      </c>
      <c r="C343" s="109" t="s">
        <v>38</v>
      </c>
      <c r="D343" s="109" t="s">
        <v>26</v>
      </c>
      <c r="E343" s="109" t="s">
        <v>27</v>
      </c>
      <c r="F343" s="109" t="s">
        <v>61</v>
      </c>
      <c r="G343" s="109" t="s">
        <v>36</v>
      </c>
      <c r="H343" s="110">
        <v>134.16</v>
      </c>
      <c r="I343" s="109">
        <v>10</v>
      </c>
      <c r="J343" s="110">
        <v>1341.6</v>
      </c>
      <c r="K343" t="str">
        <f t="shared" si="5"/>
        <v>Kamis</v>
      </c>
    </row>
    <row r="344" spans="1:11" x14ac:dyDescent="0.25">
      <c r="A344" s="207" t="s">
        <v>380</v>
      </c>
      <c r="B344" s="112">
        <v>45890</v>
      </c>
      <c r="C344" s="109" t="s">
        <v>17</v>
      </c>
      <c r="D344" s="109" t="s">
        <v>22</v>
      </c>
      <c r="E344" s="109" t="s">
        <v>23</v>
      </c>
      <c r="F344" s="109" t="s">
        <v>61</v>
      </c>
      <c r="G344" s="109" t="s">
        <v>36</v>
      </c>
      <c r="H344" s="110">
        <v>68.099999999999994</v>
      </c>
      <c r="I344" s="109">
        <v>3</v>
      </c>
      <c r="J344" s="110">
        <v>204.3</v>
      </c>
      <c r="K344" t="str">
        <f t="shared" si="5"/>
        <v>Kamis</v>
      </c>
    </row>
    <row r="345" spans="1:11" x14ac:dyDescent="0.25">
      <c r="A345" s="207" t="s">
        <v>381</v>
      </c>
      <c r="B345" s="112">
        <v>45905</v>
      </c>
      <c r="C345" s="109" t="s">
        <v>30</v>
      </c>
      <c r="D345" s="109" t="s">
        <v>35</v>
      </c>
      <c r="E345" s="109" t="s">
        <v>18</v>
      </c>
      <c r="F345" s="109" t="s">
        <v>14</v>
      </c>
      <c r="G345" s="109" t="s">
        <v>36</v>
      </c>
      <c r="H345" s="110">
        <v>125.45</v>
      </c>
      <c r="I345" s="109">
        <v>15</v>
      </c>
      <c r="J345" s="110">
        <v>1881.75</v>
      </c>
      <c r="K345" t="str">
        <f t="shared" si="5"/>
        <v>Jumat</v>
      </c>
    </row>
    <row r="346" spans="1:11" x14ac:dyDescent="0.25">
      <c r="A346" s="207" t="s">
        <v>382</v>
      </c>
      <c r="B346" s="112">
        <v>45821</v>
      </c>
      <c r="C346" s="109" t="s">
        <v>38</v>
      </c>
      <c r="D346" s="109" t="s">
        <v>26</v>
      </c>
      <c r="E346" s="109" t="s">
        <v>13</v>
      </c>
      <c r="F346" s="109" t="s">
        <v>42</v>
      </c>
      <c r="G346" s="109" t="s">
        <v>20</v>
      </c>
      <c r="H346" s="110">
        <v>117.67</v>
      </c>
      <c r="I346" s="109">
        <v>12</v>
      </c>
      <c r="J346" s="110">
        <v>1412.04</v>
      </c>
      <c r="K346" t="str">
        <f t="shared" si="5"/>
        <v>Jumat</v>
      </c>
    </row>
    <row r="347" spans="1:11" x14ac:dyDescent="0.25">
      <c r="A347" s="207" t="s">
        <v>383</v>
      </c>
      <c r="B347" s="112">
        <v>45712</v>
      </c>
      <c r="C347" s="109" t="s">
        <v>30</v>
      </c>
      <c r="D347" s="109" t="s">
        <v>31</v>
      </c>
      <c r="E347" s="109" t="s">
        <v>45</v>
      </c>
      <c r="F347" s="109" t="s">
        <v>32</v>
      </c>
      <c r="G347" s="109" t="s">
        <v>36</v>
      </c>
      <c r="H347" s="110">
        <v>165.49</v>
      </c>
      <c r="I347" s="109">
        <v>11</v>
      </c>
      <c r="J347" s="110">
        <v>1820.39</v>
      </c>
      <c r="K347" t="str">
        <f t="shared" si="5"/>
        <v>Senin</v>
      </c>
    </row>
    <row r="348" spans="1:11" x14ac:dyDescent="0.25">
      <c r="A348" s="207" t="s">
        <v>384</v>
      </c>
      <c r="B348" s="112">
        <v>45784</v>
      </c>
      <c r="C348" s="109" t="s">
        <v>11</v>
      </c>
      <c r="D348" s="109" t="s">
        <v>22</v>
      </c>
      <c r="E348" s="109" t="s">
        <v>13</v>
      </c>
      <c r="F348" s="109" t="s">
        <v>61</v>
      </c>
      <c r="G348" s="109" t="s">
        <v>20</v>
      </c>
      <c r="H348" s="110">
        <v>169.72</v>
      </c>
      <c r="I348" s="109">
        <v>5</v>
      </c>
      <c r="J348" s="110">
        <v>848.6</v>
      </c>
      <c r="K348" t="str">
        <f t="shared" si="5"/>
        <v>Rabu</v>
      </c>
    </row>
    <row r="349" spans="1:11" x14ac:dyDescent="0.25">
      <c r="A349" s="207" t="s">
        <v>385</v>
      </c>
      <c r="B349" s="112">
        <v>45872</v>
      </c>
      <c r="C349" s="109" t="s">
        <v>30</v>
      </c>
      <c r="D349" s="109" t="s">
        <v>35</v>
      </c>
      <c r="E349" s="109" t="s">
        <v>18</v>
      </c>
      <c r="F349" s="109" t="s">
        <v>28</v>
      </c>
      <c r="G349" s="109" t="s">
        <v>36</v>
      </c>
      <c r="H349" s="110">
        <v>39.97</v>
      </c>
      <c r="I349" s="109">
        <v>8</v>
      </c>
      <c r="J349" s="110">
        <v>319.76</v>
      </c>
      <c r="K349" t="str">
        <f t="shared" si="5"/>
        <v>Minggu</v>
      </c>
    </row>
    <row r="350" spans="1:11" x14ac:dyDescent="0.25">
      <c r="A350" s="207" t="s">
        <v>386</v>
      </c>
      <c r="B350" s="112">
        <v>45755</v>
      </c>
      <c r="C350" s="109" t="s">
        <v>38</v>
      </c>
      <c r="D350" s="109" t="s">
        <v>55</v>
      </c>
      <c r="E350" s="109" t="s">
        <v>41</v>
      </c>
      <c r="F350" s="109" t="s">
        <v>61</v>
      </c>
      <c r="G350" s="109" t="s">
        <v>36</v>
      </c>
      <c r="H350" s="110">
        <v>112.41</v>
      </c>
      <c r="I350" s="109">
        <v>6</v>
      </c>
      <c r="J350" s="110">
        <v>674.46</v>
      </c>
      <c r="K350" t="str">
        <f t="shared" si="5"/>
        <v>Selasa</v>
      </c>
    </row>
    <row r="351" spans="1:11" x14ac:dyDescent="0.25">
      <c r="A351" s="207" t="s">
        <v>387</v>
      </c>
      <c r="B351" s="112">
        <v>45912</v>
      </c>
      <c r="C351" s="109" t="s">
        <v>11</v>
      </c>
      <c r="D351" s="109" t="s">
        <v>31</v>
      </c>
      <c r="E351" s="109" t="s">
        <v>18</v>
      </c>
      <c r="F351" s="109" t="s">
        <v>61</v>
      </c>
      <c r="G351" s="109" t="s">
        <v>15</v>
      </c>
      <c r="H351" s="110">
        <v>167.69</v>
      </c>
      <c r="I351" s="109">
        <v>1</v>
      </c>
      <c r="J351" s="110">
        <v>167.69</v>
      </c>
      <c r="K351" t="str">
        <f t="shared" si="5"/>
        <v>Jumat</v>
      </c>
    </row>
    <row r="352" spans="1:11" x14ac:dyDescent="0.25">
      <c r="A352" s="207" t="s">
        <v>388</v>
      </c>
      <c r="B352" s="112">
        <v>45768</v>
      </c>
      <c r="C352" s="109" t="s">
        <v>34</v>
      </c>
      <c r="D352" s="109" t="s">
        <v>22</v>
      </c>
      <c r="E352" s="109" t="s">
        <v>45</v>
      </c>
      <c r="F352" s="109" t="s">
        <v>32</v>
      </c>
      <c r="G352" s="109" t="s">
        <v>36</v>
      </c>
      <c r="H352" s="110">
        <v>140.69</v>
      </c>
      <c r="I352" s="109">
        <v>19</v>
      </c>
      <c r="J352" s="110">
        <v>2673.11</v>
      </c>
      <c r="K352" t="str">
        <f t="shared" si="5"/>
        <v>Senin</v>
      </c>
    </row>
    <row r="353" spans="1:11" x14ac:dyDescent="0.25">
      <c r="A353" s="207" t="s">
        <v>389</v>
      </c>
      <c r="B353" s="112">
        <v>45963</v>
      </c>
      <c r="C353" s="109" t="s">
        <v>34</v>
      </c>
      <c r="D353" s="109" t="s">
        <v>55</v>
      </c>
      <c r="E353" s="109" t="s">
        <v>45</v>
      </c>
      <c r="F353" s="109" t="s">
        <v>39</v>
      </c>
      <c r="G353" s="109" t="s">
        <v>15</v>
      </c>
      <c r="H353" s="110">
        <v>218.43</v>
      </c>
      <c r="I353" s="109">
        <v>16</v>
      </c>
      <c r="J353" s="110">
        <v>3494.88</v>
      </c>
      <c r="K353" t="str">
        <f t="shared" si="5"/>
        <v>Minggu</v>
      </c>
    </row>
    <row r="354" spans="1:11" x14ac:dyDescent="0.25">
      <c r="A354" s="207" t="s">
        <v>390</v>
      </c>
      <c r="B354" s="112">
        <v>45878</v>
      </c>
      <c r="C354" s="109" t="s">
        <v>34</v>
      </c>
      <c r="D354" s="109" t="s">
        <v>12</v>
      </c>
      <c r="E354" s="109" t="s">
        <v>13</v>
      </c>
      <c r="F354" s="109" t="s">
        <v>39</v>
      </c>
      <c r="G354" s="109" t="s">
        <v>36</v>
      </c>
      <c r="H354" s="110">
        <v>174.91</v>
      </c>
      <c r="I354" s="109">
        <v>5</v>
      </c>
      <c r="J354" s="110">
        <v>874.55</v>
      </c>
      <c r="K354" t="str">
        <f t="shared" si="5"/>
        <v>Sabtu</v>
      </c>
    </row>
    <row r="355" spans="1:11" x14ac:dyDescent="0.25">
      <c r="A355" s="207" t="s">
        <v>391</v>
      </c>
      <c r="B355" s="112">
        <v>45845</v>
      </c>
      <c r="C355" s="109" t="s">
        <v>38</v>
      </c>
      <c r="D355" s="109" t="s">
        <v>22</v>
      </c>
      <c r="E355" s="109" t="s">
        <v>18</v>
      </c>
      <c r="F355" s="109" t="s">
        <v>42</v>
      </c>
      <c r="G355" s="109" t="s">
        <v>15</v>
      </c>
      <c r="H355" s="110">
        <v>65.849999999999994</v>
      </c>
      <c r="I355" s="109">
        <v>2</v>
      </c>
      <c r="J355" s="110">
        <v>131.69999999999999</v>
      </c>
      <c r="K355" t="str">
        <f t="shared" si="5"/>
        <v>Senin</v>
      </c>
    </row>
    <row r="356" spans="1:11" x14ac:dyDescent="0.25">
      <c r="A356" s="207" t="s">
        <v>392</v>
      </c>
      <c r="B356" s="112">
        <v>45843</v>
      </c>
      <c r="C356" s="109" t="s">
        <v>34</v>
      </c>
      <c r="D356" s="109" t="s">
        <v>22</v>
      </c>
      <c r="E356" s="109" t="s">
        <v>41</v>
      </c>
      <c r="F356" s="109" t="s">
        <v>42</v>
      </c>
      <c r="G356" s="109" t="s">
        <v>36</v>
      </c>
      <c r="H356" s="110">
        <v>45.53</v>
      </c>
      <c r="I356" s="109">
        <v>18</v>
      </c>
      <c r="J356" s="110">
        <v>819.54</v>
      </c>
      <c r="K356" t="str">
        <f t="shared" si="5"/>
        <v>Sabtu</v>
      </c>
    </row>
    <row r="357" spans="1:11" x14ac:dyDescent="0.25">
      <c r="A357" s="207" t="s">
        <v>393</v>
      </c>
      <c r="B357" s="112">
        <v>45939</v>
      </c>
      <c r="C357" s="109" t="s">
        <v>25</v>
      </c>
      <c r="D357" s="109" t="s">
        <v>12</v>
      </c>
      <c r="E357" s="109" t="s">
        <v>18</v>
      </c>
      <c r="F357" s="109" t="s">
        <v>19</v>
      </c>
      <c r="G357" s="109" t="s">
        <v>15</v>
      </c>
      <c r="H357" s="110">
        <v>171.33</v>
      </c>
      <c r="I357" s="109">
        <v>9</v>
      </c>
      <c r="J357" s="110">
        <v>1541.97</v>
      </c>
      <c r="K357" t="str">
        <f t="shared" si="5"/>
        <v>Kamis</v>
      </c>
    </row>
    <row r="358" spans="1:11" x14ac:dyDescent="0.25">
      <c r="A358" s="207" t="s">
        <v>394</v>
      </c>
      <c r="B358" s="112">
        <v>45707</v>
      </c>
      <c r="C358" s="109" t="s">
        <v>34</v>
      </c>
      <c r="D358" s="109" t="s">
        <v>35</v>
      </c>
      <c r="E358" s="109" t="s">
        <v>18</v>
      </c>
      <c r="F358" s="109" t="s">
        <v>32</v>
      </c>
      <c r="G358" s="109" t="s">
        <v>15</v>
      </c>
      <c r="H358" s="110">
        <v>35.83</v>
      </c>
      <c r="I358" s="109">
        <v>13</v>
      </c>
      <c r="J358" s="110">
        <v>465.79</v>
      </c>
      <c r="K358" t="str">
        <f t="shared" si="5"/>
        <v>Rabu</v>
      </c>
    </row>
    <row r="359" spans="1:11" x14ac:dyDescent="0.25">
      <c r="A359" s="207" t="s">
        <v>395</v>
      </c>
      <c r="B359" s="112">
        <v>45759</v>
      </c>
      <c r="C359" s="109" t="s">
        <v>25</v>
      </c>
      <c r="D359" s="109" t="s">
        <v>31</v>
      </c>
      <c r="E359" s="109" t="s">
        <v>18</v>
      </c>
      <c r="F359" s="109" t="s">
        <v>19</v>
      </c>
      <c r="G359" s="109" t="s">
        <v>15</v>
      </c>
      <c r="H359" s="110">
        <v>158.87</v>
      </c>
      <c r="I359" s="109">
        <v>20</v>
      </c>
      <c r="J359" s="110">
        <v>3177.4</v>
      </c>
      <c r="K359" t="str">
        <f t="shared" si="5"/>
        <v>Sabtu</v>
      </c>
    </row>
    <row r="360" spans="1:11" x14ac:dyDescent="0.25">
      <c r="A360" s="207" t="s">
        <v>396</v>
      </c>
      <c r="B360" s="112">
        <v>45677</v>
      </c>
      <c r="C360" s="109" t="s">
        <v>17</v>
      </c>
      <c r="D360" s="109" t="s">
        <v>35</v>
      </c>
      <c r="E360" s="109" t="s">
        <v>41</v>
      </c>
      <c r="F360" s="109" t="s">
        <v>42</v>
      </c>
      <c r="G360" s="109" t="s">
        <v>36</v>
      </c>
      <c r="H360" s="110">
        <v>236.85</v>
      </c>
      <c r="I360" s="109">
        <v>5</v>
      </c>
      <c r="J360" s="110">
        <v>1184.25</v>
      </c>
      <c r="K360" t="str">
        <f t="shared" si="5"/>
        <v>Senin</v>
      </c>
    </row>
    <row r="361" spans="1:11" x14ac:dyDescent="0.25">
      <c r="A361" s="207" t="s">
        <v>397</v>
      </c>
      <c r="B361" s="112">
        <v>45734</v>
      </c>
      <c r="C361" s="109" t="s">
        <v>25</v>
      </c>
      <c r="D361" s="109" t="s">
        <v>26</v>
      </c>
      <c r="E361" s="109" t="s">
        <v>13</v>
      </c>
      <c r="F361" s="109" t="s">
        <v>42</v>
      </c>
      <c r="G361" s="109" t="s">
        <v>36</v>
      </c>
      <c r="H361" s="110">
        <v>156.6</v>
      </c>
      <c r="I361" s="109">
        <v>20</v>
      </c>
      <c r="J361" s="110">
        <v>3132</v>
      </c>
      <c r="K361" t="str">
        <f t="shared" si="5"/>
        <v>Selasa</v>
      </c>
    </row>
    <row r="362" spans="1:11" x14ac:dyDescent="0.25">
      <c r="A362" s="207" t="s">
        <v>398</v>
      </c>
      <c r="B362" s="112">
        <v>45741</v>
      </c>
      <c r="C362" s="109" t="s">
        <v>25</v>
      </c>
      <c r="D362" s="109" t="s">
        <v>12</v>
      </c>
      <c r="E362" s="109" t="s">
        <v>13</v>
      </c>
      <c r="F362" s="109" t="s">
        <v>42</v>
      </c>
      <c r="G362" s="109" t="s">
        <v>36</v>
      </c>
      <c r="H362" s="110">
        <v>115.4</v>
      </c>
      <c r="I362" s="109">
        <v>13</v>
      </c>
      <c r="J362" s="110">
        <v>1500.2</v>
      </c>
      <c r="K362" t="str">
        <f t="shared" si="5"/>
        <v>Selasa</v>
      </c>
    </row>
    <row r="363" spans="1:11" x14ac:dyDescent="0.25">
      <c r="A363" s="207" t="s">
        <v>399</v>
      </c>
      <c r="B363" s="112">
        <v>45917</v>
      </c>
      <c r="C363" s="109" t="s">
        <v>25</v>
      </c>
      <c r="D363" s="109" t="s">
        <v>31</v>
      </c>
      <c r="E363" s="109" t="s">
        <v>27</v>
      </c>
      <c r="F363" s="109" t="s">
        <v>42</v>
      </c>
      <c r="G363" s="109" t="s">
        <v>36</v>
      </c>
      <c r="H363" s="110">
        <v>171.52</v>
      </c>
      <c r="I363" s="109">
        <v>17</v>
      </c>
      <c r="J363" s="110">
        <v>2915.84</v>
      </c>
      <c r="K363" t="str">
        <f t="shared" si="5"/>
        <v>Rabu</v>
      </c>
    </row>
    <row r="364" spans="1:11" x14ac:dyDescent="0.25">
      <c r="A364" s="207" t="s">
        <v>400</v>
      </c>
      <c r="B364" s="112">
        <v>45901</v>
      </c>
      <c r="C364" s="109" t="s">
        <v>34</v>
      </c>
      <c r="D364" s="109" t="s">
        <v>35</v>
      </c>
      <c r="E364" s="109" t="s">
        <v>27</v>
      </c>
      <c r="F364" s="109" t="s">
        <v>19</v>
      </c>
      <c r="G364" s="109" t="s">
        <v>36</v>
      </c>
      <c r="H364" s="110">
        <v>130.82</v>
      </c>
      <c r="I364" s="109">
        <v>1</v>
      </c>
      <c r="J364" s="110">
        <v>130.82</v>
      </c>
      <c r="K364" t="str">
        <f t="shared" si="5"/>
        <v>Senin</v>
      </c>
    </row>
    <row r="365" spans="1:11" x14ac:dyDescent="0.25">
      <c r="A365" s="207" t="s">
        <v>401</v>
      </c>
      <c r="B365" s="112">
        <v>45956</v>
      </c>
      <c r="C365" s="109" t="s">
        <v>17</v>
      </c>
      <c r="D365" s="109" t="s">
        <v>12</v>
      </c>
      <c r="E365" s="109" t="s">
        <v>27</v>
      </c>
      <c r="F365" s="109" t="s">
        <v>19</v>
      </c>
      <c r="G365" s="109" t="s">
        <v>20</v>
      </c>
      <c r="H365" s="110">
        <v>150.04</v>
      </c>
      <c r="I365" s="109">
        <v>10</v>
      </c>
      <c r="J365" s="110">
        <v>1500.4</v>
      </c>
      <c r="K365" t="str">
        <f t="shared" si="5"/>
        <v>Minggu</v>
      </c>
    </row>
    <row r="366" spans="1:11" x14ac:dyDescent="0.25">
      <c r="A366" s="207" t="s">
        <v>402</v>
      </c>
      <c r="B366" s="112">
        <v>45900</v>
      </c>
      <c r="C366" s="109" t="s">
        <v>17</v>
      </c>
      <c r="D366" s="109" t="s">
        <v>55</v>
      </c>
      <c r="E366" s="109" t="s">
        <v>18</v>
      </c>
      <c r="F366" s="109" t="s">
        <v>14</v>
      </c>
      <c r="G366" s="109" t="s">
        <v>20</v>
      </c>
      <c r="H366" s="110">
        <v>237.12</v>
      </c>
      <c r="I366" s="109">
        <v>9</v>
      </c>
      <c r="J366" s="110">
        <v>2134.08</v>
      </c>
      <c r="K366" t="str">
        <f t="shared" si="5"/>
        <v>Minggu</v>
      </c>
    </row>
    <row r="367" spans="1:11" x14ac:dyDescent="0.25">
      <c r="A367" s="207" t="s">
        <v>403</v>
      </c>
      <c r="B367" s="112">
        <v>45684</v>
      </c>
      <c r="C367" s="109" t="s">
        <v>38</v>
      </c>
      <c r="D367" s="109" t="s">
        <v>26</v>
      </c>
      <c r="E367" s="109" t="s">
        <v>18</v>
      </c>
      <c r="F367" s="109" t="s">
        <v>28</v>
      </c>
      <c r="G367" s="109" t="s">
        <v>20</v>
      </c>
      <c r="H367" s="110">
        <v>114.94</v>
      </c>
      <c r="I367" s="109">
        <v>19</v>
      </c>
      <c r="J367" s="110">
        <v>2183.86</v>
      </c>
      <c r="K367" t="str">
        <f t="shared" si="5"/>
        <v>Senin</v>
      </c>
    </row>
    <row r="368" spans="1:11" x14ac:dyDescent="0.25">
      <c r="A368" s="207" t="s">
        <v>404</v>
      </c>
      <c r="B368" s="112">
        <v>45975</v>
      </c>
      <c r="C368" s="109" t="s">
        <v>30</v>
      </c>
      <c r="D368" s="109" t="s">
        <v>12</v>
      </c>
      <c r="E368" s="109" t="s">
        <v>23</v>
      </c>
      <c r="F368" s="109" t="s">
        <v>19</v>
      </c>
      <c r="G368" s="109" t="s">
        <v>20</v>
      </c>
      <c r="H368" s="110">
        <v>241.46</v>
      </c>
      <c r="I368" s="109">
        <v>13</v>
      </c>
      <c r="J368" s="110">
        <v>3138.98</v>
      </c>
      <c r="K368" t="str">
        <f t="shared" si="5"/>
        <v>Jumat</v>
      </c>
    </row>
    <row r="369" spans="1:11" x14ac:dyDescent="0.25">
      <c r="A369" s="207" t="s">
        <v>405</v>
      </c>
      <c r="B369" s="112">
        <v>46016</v>
      </c>
      <c r="C369" s="109" t="s">
        <v>30</v>
      </c>
      <c r="D369" s="109" t="s">
        <v>22</v>
      </c>
      <c r="E369" s="109" t="s">
        <v>41</v>
      </c>
      <c r="F369" s="109" t="s">
        <v>32</v>
      </c>
      <c r="G369" s="109" t="s">
        <v>36</v>
      </c>
      <c r="H369" s="110">
        <v>229.18</v>
      </c>
      <c r="I369" s="109">
        <v>4</v>
      </c>
      <c r="J369" s="110">
        <v>916.72</v>
      </c>
      <c r="K369" t="str">
        <f t="shared" si="5"/>
        <v>Kamis</v>
      </c>
    </row>
    <row r="370" spans="1:11" x14ac:dyDescent="0.25">
      <c r="A370" s="207" t="s">
        <v>406</v>
      </c>
      <c r="B370" s="112">
        <v>45735</v>
      </c>
      <c r="C370" s="109" t="s">
        <v>17</v>
      </c>
      <c r="D370" s="109" t="s">
        <v>26</v>
      </c>
      <c r="E370" s="109" t="s">
        <v>41</v>
      </c>
      <c r="F370" s="109" t="s">
        <v>42</v>
      </c>
      <c r="G370" s="109" t="s">
        <v>20</v>
      </c>
      <c r="H370" s="110">
        <v>73.069999999999993</v>
      </c>
      <c r="I370" s="109">
        <v>14</v>
      </c>
      <c r="J370" s="110">
        <v>1022.98</v>
      </c>
      <c r="K370" t="str">
        <f t="shared" si="5"/>
        <v>Rabu</v>
      </c>
    </row>
    <row r="371" spans="1:11" x14ac:dyDescent="0.25">
      <c r="A371" s="207" t="s">
        <v>407</v>
      </c>
      <c r="B371" s="112">
        <v>45899</v>
      </c>
      <c r="C371" s="109" t="s">
        <v>17</v>
      </c>
      <c r="D371" s="109" t="s">
        <v>26</v>
      </c>
      <c r="E371" s="109" t="s">
        <v>18</v>
      </c>
      <c r="F371" s="109" t="s">
        <v>14</v>
      </c>
      <c r="G371" s="109" t="s">
        <v>20</v>
      </c>
      <c r="H371" s="110">
        <v>45.26</v>
      </c>
      <c r="I371" s="109">
        <v>2</v>
      </c>
      <c r="J371" s="110">
        <v>90.52</v>
      </c>
      <c r="K371" t="str">
        <f t="shared" si="5"/>
        <v>Sabtu</v>
      </c>
    </row>
    <row r="372" spans="1:11" x14ac:dyDescent="0.25">
      <c r="A372" s="207" t="s">
        <v>408</v>
      </c>
      <c r="B372" s="112">
        <v>45824</v>
      </c>
      <c r="C372" s="109" t="s">
        <v>25</v>
      </c>
      <c r="D372" s="109" t="s">
        <v>31</v>
      </c>
      <c r="E372" s="109" t="s">
        <v>13</v>
      </c>
      <c r="F372" s="109" t="s">
        <v>14</v>
      </c>
      <c r="G372" s="109" t="s">
        <v>36</v>
      </c>
      <c r="H372" s="110">
        <v>52.17</v>
      </c>
      <c r="I372" s="109">
        <v>16</v>
      </c>
      <c r="J372" s="110">
        <v>834.72</v>
      </c>
      <c r="K372" t="str">
        <f t="shared" si="5"/>
        <v>Senin</v>
      </c>
    </row>
    <row r="373" spans="1:11" x14ac:dyDescent="0.25">
      <c r="A373" s="207" t="s">
        <v>409</v>
      </c>
      <c r="B373" s="112">
        <v>45930</v>
      </c>
      <c r="C373" s="109" t="s">
        <v>25</v>
      </c>
      <c r="D373" s="109" t="s">
        <v>35</v>
      </c>
      <c r="E373" s="109" t="s">
        <v>27</v>
      </c>
      <c r="F373" s="109" t="s">
        <v>39</v>
      </c>
      <c r="G373" s="109" t="s">
        <v>20</v>
      </c>
      <c r="H373" s="110">
        <v>34.01</v>
      </c>
      <c r="I373" s="109">
        <v>11</v>
      </c>
      <c r="J373" s="110">
        <v>374.11</v>
      </c>
      <c r="K373" t="str">
        <f t="shared" si="5"/>
        <v>Selasa</v>
      </c>
    </row>
    <row r="374" spans="1:11" x14ac:dyDescent="0.25">
      <c r="A374" s="207" t="s">
        <v>410</v>
      </c>
      <c r="B374" s="112">
        <v>46006</v>
      </c>
      <c r="C374" s="109" t="s">
        <v>25</v>
      </c>
      <c r="D374" s="109" t="s">
        <v>31</v>
      </c>
      <c r="E374" s="109" t="s">
        <v>23</v>
      </c>
      <c r="F374" s="109" t="s">
        <v>14</v>
      </c>
      <c r="G374" s="109" t="s">
        <v>36</v>
      </c>
      <c r="H374" s="110">
        <v>50.78</v>
      </c>
      <c r="I374" s="109">
        <v>9</v>
      </c>
      <c r="J374" s="110">
        <v>457.02</v>
      </c>
      <c r="K374" t="str">
        <f t="shared" si="5"/>
        <v>Senin</v>
      </c>
    </row>
    <row r="375" spans="1:11" x14ac:dyDescent="0.25">
      <c r="A375" s="207" t="s">
        <v>411</v>
      </c>
      <c r="B375" s="112">
        <v>45943</v>
      </c>
      <c r="C375" s="109" t="s">
        <v>30</v>
      </c>
      <c r="D375" s="109" t="s">
        <v>35</v>
      </c>
      <c r="E375" s="109" t="s">
        <v>13</v>
      </c>
      <c r="F375" s="109" t="s">
        <v>28</v>
      </c>
      <c r="G375" s="109" t="s">
        <v>15</v>
      </c>
      <c r="H375" s="110">
        <v>180.26</v>
      </c>
      <c r="I375" s="109">
        <v>10</v>
      </c>
      <c r="J375" s="110">
        <v>1802.6</v>
      </c>
      <c r="K375" t="str">
        <f t="shared" si="5"/>
        <v>Senin</v>
      </c>
    </row>
    <row r="376" spans="1:11" x14ac:dyDescent="0.25">
      <c r="A376" s="207" t="s">
        <v>412</v>
      </c>
      <c r="B376" s="112">
        <v>46011</v>
      </c>
      <c r="C376" s="109" t="s">
        <v>34</v>
      </c>
      <c r="D376" s="109" t="s">
        <v>31</v>
      </c>
      <c r="E376" s="109" t="s">
        <v>13</v>
      </c>
      <c r="F376" s="109" t="s">
        <v>42</v>
      </c>
      <c r="G376" s="109" t="s">
        <v>20</v>
      </c>
      <c r="H376" s="110">
        <v>45.66</v>
      </c>
      <c r="I376" s="109">
        <v>16</v>
      </c>
      <c r="J376" s="110">
        <v>730.56</v>
      </c>
      <c r="K376" t="str">
        <f t="shared" si="5"/>
        <v>Sabtu</v>
      </c>
    </row>
    <row r="377" spans="1:11" x14ac:dyDescent="0.25">
      <c r="A377" s="207" t="s">
        <v>413</v>
      </c>
      <c r="B377" s="112">
        <v>45798</v>
      </c>
      <c r="C377" s="109" t="s">
        <v>11</v>
      </c>
      <c r="D377" s="109" t="s">
        <v>55</v>
      </c>
      <c r="E377" s="109" t="s">
        <v>27</v>
      </c>
      <c r="F377" s="109" t="s">
        <v>42</v>
      </c>
      <c r="G377" s="109" t="s">
        <v>36</v>
      </c>
      <c r="H377" s="110">
        <v>100.17</v>
      </c>
      <c r="I377" s="109">
        <v>10</v>
      </c>
      <c r="J377" s="110">
        <v>1001.7</v>
      </c>
      <c r="K377" t="str">
        <f t="shared" si="5"/>
        <v>Rabu</v>
      </c>
    </row>
    <row r="378" spans="1:11" x14ac:dyDescent="0.25">
      <c r="A378" s="207" t="s">
        <v>414</v>
      </c>
      <c r="B378" s="112">
        <v>45860</v>
      </c>
      <c r="C378" s="109" t="s">
        <v>30</v>
      </c>
      <c r="D378" s="109" t="s">
        <v>35</v>
      </c>
      <c r="E378" s="109" t="s">
        <v>45</v>
      </c>
      <c r="F378" s="109" t="s">
        <v>32</v>
      </c>
      <c r="G378" s="109" t="s">
        <v>20</v>
      </c>
      <c r="H378" s="110">
        <v>215.87</v>
      </c>
      <c r="I378" s="109">
        <v>12</v>
      </c>
      <c r="J378" s="110">
        <v>2590.44</v>
      </c>
      <c r="K378" t="str">
        <f t="shared" si="5"/>
        <v>Selasa</v>
      </c>
    </row>
    <row r="379" spans="1:11" x14ac:dyDescent="0.25">
      <c r="A379" s="207" t="s">
        <v>415</v>
      </c>
      <c r="B379" s="112">
        <v>45698</v>
      </c>
      <c r="C379" s="109" t="s">
        <v>38</v>
      </c>
      <c r="D379" s="109" t="s">
        <v>12</v>
      </c>
      <c r="E379" s="109" t="s">
        <v>13</v>
      </c>
      <c r="F379" s="109" t="s">
        <v>28</v>
      </c>
      <c r="G379" s="109" t="s">
        <v>36</v>
      </c>
      <c r="H379" s="110">
        <v>35.119999999999997</v>
      </c>
      <c r="I379" s="109">
        <v>12</v>
      </c>
      <c r="J379" s="110">
        <v>421.44</v>
      </c>
      <c r="K379" t="str">
        <f t="shared" si="5"/>
        <v>Senin</v>
      </c>
    </row>
    <row r="380" spans="1:11" x14ac:dyDescent="0.25">
      <c r="A380" s="207" t="s">
        <v>416</v>
      </c>
      <c r="B380" s="112">
        <v>45767</v>
      </c>
      <c r="C380" s="109" t="s">
        <v>25</v>
      </c>
      <c r="D380" s="109" t="s">
        <v>35</v>
      </c>
      <c r="E380" s="109" t="s">
        <v>18</v>
      </c>
      <c r="F380" s="109" t="s">
        <v>28</v>
      </c>
      <c r="G380" s="109" t="s">
        <v>36</v>
      </c>
      <c r="H380" s="110">
        <v>209.18</v>
      </c>
      <c r="I380" s="109">
        <v>7</v>
      </c>
      <c r="J380" s="110">
        <v>1464.26</v>
      </c>
      <c r="K380" t="str">
        <f t="shared" si="5"/>
        <v>Minggu</v>
      </c>
    </row>
    <row r="381" spans="1:11" x14ac:dyDescent="0.25">
      <c r="A381" s="207" t="s">
        <v>417</v>
      </c>
      <c r="B381" s="112">
        <v>45728</v>
      </c>
      <c r="C381" s="109" t="s">
        <v>25</v>
      </c>
      <c r="D381" s="109" t="s">
        <v>12</v>
      </c>
      <c r="E381" s="109" t="s">
        <v>18</v>
      </c>
      <c r="F381" s="109" t="s">
        <v>14</v>
      </c>
      <c r="G381" s="109" t="s">
        <v>15</v>
      </c>
      <c r="H381" s="110">
        <v>92.01</v>
      </c>
      <c r="I381" s="109">
        <v>4</v>
      </c>
      <c r="J381" s="110">
        <v>368.04</v>
      </c>
      <c r="K381" t="str">
        <f t="shared" si="5"/>
        <v>Rabu</v>
      </c>
    </row>
    <row r="382" spans="1:11" x14ac:dyDescent="0.25">
      <c r="A382" s="207" t="s">
        <v>418</v>
      </c>
      <c r="B382" s="112">
        <v>45683</v>
      </c>
      <c r="C382" s="109" t="s">
        <v>30</v>
      </c>
      <c r="D382" s="109" t="s">
        <v>12</v>
      </c>
      <c r="E382" s="109" t="s">
        <v>23</v>
      </c>
      <c r="F382" s="109" t="s">
        <v>19</v>
      </c>
      <c r="G382" s="109" t="s">
        <v>15</v>
      </c>
      <c r="H382" s="110">
        <v>56</v>
      </c>
      <c r="I382" s="109">
        <v>17</v>
      </c>
      <c r="J382" s="110">
        <v>952</v>
      </c>
      <c r="K382" t="str">
        <f t="shared" si="5"/>
        <v>Minggu</v>
      </c>
    </row>
    <row r="383" spans="1:11" x14ac:dyDescent="0.25">
      <c r="A383" s="207" t="s">
        <v>419</v>
      </c>
      <c r="B383" s="112">
        <v>45869</v>
      </c>
      <c r="C383" s="109" t="s">
        <v>17</v>
      </c>
      <c r="D383" s="109" t="s">
        <v>31</v>
      </c>
      <c r="E383" s="109" t="s">
        <v>45</v>
      </c>
      <c r="F383" s="109" t="s">
        <v>28</v>
      </c>
      <c r="G383" s="109" t="s">
        <v>15</v>
      </c>
      <c r="H383" s="110">
        <v>183.28</v>
      </c>
      <c r="I383" s="109">
        <v>11</v>
      </c>
      <c r="J383" s="110">
        <v>2016.08</v>
      </c>
      <c r="K383" t="str">
        <f t="shared" si="5"/>
        <v>Kamis</v>
      </c>
    </row>
    <row r="384" spans="1:11" x14ac:dyDescent="0.25">
      <c r="A384" s="207" t="s">
        <v>420</v>
      </c>
      <c r="B384" s="112">
        <v>45660</v>
      </c>
      <c r="C384" s="109" t="s">
        <v>30</v>
      </c>
      <c r="D384" s="109" t="s">
        <v>31</v>
      </c>
      <c r="E384" s="109" t="s">
        <v>27</v>
      </c>
      <c r="F384" s="109" t="s">
        <v>61</v>
      </c>
      <c r="G384" s="109" t="s">
        <v>36</v>
      </c>
      <c r="H384" s="110">
        <v>168.37</v>
      </c>
      <c r="I384" s="109">
        <v>18</v>
      </c>
      <c r="J384" s="110">
        <v>3030.66</v>
      </c>
      <c r="K384" t="str">
        <f t="shared" si="5"/>
        <v>Jumat</v>
      </c>
    </row>
    <row r="385" spans="1:11" x14ac:dyDescent="0.25">
      <c r="A385" s="207" t="s">
        <v>421</v>
      </c>
      <c r="B385" s="112">
        <v>45991</v>
      </c>
      <c r="C385" s="109" t="s">
        <v>34</v>
      </c>
      <c r="D385" s="109" t="s">
        <v>35</v>
      </c>
      <c r="E385" s="109" t="s">
        <v>13</v>
      </c>
      <c r="F385" s="109" t="s">
        <v>28</v>
      </c>
      <c r="G385" s="109" t="s">
        <v>15</v>
      </c>
      <c r="H385" s="110">
        <v>223.04</v>
      </c>
      <c r="I385" s="109">
        <v>7</v>
      </c>
      <c r="J385" s="110">
        <v>1561.28</v>
      </c>
      <c r="K385" t="str">
        <f t="shared" si="5"/>
        <v>Minggu</v>
      </c>
    </row>
    <row r="386" spans="1:11" x14ac:dyDescent="0.25">
      <c r="A386" s="207" t="s">
        <v>422</v>
      </c>
      <c r="B386" s="112">
        <v>45703</v>
      </c>
      <c r="C386" s="109" t="s">
        <v>30</v>
      </c>
      <c r="D386" s="109" t="s">
        <v>55</v>
      </c>
      <c r="E386" s="109" t="s">
        <v>27</v>
      </c>
      <c r="F386" s="109" t="s">
        <v>28</v>
      </c>
      <c r="G386" s="109" t="s">
        <v>15</v>
      </c>
      <c r="H386" s="110">
        <v>191.72</v>
      </c>
      <c r="I386" s="109">
        <v>19</v>
      </c>
      <c r="J386" s="110">
        <v>3642.68</v>
      </c>
      <c r="K386" t="str">
        <f t="shared" si="5"/>
        <v>Sabtu</v>
      </c>
    </row>
    <row r="387" spans="1:11" x14ac:dyDescent="0.25">
      <c r="A387" s="207" t="s">
        <v>423</v>
      </c>
      <c r="B387" s="112">
        <v>45747</v>
      </c>
      <c r="C387" s="109" t="s">
        <v>30</v>
      </c>
      <c r="D387" s="109" t="s">
        <v>22</v>
      </c>
      <c r="E387" s="109" t="s">
        <v>41</v>
      </c>
      <c r="F387" s="109" t="s">
        <v>39</v>
      </c>
      <c r="G387" s="109" t="s">
        <v>36</v>
      </c>
      <c r="H387" s="110">
        <v>206.77</v>
      </c>
      <c r="I387" s="109">
        <v>14</v>
      </c>
      <c r="J387" s="110">
        <v>2894.78</v>
      </c>
      <c r="K387" t="str">
        <f t="shared" ref="K387:K450" si="6">TEXT(B387,"dddd")</f>
        <v>Senin</v>
      </c>
    </row>
    <row r="388" spans="1:11" x14ac:dyDescent="0.25">
      <c r="A388" s="207" t="s">
        <v>424</v>
      </c>
      <c r="B388" s="112">
        <v>45753</v>
      </c>
      <c r="C388" s="109" t="s">
        <v>11</v>
      </c>
      <c r="D388" s="109" t="s">
        <v>22</v>
      </c>
      <c r="E388" s="109" t="s">
        <v>13</v>
      </c>
      <c r="F388" s="109" t="s">
        <v>42</v>
      </c>
      <c r="G388" s="109" t="s">
        <v>20</v>
      </c>
      <c r="H388" s="110">
        <v>92.05</v>
      </c>
      <c r="I388" s="109">
        <v>10</v>
      </c>
      <c r="J388" s="110">
        <v>920.5</v>
      </c>
      <c r="K388" t="str">
        <f t="shared" si="6"/>
        <v>Minggu</v>
      </c>
    </row>
    <row r="389" spans="1:11" x14ac:dyDescent="0.25">
      <c r="A389" s="207" t="s">
        <v>425</v>
      </c>
      <c r="B389" s="112">
        <v>45712</v>
      </c>
      <c r="C389" s="109" t="s">
        <v>34</v>
      </c>
      <c r="D389" s="109" t="s">
        <v>31</v>
      </c>
      <c r="E389" s="109" t="s">
        <v>27</v>
      </c>
      <c r="F389" s="109" t="s">
        <v>42</v>
      </c>
      <c r="G389" s="109" t="s">
        <v>20</v>
      </c>
      <c r="H389" s="110">
        <v>69.040000000000006</v>
      </c>
      <c r="I389" s="109">
        <v>11</v>
      </c>
      <c r="J389" s="110">
        <v>759.44</v>
      </c>
      <c r="K389" t="str">
        <f t="shared" si="6"/>
        <v>Senin</v>
      </c>
    </row>
    <row r="390" spans="1:11" x14ac:dyDescent="0.25">
      <c r="A390" s="207" t="s">
        <v>426</v>
      </c>
      <c r="B390" s="112">
        <v>45910</v>
      </c>
      <c r="C390" s="109" t="s">
        <v>25</v>
      </c>
      <c r="D390" s="109" t="s">
        <v>31</v>
      </c>
      <c r="E390" s="109" t="s">
        <v>13</v>
      </c>
      <c r="F390" s="109" t="s">
        <v>14</v>
      </c>
      <c r="G390" s="109" t="s">
        <v>15</v>
      </c>
      <c r="H390" s="110">
        <v>195.14</v>
      </c>
      <c r="I390" s="109">
        <v>5</v>
      </c>
      <c r="J390" s="110">
        <v>975.7</v>
      </c>
      <c r="K390" t="str">
        <f t="shared" si="6"/>
        <v>Rabu</v>
      </c>
    </row>
    <row r="391" spans="1:11" x14ac:dyDescent="0.25">
      <c r="A391" s="207" t="s">
        <v>427</v>
      </c>
      <c r="B391" s="112">
        <v>45827</v>
      </c>
      <c r="C391" s="109" t="s">
        <v>17</v>
      </c>
      <c r="D391" s="109" t="s">
        <v>31</v>
      </c>
      <c r="E391" s="109" t="s">
        <v>27</v>
      </c>
      <c r="F391" s="109" t="s">
        <v>32</v>
      </c>
      <c r="G391" s="109" t="s">
        <v>20</v>
      </c>
      <c r="H391" s="110">
        <v>207.5</v>
      </c>
      <c r="I391" s="109">
        <v>6</v>
      </c>
      <c r="J391" s="110">
        <v>1245</v>
      </c>
      <c r="K391" t="str">
        <f t="shared" si="6"/>
        <v>Kamis</v>
      </c>
    </row>
    <row r="392" spans="1:11" x14ac:dyDescent="0.25">
      <c r="A392" s="207" t="s">
        <v>428</v>
      </c>
      <c r="B392" s="112">
        <v>45753</v>
      </c>
      <c r="C392" s="109" t="s">
        <v>17</v>
      </c>
      <c r="D392" s="109" t="s">
        <v>35</v>
      </c>
      <c r="E392" s="109" t="s">
        <v>13</v>
      </c>
      <c r="F392" s="109" t="s">
        <v>42</v>
      </c>
      <c r="G392" s="109" t="s">
        <v>20</v>
      </c>
      <c r="H392" s="110">
        <v>247.91</v>
      </c>
      <c r="I392" s="109">
        <v>1</v>
      </c>
      <c r="J392" s="110">
        <v>247.91</v>
      </c>
      <c r="K392" t="str">
        <f t="shared" si="6"/>
        <v>Minggu</v>
      </c>
    </row>
    <row r="393" spans="1:11" x14ac:dyDescent="0.25">
      <c r="A393" s="207" t="s">
        <v>429</v>
      </c>
      <c r="B393" s="112">
        <v>45756</v>
      </c>
      <c r="C393" s="109" t="s">
        <v>25</v>
      </c>
      <c r="D393" s="109" t="s">
        <v>12</v>
      </c>
      <c r="E393" s="109" t="s">
        <v>41</v>
      </c>
      <c r="F393" s="109" t="s">
        <v>39</v>
      </c>
      <c r="G393" s="109" t="s">
        <v>36</v>
      </c>
      <c r="H393" s="110">
        <v>120.78</v>
      </c>
      <c r="I393" s="109">
        <v>6</v>
      </c>
      <c r="J393" s="110">
        <v>724.68</v>
      </c>
      <c r="K393" t="str">
        <f t="shared" si="6"/>
        <v>Rabu</v>
      </c>
    </row>
    <row r="394" spans="1:11" x14ac:dyDescent="0.25">
      <c r="A394" s="207" t="s">
        <v>430</v>
      </c>
      <c r="B394" s="112">
        <v>45921</v>
      </c>
      <c r="C394" s="109" t="s">
        <v>11</v>
      </c>
      <c r="D394" s="109" t="s">
        <v>31</v>
      </c>
      <c r="E394" s="109" t="s">
        <v>27</v>
      </c>
      <c r="F394" s="109" t="s">
        <v>19</v>
      </c>
      <c r="G394" s="109" t="s">
        <v>15</v>
      </c>
      <c r="H394" s="110">
        <v>111.84</v>
      </c>
      <c r="I394" s="109">
        <v>11</v>
      </c>
      <c r="J394" s="110">
        <v>1230.24</v>
      </c>
      <c r="K394" t="str">
        <f t="shared" si="6"/>
        <v>Minggu</v>
      </c>
    </row>
    <row r="395" spans="1:11" x14ac:dyDescent="0.25">
      <c r="A395" s="207" t="s">
        <v>431</v>
      </c>
      <c r="B395" s="112">
        <v>45729</v>
      </c>
      <c r="C395" s="109" t="s">
        <v>34</v>
      </c>
      <c r="D395" s="109" t="s">
        <v>26</v>
      </c>
      <c r="E395" s="109" t="s">
        <v>45</v>
      </c>
      <c r="F395" s="109" t="s">
        <v>32</v>
      </c>
      <c r="G395" s="109" t="s">
        <v>36</v>
      </c>
      <c r="H395" s="110">
        <v>200.81</v>
      </c>
      <c r="I395" s="109">
        <v>16</v>
      </c>
      <c r="J395" s="110">
        <v>3212.96</v>
      </c>
      <c r="K395" t="str">
        <f t="shared" si="6"/>
        <v>Kamis</v>
      </c>
    </row>
    <row r="396" spans="1:11" x14ac:dyDescent="0.25">
      <c r="A396" s="207" t="s">
        <v>432</v>
      </c>
      <c r="B396" s="112">
        <v>45778</v>
      </c>
      <c r="C396" s="109" t="s">
        <v>34</v>
      </c>
      <c r="D396" s="109" t="s">
        <v>35</v>
      </c>
      <c r="E396" s="109" t="s">
        <v>13</v>
      </c>
      <c r="F396" s="109" t="s">
        <v>42</v>
      </c>
      <c r="G396" s="109" t="s">
        <v>20</v>
      </c>
      <c r="H396" s="110">
        <v>104.98</v>
      </c>
      <c r="I396" s="109">
        <v>15</v>
      </c>
      <c r="J396" s="110">
        <v>1574.7</v>
      </c>
      <c r="K396" t="str">
        <f t="shared" si="6"/>
        <v>Kamis</v>
      </c>
    </row>
    <row r="397" spans="1:11" x14ac:dyDescent="0.25">
      <c r="A397" s="207" t="s">
        <v>433</v>
      </c>
      <c r="B397" s="112">
        <v>45951</v>
      </c>
      <c r="C397" s="109" t="s">
        <v>34</v>
      </c>
      <c r="D397" s="109" t="s">
        <v>12</v>
      </c>
      <c r="E397" s="109" t="s">
        <v>13</v>
      </c>
      <c r="F397" s="109" t="s">
        <v>28</v>
      </c>
      <c r="G397" s="109" t="s">
        <v>15</v>
      </c>
      <c r="H397" s="110">
        <v>234.77</v>
      </c>
      <c r="I397" s="109">
        <v>1</v>
      </c>
      <c r="J397" s="110">
        <v>234.77</v>
      </c>
      <c r="K397" t="str">
        <f t="shared" si="6"/>
        <v>Selasa</v>
      </c>
    </row>
    <row r="398" spans="1:11" x14ac:dyDescent="0.25">
      <c r="A398" s="207" t="s">
        <v>434</v>
      </c>
      <c r="B398" s="112">
        <v>45689</v>
      </c>
      <c r="C398" s="109" t="s">
        <v>38</v>
      </c>
      <c r="D398" s="109" t="s">
        <v>35</v>
      </c>
      <c r="E398" s="109" t="s">
        <v>23</v>
      </c>
      <c r="F398" s="109" t="s">
        <v>61</v>
      </c>
      <c r="G398" s="109" t="s">
        <v>20</v>
      </c>
      <c r="H398" s="110">
        <v>218.85</v>
      </c>
      <c r="I398" s="109">
        <v>4</v>
      </c>
      <c r="J398" s="110">
        <v>875.4</v>
      </c>
      <c r="K398" t="str">
        <f t="shared" si="6"/>
        <v>Sabtu</v>
      </c>
    </row>
    <row r="399" spans="1:11" x14ac:dyDescent="0.25">
      <c r="A399" s="207" t="s">
        <v>435</v>
      </c>
      <c r="B399" s="112">
        <v>45915</v>
      </c>
      <c r="C399" s="109" t="s">
        <v>17</v>
      </c>
      <c r="D399" s="109" t="s">
        <v>22</v>
      </c>
      <c r="E399" s="109" t="s">
        <v>27</v>
      </c>
      <c r="F399" s="109" t="s">
        <v>32</v>
      </c>
      <c r="G399" s="109" t="s">
        <v>36</v>
      </c>
      <c r="H399" s="110">
        <v>124.38</v>
      </c>
      <c r="I399" s="109">
        <v>10</v>
      </c>
      <c r="J399" s="110">
        <v>1243.8</v>
      </c>
      <c r="K399" t="str">
        <f t="shared" si="6"/>
        <v>Senin</v>
      </c>
    </row>
    <row r="400" spans="1:11" x14ac:dyDescent="0.25">
      <c r="A400" s="207" t="s">
        <v>436</v>
      </c>
      <c r="B400" s="112">
        <v>45972</v>
      </c>
      <c r="C400" s="109" t="s">
        <v>30</v>
      </c>
      <c r="D400" s="109" t="s">
        <v>26</v>
      </c>
      <c r="E400" s="109" t="s">
        <v>41</v>
      </c>
      <c r="F400" s="109" t="s">
        <v>14</v>
      </c>
      <c r="G400" s="109" t="s">
        <v>36</v>
      </c>
      <c r="H400" s="110">
        <v>195.19</v>
      </c>
      <c r="I400" s="109">
        <v>8</v>
      </c>
      <c r="J400" s="110">
        <v>1561.52</v>
      </c>
      <c r="K400" t="str">
        <f t="shared" si="6"/>
        <v>Selasa</v>
      </c>
    </row>
    <row r="401" spans="1:11" x14ac:dyDescent="0.25">
      <c r="A401" s="207" t="s">
        <v>437</v>
      </c>
      <c r="B401" s="112">
        <v>45968</v>
      </c>
      <c r="C401" s="109" t="s">
        <v>38</v>
      </c>
      <c r="D401" s="109" t="s">
        <v>12</v>
      </c>
      <c r="E401" s="109" t="s">
        <v>18</v>
      </c>
      <c r="F401" s="109" t="s">
        <v>61</v>
      </c>
      <c r="G401" s="109" t="s">
        <v>20</v>
      </c>
      <c r="H401" s="110">
        <v>196</v>
      </c>
      <c r="I401" s="109">
        <v>12</v>
      </c>
      <c r="J401" s="110">
        <v>2352</v>
      </c>
      <c r="K401" t="str">
        <f t="shared" si="6"/>
        <v>Jumat</v>
      </c>
    </row>
    <row r="402" spans="1:11" x14ac:dyDescent="0.25">
      <c r="A402" s="207" t="s">
        <v>438</v>
      </c>
      <c r="B402" s="112">
        <v>45998</v>
      </c>
      <c r="C402" s="109" t="s">
        <v>30</v>
      </c>
      <c r="D402" s="109" t="s">
        <v>12</v>
      </c>
      <c r="E402" s="109" t="s">
        <v>18</v>
      </c>
      <c r="F402" s="109" t="s">
        <v>39</v>
      </c>
      <c r="G402" s="109" t="s">
        <v>15</v>
      </c>
      <c r="H402" s="110">
        <v>52.69</v>
      </c>
      <c r="I402" s="109">
        <v>7</v>
      </c>
      <c r="J402" s="110">
        <v>368.83</v>
      </c>
      <c r="K402" t="str">
        <f t="shared" si="6"/>
        <v>Minggu</v>
      </c>
    </row>
    <row r="403" spans="1:11" x14ac:dyDescent="0.25">
      <c r="A403" s="207" t="s">
        <v>439</v>
      </c>
      <c r="B403" s="112">
        <v>45927</v>
      </c>
      <c r="C403" s="109" t="s">
        <v>25</v>
      </c>
      <c r="D403" s="109" t="s">
        <v>12</v>
      </c>
      <c r="E403" s="109" t="s">
        <v>13</v>
      </c>
      <c r="F403" s="109" t="s">
        <v>19</v>
      </c>
      <c r="G403" s="109" t="s">
        <v>20</v>
      </c>
      <c r="H403" s="110">
        <v>228.56</v>
      </c>
      <c r="I403" s="109">
        <v>15</v>
      </c>
      <c r="J403" s="110">
        <v>3428.4</v>
      </c>
      <c r="K403" t="str">
        <f t="shared" si="6"/>
        <v>Sabtu</v>
      </c>
    </row>
    <row r="404" spans="1:11" x14ac:dyDescent="0.25">
      <c r="A404" s="207" t="s">
        <v>440</v>
      </c>
      <c r="B404" s="112">
        <v>45715</v>
      </c>
      <c r="C404" s="109" t="s">
        <v>25</v>
      </c>
      <c r="D404" s="109" t="s">
        <v>55</v>
      </c>
      <c r="E404" s="109" t="s">
        <v>23</v>
      </c>
      <c r="F404" s="109" t="s">
        <v>42</v>
      </c>
      <c r="G404" s="109" t="s">
        <v>20</v>
      </c>
      <c r="H404" s="110">
        <v>141.16</v>
      </c>
      <c r="I404" s="109">
        <v>2</v>
      </c>
      <c r="J404" s="110">
        <v>282.32</v>
      </c>
      <c r="K404" t="str">
        <f t="shared" si="6"/>
        <v>Kamis</v>
      </c>
    </row>
    <row r="405" spans="1:11" x14ac:dyDescent="0.25">
      <c r="A405" s="207" t="s">
        <v>441</v>
      </c>
      <c r="B405" s="112">
        <v>45734</v>
      </c>
      <c r="C405" s="109" t="s">
        <v>34</v>
      </c>
      <c r="D405" s="109" t="s">
        <v>55</v>
      </c>
      <c r="E405" s="109" t="s">
        <v>41</v>
      </c>
      <c r="F405" s="109" t="s">
        <v>19</v>
      </c>
      <c r="G405" s="109" t="s">
        <v>20</v>
      </c>
      <c r="H405" s="110">
        <v>211.82</v>
      </c>
      <c r="I405" s="109">
        <v>6</v>
      </c>
      <c r="J405" s="110">
        <v>1270.92</v>
      </c>
      <c r="K405" t="str">
        <f t="shared" si="6"/>
        <v>Selasa</v>
      </c>
    </row>
    <row r="406" spans="1:11" x14ac:dyDescent="0.25">
      <c r="A406" s="207" t="s">
        <v>442</v>
      </c>
      <c r="B406" s="112">
        <v>45763</v>
      </c>
      <c r="C406" s="109" t="s">
        <v>38</v>
      </c>
      <c r="D406" s="109" t="s">
        <v>22</v>
      </c>
      <c r="E406" s="109" t="s">
        <v>18</v>
      </c>
      <c r="F406" s="109" t="s">
        <v>61</v>
      </c>
      <c r="G406" s="109" t="s">
        <v>15</v>
      </c>
      <c r="H406" s="110">
        <v>100.41</v>
      </c>
      <c r="I406" s="109">
        <v>19</v>
      </c>
      <c r="J406" s="110">
        <v>1907.79</v>
      </c>
      <c r="K406" t="str">
        <f t="shared" si="6"/>
        <v>Rabu</v>
      </c>
    </row>
    <row r="407" spans="1:11" x14ac:dyDescent="0.25">
      <c r="A407" s="207" t="s">
        <v>443</v>
      </c>
      <c r="B407" s="112">
        <v>45890</v>
      </c>
      <c r="C407" s="109" t="s">
        <v>25</v>
      </c>
      <c r="D407" s="109" t="s">
        <v>31</v>
      </c>
      <c r="E407" s="109" t="s">
        <v>41</v>
      </c>
      <c r="F407" s="109" t="s">
        <v>42</v>
      </c>
      <c r="G407" s="109" t="s">
        <v>15</v>
      </c>
      <c r="H407" s="110">
        <v>227.02</v>
      </c>
      <c r="I407" s="109">
        <v>5</v>
      </c>
      <c r="J407" s="110">
        <v>1135.0999999999999</v>
      </c>
      <c r="K407" t="str">
        <f t="shared" si="6"/>
        <v>Kamis</v>
      </c>
    </row>
    <row r="408" spans="1:11" x14ac:dyDescent="0.25">
      <c r="A408" s="207" t="s">
        <v>444</v>
      </c>
      <c r="B408" s="112">
        <v>45944</v>
      </c>
      <c r="C408" s="109" t="s">
        <v>17</v>
      </c>
      <c r="D408" s="109" t="s">
        <v>35</v>
      </c>
      <c r="E408" s="109" t="s">
        <v>27</v>
      </c>
      <c r="F408" s="109" t="s">
        <v>19</v>
      </c>
      <c r="G408" s="109" t="s">
        <v>36</v>
      </c>
      <c r="H408" s="110">
        <v>115.62</v>
      </c>
      <c r="I408" s="109">
        <v>15</v>
      </c>
      <c r="J408" s="110">
        <v>1734.3</v>
      </c>
      <c r="K408" t="str">
        <f t="shared" si="6"/>
        <v>Selasa</v>
      </c>
    </row>
    <row r="409" spans="1:11" x14ac:dyDescent="0.25">
      <c r="A409" s="207" t="s">
        <v>445</v>
      </c>
      <c r="B409" s="112">
        <v>45788</v>
      </c>
      <c r="C409" s="109" t="s">
        <v>17</v>
      </c>
      <c r="D409" s="109" t="s">
        <v>26</v>
      </c>
      <c r="E409" s="109" t="s">
        <v>18</v>
      </c>
      <c r="F409" s="109" t="s">
        <v>19</v>
      </c>
      <c r="G409" s="109" t="s">
        <v>15</v>
      </c>
      <c r="H409" s="110">
        <v>32.380000000000003</v>
      </c>
      <c r="I409" s="109">
        <v>1</v>
      </c>
      <c r="J409" s="110">
        <v>32.380000000000003</v>
      </c>
      <c r="K409" t="str">
        <f t="shared" si="6"/>
        <v>Minggu</v>
      </c>
    </row>
    <row r="410" spans="1:11" x14ac:dyDescent="0.25">
      <c r="A410" s="207" t="s">
        <v>446</v>
      </c>
      <c r="B410" s="112">
        <v>45874</v>
      </c>
      <c r="C410" s="109" t="s">
        <v>17</v>
      </c>
      <c r="D410" s="109" t="s">
        <v>22</v>
      </c>
      <c r="E410" s="109" t="s">
        <v>18</v>
      </c>
      <c r="F410" s="109" t="s">
        <v>19</v>
      </c>
      <c r="G410" s="109" t="s">
        <v>15</v>
      </c>
      <c r="H410" s="110">
        <v>229.18</v>
      </c>
      <c r="I410" s="109">
        <v>12</v>
      </c>
      <c r="J410" s="110">
        <v>2750.16</v>
      </c>
      <c r="K410" t="str">
        <f t="shared" si="6"/>
        <v>Selasa</v>
      </c>
    </row>
    <row r="411" spans="1:11" x14ac:dyDescent="0.25">
      <c r="A411" s="207" t="s">
        <v>447</v>
      </c>
      <c r="B411" s="112">
        <v>45899</v>
      </c>
      <c r="C411" s="109" t="s">
        <v>34</v>
      </c>
      <c r="D411" s="109" t="s">
        <v>31</v>
      </c>
      <c r="E411" s="109" t="s">
        <v>23</v>
      </c>
      <c r="F411" s="109" t="s">
        <v>39</v>
      </c>
      <c r="G411" s="109" t="s">
        <v>15</v>
      </c>
      <c r="H411" s="110">
        <v>50.08</v>
      </c>
      <c r="I411" s="109">
        <v>2</v>
      </c>
      <c r="J411" s="110">
        <v>100.16</v>
      </c>
      <c r="K411" t="str">
        <f t="shared" si="6"/>
        <v>Sabtu</v>
      </c>
    </row>
    <row r="412" spans="1:11" x14ac:dyDescent="0.25">
      <c r="A412" s="207" t="s">
        <v>448</v>
      </c>
      <c r="B412" s="112">
        <v>45986</v>
      </c>
      <c r="C412" s="109" t="s">
        <v>34</v>
      </c>
      <c r="D412" s="109" t="s">
        <v>31</v>
      </c>
      <c r="E412" s="109" t="s">
        <v>41</v>
      </c>
      <c r="F412" s="109" t="s">
        <v>39</v>
      </c>
      <c r="G412" s="109" t="s">
        <v>36</v>
      </c>
      <c r="H412" s="110">
        <v>100.25</v>
      </c>
      <c r="I412" s="109">
        <v>14</v>
      </c>
      <c r="J412" s="110">
        <v>1403.5</v>
      </c>
      <c r="K412" t="str">
        <f t="shared" si="6"/>
        <v>Selasa</v>
      </c>
    </row>
    <row r="413" spans="1:11" x14ac:dyDescent="0.25">
      <c r="A413" s="207" t="s">
        <v>449</v>
      </c>
      <c r="B413" s="112">
        <v>45850</v>
      </c>
      <c r="C413" s="109" t="s">
        <v>17</v>
      </c>
      <c r="D413" s="109" t="s">
        <v>12</v>
      </c>
      <c r="E413" s="109" t="s">
        <v>18</v>
      </c>
      <c r="F413" s="109" t="s">
        <v>14</v>
      </c>
      <c r="G413" s="109" t="s">
        <v>20</v>
      </c>
      <c r="H413" s="110">
        <v>239.01</v>
      </c>
      <c r="I413" s="109">
        <v>3</v>
      </c>
      <c r="J413" s="110">
        <v>717.03</v>
      </c>
      <c r="K413" t="str">
        <f t="shared" si="6"/>
        <v>Sabtu</v>
      </c>
    </row>
    <row r="414" spans="1:11" x14ac:dyDescent="0.25">
      <c r="A414" s="207" t="s">
        <v>450</v>
      </c>
      <c r="B414" s="112">
        <v>45836</v>
      </c>
      <c r="C414" s="109" t="s">
        <v>30</v>
      </c>
      <c r="D414" s="109" t="s">
        <v>55</v>
      </c>
      <c r="E414" s="109" t="s">
        <v>41</v>
      </c>
      <c r="F414" s="109" t="s">
        <v>42</v>
      </c>
      <c r="G414" s="109" t="s">
        <v>15</v>
      </c>
      <c r="H414" s="110">
        <v>239.13</v>
      </c>
      <c r="I414" s="109">
        <v>4</v>
      </c>
      <c r="J414" s="110">
        <v>956.52</v>
      </c>
      <c r="K414" t="str">
        <f t="shared" si="6"/>
        <v>Sabtu</v>
      </c>
    </row>
    <row r="415" spans="1:11" x14ac:dyDescent="0.25">
      <c r="A415" s="207" t="s">
        <v>451</v>
      </c>
      <c r="B415" s="112">
        <v>45772</v>
      </c>
      <c r="C415" s="109" t="s">
        <v>11</v>
      </c>
      <c r="D415" s="109" t="s">
        <v>35</v>
      </c>
      <c r="E415" s="109" t="s">
        <v>41</v>
      </c>
      <c r="F415" s="109" t="s">
        <v>28</v>
      </c>
      <c r="G415" s="109" t="s">
        <v>20</v>
      </c>
      <c r="H415" s="110">
        <v>156.16</v>
      </c>
      <c r="I415" s="109">
        <v>1</v>
      </c>
      <c r="J415" s="110">
        <v>156.16</v>
      </c>
      <c r="K415" t="str">
        <f t="shared" si="6"/>
        <v>Jumat</v>
      </c>
    </row>
    <row r="416" spans="1:11" x14ac:dyDescent="0.25">
      <c r="A416" s="207" t="s">
        <v>452</v>
      </c>
      <c r="B416" s="112">
        <v>45936</v>
      </c>
      <c r="C416" s="109" t="s">
        <v>25</v>
      </c>
      <c r="D416" s="109" t="s">
        <v>31</v>
      </c>
      <c r="E416" s="109" t="s">
        <v>23</v>
      </c>
      <c r="F416" s="109" t="s">
        <v>14</v>
      </c>
      <c r="G416" s="109" t="s">
        <v>36</v>
      </c>
      <c r="H416" s="110">
        <v>169</v>
      </c>
      <c r="I416" s="109">
        <v>14</v>
      </c>
      <c r="J416" s="110">
        <v>2366</v>
      </c>
      <c r="K416" t="str">
        <f t="shared" si="6"/>
        <v>Senin</v>
      </c>
    </row>
    <row r="417" spans="1:11" x14ac:dyDescent="0.25">
      <c r="A417" s="207" t="s">
        <v>453</v>
      </c>
      <c r="B417" s="112">
        <v>45835</v>
      </c>
      <c r="C417" s="109" t="s">
        <v>34</v>
      </c>
      <c r="D417" s="109" t="s">
        <v>26</v>
      </c>
      <c r="E417" s="109" t="s">
        <v>27</v>
      </c>
      <c r="F417" s="109" t="s">
        <v>39</v>
      </c>
      <c r="G417" s="109" t="s">
        <v>15</v>
      </c>
      <c r="H417" s="110">
        <v>128.66</v>
      </c>
      <c r="I417" s="109">
        <v>5</v>
      </c>
      <c r="J417" s="110">
        <v>643.29999999999995</v>
      </c>
      <c r="K417" t="str">
        <f t="shared" si="6"/>
        <v>Jumat</v>
      </c>
    </row>
    <row r="418" spans="1:11" x14ac:dyDescent="0.25">
      <c r="A418" s="207" t="s">
        <v>454</v>
      </c>
      <c r="B418" s="112">
        <v>45674</v>
      </c>
      <c r="C418" s="109" t="s">
        <v>25</v>
      </c>
      <c r="D418" s="109" t="s">
        <v>22</v>
      </c>
      <c r="E418" s="109" t="s">
        <v>23</v>
      </c>
      <c r="F418" s="109" t="s">
        <v>14</v>
      </c>
      <c r="G418" s="109" t="s">
        <v>15</v>
      </c>
      <c r="H418" s="110">
        <v>94.51</v>
      </c>
      <c r="I418" s="109">
        <v>14</v>
      </c>
      <c r="J418" s="110">
        <v>1323.14</v>
      </c>
      <c r="K418" t="str">
        <f t="shared" si="6"/>
        <v>Jumat</v>
      </c>
    </row>
    <row r="419" spans="1:11" x14ac:dyDescent="0.25">
      <c r="A419" s="207" t="s">
        <v>455</v>
      </c>
      <c r="B419" s="112">
        <v>45709</v>
      </c>
      <c r="C419" s="109" t="s">
        <v>11</v>
      </c>
      <c r="D419" s="109" t="s">
        <v>31</v>
      </c>
      <c r="E419" s="109" t="s">
        <v>18</v>
      </c>
      <c r="F419" s="109" t="s">
        <v>28</v>
      </c>
      <c r="G419" s="109" t="s">
        <v>20</v>
      </c>
      <c r="H419" s="110">
        <v>102.31</v>
      </c>
      <c r="I419" s="109">
        <v>20</v>
      </c>
      <c r="J419" s="110">
        <v>2046.2</v>
      </c>
      <c r="K419" t="str">
        <f t="shared" si="6"/>
        <v>Jumat</v>
      </c>
    </row>
    <row r="420" spans="1:11" x14ac:dyDescent="0.25">
      <c r="A420" s="207" t="s">
        <v>456</v>
      </c>
      <c r="B420" s="112">
        <v>45682</v>
      </c>
      <c r="C420" s="109" t="s">
        <v>17</v>
      </c>
      <c r="D420" s="109" t="s">
        <v>22</v>
      </c>
      <c r="E420" s="109" t="s">
        <v>41</v>
      </c>
      <c r="F420" s="109" t="s">
        <v>61</v>
      </c>
      <c r="G420" s="109" t="s">
        <v>15</v>
      </c>
      <c r="H420" s="110">
        <v>177.95</v>
      </c>
      <c r="I420" s="109">
        <v>8</v>
      </c>
      <c r="J420" s="110">
        <v>1423.6</v>
      </c>
      <c r="K420" t="str">
        <f t="shared" si="6"/>
        <v>Sabtu</v>
      </c>
    </row>
    <row r="421" spans="1:11" x14ac:dyDescent="0.25">
      <c r="A421" s="207" t="s">
        <v>457</v>
      </c>
      <c r="B421" s="112">
        <v>45934</v>
      </c>
      <c r="C421" s="109" t="s">
        <v>11</v>
      </c>
      <c r="D421" s="109" t="s">
        <v>26</v>
      </c>
      <c r="E421" s="109" t="s">
        <v>18</v>
      </c>
      <c r="F421" s="109" t="s">
        <v>32</v>
      </c>
      <c r="G421" s="109" t="s">
        <v>15</v>
      </c>
      <c r="H421" s="110">
        <v>195.52</v>
      </c>
      <c r="I421" s="109">
        <v>7</v>
      </c>
      <c r="J421" s="110">
        <v>1368.64</v>
      </c>
      <c r="K421" t="str">
        <f t="shared" si="6"/>
        <v>Sabtu</v>
      </c>
    </row>
    <row r="422" spans="1:11" x14ac:dyDescent="0.25">
      <c r="A422" s="207" t="s">
        <v>458</v>
      </c>
      <c r="B422" s="112">
        <v>45952</v>
      </c>
      <c r="C422" s="109" t="s">
        <v>25</v>
      </c>
      <c r="D422" s="109" t="s">
        <v>55</v>
      </c>
      <c r="E422" s="109" t="s">
        <v>27</v>
      </c>
      <c r="F422" s="109" t="s">
        <v>39</v>
      </c>
      <c r="G422" s="109" t="s">
        <v>36</v>
      </c>
      <c r="H422" s="110">
        <v>204.15</v>
      </c>
      <c r="I422" s="109">
        <v>11</v>
      </c>
      <c r="J422" s="110">
        <v>2245.65</v>
      </c>
      <c r="K422" t="str">
        <f t="shared" si="6"/>
        <v>Rabu</v>
      </c>
    </row>
    <row r="423" spans="1:11" x14ac:dyDescent="0.25">
      <c r="A423" s="207" t="s">
        <v>459</v>
      </c>
      <c r="B423" s="112">
        <v>45779</v>
      </c>
      <c r="C423" s="109" t="s">
        <v>30</v>
      </c>
      <c r="D423" s="109" t="s">
        <v>12</v>
      </c>
      <c r="E423" s="109" t="s">
        <v>18</v>
      </c>
      <c r="F423" s="109" t="s">
        <v>14</v>
      </c>
      <c r="G423" s="109" t="s">
        <v>36</v>
      </c>
      <c r="H423" s="110">
        <v>203.72</v>
      </c>
      <c r="I423" s="109">
        <v>10</v>
      </c>
      <c r="J423" s="110">
        <v>2037.2</v>
      </c>
      <c r="K423" t="str">
        <f t="shared" si="6"/>
        <v>Jumat</v>
      </c>
    </row>
    <row r="424" spans="1:11" x14ac:dyDescent="0.25">
      <c r="A424" s="207" t="s">
        <v>460</v>
      </c>
      <c r="B424" s="112">
        <v>45811</v>
      </c>
      <c r="C424" s="109" t="s">
        <v>11</v>
      </c>
      <c r="D424" s="109" t="s">
        <v>55</v>
      </c>
      <c r="E424" s="109" t="s">
        <v>18</v>
      </c>
      <c r="F424" s="109" t="s">
        <v>28</v>
      </c>
      <c r="G424" s="109" t="s">
        <v>15</v>
      </c>
      <c r="H424" s="110">
        <v>50.07</v>
      </c>
      <c r="I424" s="109">
        <v>9</v>
      </c>
      <c r="J424" s="110">
        <v>450.63</v>
      </c>
      <c r="K424" t="str">
        <f t="shared" si="6"/>
        <v>Selasa</v>
      </c>
    </row>
    <row r="425" spans="1:11" x14ac:dyDescent="0.25">
      <c r="A425" s="207" t="s">
        <v>461</v>
      </c>
      <c r="B425" s="112">
        <v>45978</v>
      </c>
      <c r="C425" s="109" t="s">
        <v>25</v>
      </c>
      <c r="D425" s="109" t="s">
        <v>31</v>
      </c>
      <c r="E425" s="109" t="s">
        <v>45</v>
      </c>
      <c r="F425" s="109" t="s">
        <v>32</v>
      </c>
      <c r="G425" s="109" t="s">
        <v>20</v>
      </c>
      <c r="H425" s="110">
        <v>138.77000000000001</v>
      </c>
      <c r="I425" s="109">
        <v>14</v>
      </c>
      <c r="J425" s="110">
        <v>1942.78</v>
      </c>
      <c r="K425" t="str">
        <f t="shared" si="6"/>
        <v>Senin</v>
      </c>
    </row>
    <row r="426" spans="1:11" x14ac:dyDescent="0.25">
      <c r="A426" s="207" t="s">
        <v>462</v>
      </c>
      <c r="B426" s="112">
        <v>46001</v>
      </c>
      <c r="C426" s="109" t="s">
        <v>25</v>
      </c>
      <c r="D426" s="109" t="s">
        <v>35</v>
      </c>
      <c r="E426" s="109" t="s">
        <v>27</v>
      </c>
      <c r="F426" s="109" t="s">
        <v>61</v>
      </c>
      <c r="G426" s="109" t="s">
        <v>36</v>
      </c>
      <c r="H426" s="110">
        <v>42.66</v>
      </c>
      <c r="I426" s="109">
        <v>13</v>
      </c>
      <c r="J426" s="110">
        <v>554.58000000000004</v>
      </c>
      <c r="K426" t="str">
        <f t="shared" si="6"/>
        <v>Rabu</v>
      </c>
    </row>
    <row r="427" spans="1:11" x14ac:dyDescent="0.25">
      <c r="A427" s="207" t="s">
        <v>463</v>
      </c>
      <c r="B427" s="112">
        <v>45734</v>
      </c>
      <c r="C427" s="109" t="s">
        <v>38</v>
      </c>
      <c r="D427" s="109" t="s">
        <v>26</v>
      </c>
      <c r="E427" s="109" t="s">
        <v>18</v>
      </c>
      <c r="F427" s="109" t="s">
        <v>61</v>
      </c>
      <c r="G427" s="109" t="s">
        <v>15</v>
      </c>
      <c r="H427" s="110">
        <v>150.9</v>
      </c>
      <c r="I427" s="109">
        <v>10</v>
      </c>
      <c r="J427" s="110">
        <v>1509</v>
      </c>
      <c r="K427" t="str">
        <f t="shared" si="6"/>
        <v>Selasa</v>
      </c>
    </row>
    <row r="428" spans="1:11" x14ac:dyDescent="0.25">
      <c r="A428" s="207" t="s">
        <v>464</v>
      </c>
      <c r="B428" s="112">
        <v>45773</v>
      </c>
      <c r="C428" s="109" t="s">
        <v>17</v>
      </c>
      <c r="D428" s="109" t="s">
        <v>26</v>
      </c>
      <c r="E428" s="109" t="s">
        <v>41</v>
      </c>
      <c r="F428" s="109" t="s">
        <v>19</v>
      </c>
      <c r="G428" s="109" t="s">
        <v>20</v>
      </c>
      <c r="H428" s="110">
        <v>127.14</v>
      </c>
      <c r="I428" s="109">
        <v>10</v>
      </c>
      <c r="J428" s="110">
        <v>1271.4000000000001</v>
      </c>
      <c r="K428" t="str">
        <f t="shared" si="6"/>
        <v>Sabtu</v>
      </c>
    </row>
    <row r="429" spans="1:11" x14ac:dyDescent="0.25">
      <c r="A429" s="207" t="s">
        <v>465</v>
      </c>
      <c r="B429" s="112">
        <v>45869</v>
      </c>
      <c r="C429" s="109" t="s">
        <v>25</v>
      </c>
      <c r="D429" s="109" t="s">
        <v>55</v>
      </c>
      <c r="E429" s="109" t="s">
        <v>23</v>
      </c>
      <c r="F429" s="109" t="s">
        <v>61</v>
      </c>
      <c r="G429" s="109" t="s">
        <v>15</v>
      </c>
      <c r="H429" s="110">
        <v>225.29</v>
      </c>
      <c r="I429" s="109">
        <v>14</v>
      </c>
      <c r="J429" s="110">
        <v>3154.06</v>
      </c>
      <c r="K429" t="str">
        <f t="shared" si="6"/>
        <v>Kamis</v>
      </c>
    </row>
    <row r="430" spans="1:11" x14ac:dyDescent="0.25">
      <c r="A430" s="207" t="s">
        <v>466</v>
      </c>
      <c r="B430" s="112">
        <v>45788</v>
      </c>
      <c r="C430" s="109" t="s">
        <v>34</v>
      </c>
      <c r="D430" s="109" t="s">
        <v>12</v>
      </c>
      <c r="E430" s="109" t="s">
        <v>45</v>
      </c>
      <c r="F430" s="109" t="s">
        <v>61</v>
      </c>
      <c r="G430" s="109" t="s">
        <v>36</v>
      </c>
      <c r="H430" s="110">
        <v>107.2</v>
      </c>
      <c r="I430" s="109">
        <v>7</v>
      </c>
      <c r="J430" s="110">
        <v>750.4</v>
      </c>
      <c r="K430" t="str">
        <f t="shared" si="6"/>
        <v>Minggu</v>
      </c>
    </row>
    <row r="431" spans="1:11" x14ac:dyDescent="0.25">
      <c r="A431" s="207" t="s">
        <v>467</v>
      </c>
      <c r="B431" s="112">
        <v>45705</v>
      </c>
      <c r="C431" s="109" t="s">
        <v>17</v>
      </c>
      <c r="D431" s="109" t="s">
        <v>26</v>
      </c>
      <c r="E431" s="109" t="s">
        <v>45</v>
      </c>
      <c r="F431" s="109" t="s">
        <v>32</v>
      </c>
      <c r="G431" s="109" t="s">
        <v>36</v>
      </c>
      <c r="H431" s="110">
        <v>55.75</v>
      </c>
      <c r="I431" s="109">
        <v>18</v>
      </c>
      <c r="J431" s="110">
        <v>1003.5</v>
      </c>
      <c r="K431" t="str">
        <f t="shared" si="6"/>
        <v>Senin</v>
      </c>
    </row>
    <row r="432" spans="1:11" x14ac:dyDescent="0.25">
      <c r="A432" s="207" t="s">
        <v>468</v>
      </c>
      <c r="B432" s="112">
        <v>46002</v>
      </c>
      <c r="C432" s="109" t="s">
        <v>25</v>
      </c>
      <c r="D432" s="109" t="s">
        <v>22</v>
      </c>
      <c r="E432" s="109" t="s">
        <v>45</v>
      </c>
      <c r="F432" s="109" t="s">
        <v>14</v>
      </c>
      <c r="G432" s="109" t="s">
        <v>20</v>
      </c>
      <c r="H432" s="110">
        <v>61.46</v>
      </c>
      <c r="I432" s="109">
        <v>20</v>
      </c>
      <c r="J432" s="110">
        <v>1229.2</v>
      </c>
      <c r="K432" t="str">
        <f t="shared" si="6"/>
        <v>Kamis</v>
      </c>
    </row>
    <row r="433" spans="1:11" x14ac:dyDescent="0.25">
      <c r="A433" s="207" t="s">
        <v>469</v>
      </c>
      <c r="B433" s="112">
        <v>46001</v>
      </c>
      <c r="C433" s="109" t="s">
        <v>30</v>
      </c>
      <c r="D433" s="109" t="s">
        <v>31</v>
      </c>
      <c r="E433" s="109" t="s">
        <v>23</v>
      </c>
      <c r="F433" s="109" t="s">
        <v>39</v>
      </c>
      <c r="G433" s="109" t="s">
        <v>36</v>
      </c>
      <c r="H433" s="110">
        <v>197.53</v>
      </c>
      <c r="I433" s="109">
        <v>18</v>
      </c>
      <c r="J433" s="110">
        <v>3555.54</v>
      </c>
      <c r="K433" t="str">
        <f t="shared" si="6"/>
        <v>Rabu</v>
      </c>
    </row>
    <row r="434" spans="1:11" x14ac:dyDescent="0.25">
      <c r="A434" s="207" t="s">
        <v>470</v>
      </c>
      <c r="B434" s="112">
        <v>45813</v>
      </c>
      <c r="C434" s="109" t="s">
        <v>30</v>
      </c>
      <c r="D434" s="109" t="s">
        <v>26</v>
      </c>
      <c r="E434" s="109" t="s">
        <v>27</v>
      </c>
      <c r="F434" s="109" t="s">
        <v>19</v>
      </c>
      <c r="G434" s="109" t="s">
        <v>20</v>
      </c>
      <c r="H434" s="110">
        <v>166.01</v>
      </c>
      <c r="I434" s="109">
        <v>1</v>
      </c>
      <c r="J434" s="110">
        <v>166.01</v>
      </c>
      <c r="K434" t="str">
        <f t="shared" si="6"/>
        <v>Kamis</v>
      </c>
    </row>
    <row r="435" spans="1:11" x14ac:dyDescent="0.25">
      <c r="A435" s="207" t="s">
        <v>471</v>
      </c>
      <c r="B435" s="112">
        <v>45903</v>
      </c>
      <c r="C435" s="109" t="s">
        <v>17</v>
      </c>
      <c r="D435" s="109" t="s">
        <v>55</v>
      </c>
      <c r="E435" s="109" t="s">
        <v>27</v>
      </c>
      <c r="F435" s="109" t="s">
        <v>14</v>
      </c>
      <c r="G435" s="109" t="s">
        <v>36</v>
      </c>
      <c r="H435" s="110">
        <v>52.25</v>
      </c>
      <c r="I435" s="109">
        <v>8</v>
      </c>
      <c r="J435" s="110">
        <v>418</v>
      </c>
      <c r="K435" t="str">
        <f t="shared" si="6"/>
        <v>Rabu</v>
      </c>
    </row>
    <row r="436" spans="1:11" x14ac:dyDescent="0.25">
      <c r="A436" s="207" t="s">
        <v>472</v>
      </c>
      <c r="B436" s="112">
        <v>45780</v>
      </c>
      <c r="C436" s="109" t="s">
        <v>34</v>
      </c>
      <c r="D436" s="109" t="s">
        <v>35</v>
      </c>
      <c r="E436" s="109" t="s">
        <v>41</v>
      </c>
      <c r="F436" s="109" t="s">
        <v>61</v>
      </c>
      <c r="G436" s="109" t="s">
        <v>20</v>
      </c>
      <c r="H436" s="110">
        <v>48.5</v>
      </c>
      <c r="I436" s="109">
        <v>18</v>
      </c>
      <c r="J436" s="110">
        <v>873</v>
      </c>
      <c r="K436" t="str">
        <f t="shared" si="6"/>
        <v>Sabtu</v>
      </c>
    </row>
    <row r="437" spans="1:11" x14ac:dyDescent="0.25">
      <c r="A437" s="207" t="s">
        <v>473</v>
      </c>
      <c r="B437" s="112">
        <v>45990</v>
      </c>
      <c r="C437" s="109" t="s">
        <v>34</v>
      </c>
      <c r="D437" s="109" t="s">
        <v>35</v>
      </c>
      <c r="E437" s="109" t="s">
        <v>13</v>
      </c>
      <c r="F437" s="109" t="s">
        <v>42</v>
      </c>
      <c r="G437" s="109" t="s">
        <v>36</v>
      </c>
      <c r="H437" s="110">
        <v>184.21</v>
      </c>
      <c r="I437" s="109">
        <v>12</v>
      </c>
      <c r="J437" s="110">
        <v>2210.52</v>
      </c>
      <c r="K437" t="str">
        <f t="shared" si="6"/>
        <v>Sabtu</v>
      </c>
    </row>
    <row r="438" spans="1:11" x14ac:dyDescent="0.25">
      <c r="A438" s="207" t="s">
        <v>474</v>
      </c>
      <c r="B438" s="112">
        <v>45896</v>
      </c>
      <c r="C438" s="109" t="s">
        <v>17</v>
      </c>
      <c r="D438" s="109" t="s">
        <v>31</v>
      </c>
      <c r="E438" s="109" t="s">
        <v>13</v>
      </c>
      <c r="F438" s="109" t="s">
        <v>14</v>
      </c>
      <c r="G438" s="109" t="s">
        <v>36</v>
      </c>
      <c r="H438" s="110">
        <v>46.01</v>
      </c>
      <c r="I438" s="109">
        <v>4</v>
      </c>
      <c r="J438" s="110">
        <v>184.04</v>
      </c>
      <c r="K438" t="str">
        <f t="shared" si="6"/>
        <v>Rabu</v>
      </c>
    </row>
    <row r="439" spans="1:11" x14ac:dyDescent="0.25">
      <c r="A439" s="207" t="s">
        <v>475</v>
      </c>
      <c r="B439" s="112">
        <v>45818</v>
      </c>
      <c r="C439" s="109" t="s">
        <v>11</v>
      </c>
      <c r="D439" s="109" t="s">
        <v>55</v>
      </c>
      <c r="E439" s="109" t="s">
        <v>23</v>
      </c>
      <c r="F439" s="109" t="s">
        <v>28</v>
      </c>
      <c r="G439" s="109" t="s">
        <v>15</v>
      </c>
      <c r="H439" s="110">
        <v>210.81</v>
      </c>
      <c r="I439" s="109">
        <v>14</v>
      </c>
      <c r="J439" s="110">
        <v>2951.34</v>
      </c>
      <c r="K439" t="str">
        <f t="shared" si="6"/>
        <v>Selasa</v>
      </c>
    </row>
    <row r="440" spans="1:11" x14ac:dyDescent="0.25">
      <c r="A440" s="207" t="s">
        <v>476</v>
      </c>
      <c r="B440" s="112">
        <v>45666</v>
      </c>
      <c r="C440" s="109" t="s">
        <v>25</v>
      </c>
      <c r="D440" s="109" t="s">
        <v>55</v>
      </c>
      <c r="E440" s="109" t="s">
        <v>18</v>
      </c>
      <c r="F440" s="109" t="s">
        <v>28</v>
      </c>
      <c r="G440" s="109" t="s">
        <v>36</v>
      </c>
      <c r="H440" s="110">
        <v>185.37</v>
      </c>
      <c r="I440" s="109">
        <v>9</v>
      </c>
      <c r="J440" s="110">
        <v>1668.33</v>
      </c>
      <c r="K440" t="str">
        <f t="shared" si="6"/>
        <v>Kamis</v>
      </c>
    </row>
    <row r="441" spans="1:11" x14ac:dyDescent="0.25">
      <c r="A441" s="207" t="s">
        <v>477</v>
      </c>
      <c r="B441" s="112">
        <v>45809</v>
      </c>
      <c r="C441" s="109" t="s">
        <v>30</v>
      </c>
      <c r="D441" s="109" t="s">
        <v>35</v>
      </c>
      <c r="E441" s="109" t="s">
        <v>23</v>
      </c>
      <c r="F441" s="109" t="s">
        <v>61</v>
      </c>
      <c r="G441" s="109" t="s">
        <v>20</v>
      </c>
      <c r="H441" s="110">
        <v>47.9</v>
      </c>
      <c r="I441" s="109">
        <v>5</v>
      </c>
      <c r="J441" s="110">
        <v>239.5</v>
      </c>
      <c r="K441" t="str">
        <f t="shared" si="6"/>
        <v>Minggu</v>
      </c>
    </row>
    <row r="442" spans="1:11" x14ac:dyDescent="0.25">
      <c r="A442" s="207" t="s">
        <v>478</v>
      </c>
      <c r="B442" s="112">
        <v>45783</v>
      </c>
      <c r="C442" s="109" t="s">
        <v>25</v>
      </c>
      <c r="D442" s="109" t="s">
        <v>12</v>
      </c>
      <c r="E442" s="109" t="s">
        <v>27</v>
      </c>
      <c r="F442" s="109" t="s">
        <v>32</v>
      </c>
      <c r="G442" s="109" t="s">
        <v>36</v>
      </c>
      <c r="H442" s="110">
        <v>48.66</v>
      </c>
      <c r="I442" s="109">
        <v>16</v>
      </c>
      <c r="J442" s="110">
        <v>778.56</v>
      </c>
      <c r="K442" t="str">
        <f t="shared" si="6"/>
        <v>Selasa</v>
      </c>
    </row>
    <row r="443" spans="1:11" x14ac:dyDescent="0.25">
      <c r="A443" s="207" t="s">
        <v>479</v>
      </c>
      <c r="B443" s="112">
        <v>45908</v>
      </c>
      <c r="C443" s="109" t="s">
        <v>38</v>
      </c>
      <c r="D443" s="109" t="s">
        <v>26</v>
      </c>
      <c r="E443" s="109" t="s">
        <v>27</v>
      </c>
      <c r="F443" s="109" t="s">
        <v>39</v>
      </c>
      <c r="G443" s="109" t="s">
        <v>36</v>
      </c>
      <c r="H443" s="110">
        <v>247.06</v>
      </c>
      <c r="I443" s="109">
        <v>16</v>
      </c>
      <c r="J443" s="110">
        <v>3952.96</v>
      </c>
      <c r="K443" t="str">
        <f t="shared" si="6"/>
        <v>Senin</v>
      </c>
    </row>
    <row r="444" spans="1:11" x14ac:dyDescent="0.25">
      <c r="A444" s="207" t="s">
        <v>480</v>
      </c>
      <c r="B444" s="112">
        <v>45744</v>
      </c>
      <c r="C444" s="109" t="s">
        <v>17</v>
      </c>
      <c r="D444" s="109" t="s">
        <v>55</v>
      </c>
      <c r="E444" s="109" t="s">
        <v>41</v>
      </c>
      <c r="F444" s="109" t="s">
        <v>14</v>
      </c>
      <c r="G444" s="109" t="s">
        <v>20</v>
      </c>
      <c r="H444" s="110">
        <v>112.34</v>
      </c>
      <c r="I444" s="109">
        <v>5</v>
      </c>
      <c r="J444" s="110">
        <v>561.70000000000005</v>
      </c>
      <c r="K444" t="str">
        <f t="shared" si="6"/>
        <v>Jumat</v>
      </c>
    </row>
    <row r="445" spans="1:11" x14ac:dyDescent="0.25">
      <c r="A445" s="207" t="s">
        <v>481</v>
      </c>
      <c r="B445" s="112">
        <v>45986</v>
      </c>
      <c r="C445" s="109" t="s">
        <v>25</v>
      </c>
      <c r="D445" s="109" t="s">
        <v>22</v>
      </c>
      <c r="E445" s="109" t="s">
        <v>45</v>
      </c>
      <c r="F445" s="109" t="s">
        <v>39</v>
      </c>
      <c r="G445" s="109" t="s">
        <v>20</v>
      </c>
      <c r="H445" s="110">
        <v>111.54</v>
      </c>
      <c r="I445" s="109">
        <v>2</v>
      </c>
      <c r="J445" s="110">
        <v>223.08</v>
      </c>
      <c r="K445" t="str">
        <f t="shared" si="6"/>
        <v>Selasa</v>
      </c>
    </row>
    <row r="446" spans="1:11" x14ac:dyDescent="0.25">
      <c r="A446" s="207" t="s">
        <v>482</v>
      </c>
      <c r="B446" s="112">
        <v>45682</v>
      </c>
      <c r="C446" s="109" t="s">
        <v>38</v>
      </c>
      <c r="D446" s="109" t="s">
        <v>26</v>
      </c>
      <c r="E446" s="109" t="s">
        <v>27</v>
      </c>
      <c r="F446" s="109" t="s">
        <v>14</v>
      </c>
      <c r="G446" s="109" t="s">
        <v>15</v>
      </c>
      <c r="H446" s="110">
        <v>208.82</v>
      </c>
      <c r="I446" s="109">
        <v>1</v>
      </c>
      <c r="J446" s="110">
        <v>208.82</v>
      </c>
      <c r="K446" t="str">
        <f t="shared" si="6"/>
        <v>Sabtu</v>
      </c>
    </row>
    <row r="447" spans="1:11" x14ac:dyDescent="0.25">
      <c r="A447" s="207" t="s">
        <v>483</v>
      </c>
      <c r="B447" s="112">
        <v>46020</v>
      </c>
      <c r="C447" s="109" t="s">
        <v>11</v>
      </c>
      <c r="D447" s="109" t="s">
        <v>26</v>
      </c>
      <c r="E447" s="109" t="s">
        <v>18</v>
      </c>
      <c r="F447" s="109" t="s">
        <v>61</v>
      </c>
      <c r="G447" s="109" t="s">
        <v>36</v>
      </c>
      <c r="H447" s="110">
        <v>238.39</v>
      </c>
      <c r="I447" s="109">
        <v>5</v>
      </c>
      <c r="J447" s="110">
        <v>1191.95</v>
      </c>
      <c r="K447" t="str">
        <f t="shared" si="6"/>
        <v>Senin</v>
      </c>
    </row>
    <row r="448" spans="1:11" x14ac:dyDescent="0.25">
      <c r="A448" s="207" t="s">
        <v>484</v>
      </c>
      <c r="B448" s="112">
        <v>45688</v>
      </c>
      <c r="C448" s="109" t="s">
        <v>17</v>
      </c>
      <c r="D448" s="109" t="s">
        <v>12</v>
      </c>
      <c r="E448" s="109" t="s">
        <v>18</v>
      </c>
      <c r="F448" s="109" t="s">
        <v>61</v>
      </c>
      <c r="G448" s="109" t="s">
        <v>20</v>
      </c>
      <c r="H448" s="110">
        <v>246.92</v>
      </c>
      <c r="I448" s="109">
        <v>20</v>
      </c>
      <c r="J448" s="110">
        <v>4938.3999999999996</v>
      </c>
      <c r="K448" t="str">
        <f t="shared" si="6"/>
        <v>Jumat</v>
      </c>
    </row>
    <row r="449" spans="1:11" x14ac:dyDescent="0.25">
      <c r="A449" s="207" t="s">
        <v>485</v>
      </c>
      <c r="B449" s="112">
        <v>45907</v>
      </c>
      <c r="C449" s="109" t="s">
        <v>11</v>
      </c>
      <c r="D449" s="109" t="s">
        <v>55</v>
      </c>
      <c r="E449" s="109" t="s">
        <v>18</v>
      </c>
      <c r="F449" s="109" t="s">
        <v>61</v>
      </c>
      <c r="G449" s="109" t="s">
        <v>15</v>
      </c>
      <c r="H449" s="110">
        <v>195.74</v>
      </c>
      <c r="I449" s="109">
        <v>1</v>
      </c>
      <c r="J449" s="110">
        <v>195.74</v>
      </c>
      <c r="K449" t="str">
        <f t="shared" si="6"/>
        <v>Minggu</v>
      </c>
    </row>
    <row r="450" spans="1:11" x14ac:dyDescent="0.25">
      <c r="A450" s="207" t="s">
        <v>486</v>
      </c>
      <c r="B450" s="112">
        <v>45666</v>
      </c>
      <c r="C450" s="109" t="s">
        <v>17</v>
      </c>
      <c r="D450" s="109" t="s">
        <v>35</v>
      </c>
      <c r="E450" s="109" t="s">
        <v>18</v>
      </c>
      <c r="F450" s="109" t="s">
        <v>32</v>
      </c>
      <c r="G450" s="109" t="s">
        <v>15</v>
      </c>
      <c r="H450" s="110">
        <v>112.78</v>
      </c>
      <c r="I450" s="109">
        <v>17</v>
      </c>
      <c r="J450" s="110">
        <v>1917.26</v>
      </c>
      <c r="K450" t="str">
        <f t="shared" si="6"/>
        <v>Kamis</v>
      </c>
    </row>
    <row r="451" spans="1:11" x14ac:dyDescent="0.25">
      <c r="A451" s="207" t="s">
        <v>487</v>
      </c>
      <c r="B451" s="112">
        <v>45915</v>
      </c>
      <c r="C451" s="109" t="s">
        <v>30</v>
      </c>
      <c r="D451" s="109" t="s">
        <v>22</v>
      </c>
      <c r="E451" s="109" t="s">
        <v>45</v>
      </c>
      <c r="F451" s="109" t="s">
        <v>42</v>
      </c>
      <c r="G451" s="109" t="s">
        <v>15</v>
      </c>
      <c r="H451" s="110">
        <v>48.37</v>
      </c>
      <c r="I451" s="109">
        <v>14</v>
      </c>
      <c r="J451" s="110">
        <v>677.18</v>
      </c>
      <c r="K451" t="str">
        <f t="shared" ref="K451:K514" si="7">TEXT(B451,"dddd")</f>
        <v>Senin</v>
      </c>
    </row>
    <row r="452" spans="1:11" x14ac:dyDescent="0.25">
      <c r="A452" s="207" t="s">
        <v>488</v>
      </c>
      <c r="B452" s="112">
        <v>45781</v>
      </c>
      <c r="C452" s="109" t="s">
        <v>25</v>
      </c>
      <c r="D452" s="109" t="s">
        <v>55</v>
      </c>
      <c r="E452" s="109" t="s">
        <v>13</v>
      </c>
      <c r="F452" s="109" t="s">
        <v>39</v>
      </c>
      <c r="G452" s="109" t="s">
        <v>36</v>
      </c>
      <c r="H452" s="110">
        <v>200.97</v>
      </c>
      <c r="I452" s="109">
        <v>7</v>
      </c>
      <c r="J452" s="110">
        <v>1406.79</v>
      </c>
      <c r="K452" t="str">
        <f t="shared" si="7"/>
        <v>Minggu</v>
      </c>
    </row>
    <row r="453" spans="1:11" x14ac:dyDescent="0.25">
      <c r="A453" s="207" t="s">
        <v>489</v>
      </c>
      <c r="B453" s="112">
        <v>45794</v>
      </c>
      <c r="C453" s="109" t="s">
        <v>11</v>
      </c>
      <c r="D453" s="109" t="s">
        <v>35</v>
      </c>
      <c r="E453" s="109" t="s">
        <v>41</v>
      </c>
      <c r="F453" s="109" t="s">
        <v>61</v>
      </c>
      <c r="G453" s="109" t="s">
        <v>20</v>
      </c>
      <c r="H453" s="110">
        <v>152.85</v>
      </c>
      <c r="I453" s="109">
        <v>13</v>
      </c>
      <c r="J453" s="110">
        <v>1987.05</v>
      </c>
      <c r="K453" t="str">
        <f t="shared" si="7"/>
        <v>Sabtu</v>
      </c>
    </row>
    <row r="454" spans="1:11" x14ac:dyDescent="0.25">
      <c r="A454" s="207" t="s">
        <v>490</v>
      </c>
      <c r="B454" s="112">
        <v>45782</v>
      </c>
      <c r="C454" s="109" t="s">
        <v>34</v>
      </c>
      <c r="D454" s="109" t="s">
        <v>12</v>
      </c>
      <c r="E454" s="109" t="s">
        <v>45</v>
      </c>
      <c r="F454" s="109" t="s">
        <v>28</v>
      </c>
      <c r="G454" s="109" t="s">
        <v>20</v>
      </c>
      <c r="H454" s="110">
        <v>123.33</v>
      </c>
      <c r="I454" s="109">
        <v>8</v>
      </c>
      <c r="J454" s="110">
        <v>986.64</v>
      </c>
      <c r="K454" t="str">
        <f t="shared" si="7"/>
        <v>Senin</v>
      </c>
    </row>
    <row r="455" spans="1:11" x14ac:dyDescent="0.25">
      <c r="A455" s="207" t="s">
        <v>491</v>
      </c>
      <c r="B455" s="112">
        <v>45674</v>
      </c>
      <c r="C455" s="109" t="s">
        <v>38</v>
      </c>
      <c r="D455" s="109" t="s">
        <v>31</v>
      </c>
      <c r="E455" s="109" t="s">
        <v>41</v>
      </c>
      <c r="F455" s="109" t="s">
        <v>42</v>
      </c>
      <c r="G455" s="109" t="s">
        <v>36</v>
      </c>
      <c r="H455" s="110">
        <v>229.4</v>
      </c>
      <c r="I455" s="109">
        <v>3</v>
      </c>
      <c r="J455" s="110">
        <v>688.2</v>
      </c>
      <c r="K455" t="str">
        <f t="shared" si="7"/>
        <v>Jumat</v>
      </c>
    </row>
    <row r="456" spans="1:11" x14ac:dyDescent="0.25">
      <c r="A456" s="207" t="s">
        <v>492</v>
      </c>
      <c r="B456" s="112">
        <v>45686</v>
      </c>
      <c r="C456" s="109" t="s">
        <v>17</v>
      </c>
      <c r="D456" s="109" t="s">
        <v>26</v>
      </c>
      <c r="E456" s="109" t="s">
        <v>45</v>
      </c>
      <c r="F456" s="109" t="s">
        <v>61</v>
      </c>
      <c r="G456" s="109" t="s">
        <v>36</v>
      </c>
      <c r="H456" s="110">
        <v>54.46</v>
      </c>
      <c r="I456" s="109">
        <v>1</v>
      </c>
      <c r="J456" s="110">
        <v>54.46</v>
      </c>
      <c r="K456" t="str">
        <f t="shared" si="7"/>
        <v>Rabu</v>
      </c>
    </row>
    <row r="457" spans="1:11" x14ac:dyDescent="0.25">
      <c r="A457" s="207" t="s">
        <v>493</v>
      </c>
      <c r="B457" s="112">
        <v>45988</v>
      </c>
      <c r="C457" s="109" t="s">
        <v>25</v>
      </c>
      <c r="D457" s="109" t="s">
        <v>22</v>
      </c>
      <c r="E457" s="109" t="s">
        <v>18</v>
      </c>
      <c r="F457" s="109" t="s">
        <v>19</v>
      </c>
      <c r="G457" s="109" t="s">
        <v>15</v>
      </c>
      <c r="H457" s="110">
        <v>138.38</v>
      </c>
      <c r="I457" s="109">
        <v>11</v>
      </c>
      <c r="J457" s="110">
        <v>1522.18</v>
      </c>
      <c r="K457" t="str">
        <f t="shared" si="7"/>
        <v>Kamis</v>
      </c>
    </row>
    <row r="458" spans="1:11" x14ac:dyDescent="0.25">
      <c r="A458" s="207" t="s">
        <v>494</v>
      </c>
      <c r="B458" s="112">
        <v>45766</v>
      </c>
      <c r="C458" s="109" t="s">
        <v>38</v>
      </c>
      <c r="D458" s="109" t="s">
        <v>35</v>
      </c>
      <c r="E458" s="109" t="s">
        <v>45</v>
      </c>
      <c r="F458" s="109" t="s">
        <v>19</v>
      </c>
      <c r="G458" s="109" t="s">
        <v>20</v>
      </c>
      <c r="H458" s="110">
        <v>32.5</v>
      </c>
      <c r="I458" s="109">
        <v>19</v>
      </c>
      <c r="J458" s="110">
        <v>617.5</v>
      </c>
      <c r="K458" t="str">
        <f t="shared" si="7"/>
        <v>Sabtu</v>
      </c>
    </row>
    <row r="459" spans="1:11" x14ac:dyDescent="0.25">
      <c r="A459" s="207" t="s">
        <v>495</v>
      </c>
      <c r="B459" s="112">
        <v>45801</v>
      </c>
      <c r="C459" s="109" t="s">
        <v>25</v>
      </c>
      <c r="D459" s="109" t="s">
        <v>12</v>
      </c>
      <c r="E459" s="109" t="s">
        <v>45</v>
      </c>
      <c r="F459" s="109" t="s">
        <v>14</v>
      </c>
      <c r="G459" s="109" t="s">
        <v>36</v>
      </c>
      <c r="H459" s="110">
        <v>133.11000000000001</v>
      </c>
      <c r="I459" s="109">
        <v>18</v>
      </c>
      <c r="J459" s="110">
        <v>2395.98</v>
      </c>
      <c r="K459" t="str">
        <f t="shared" si="7"/>
        <v>Sabtu</v>
      </c>
    </row>
    <row r="460" spans="1:11" x14ac:dyDescent="0.25">
      <c r="A460" s="207" t="s">
        <v>496</v>
      </c>
      <c r="B460" s="112">
        <v>45666</v>
      </c>
      <c r="C460" s="109" t="s">
        <v>25</v>
      </c>
      <c r="D460" s="109" t="s">
        <v>26</v>
      </c>
      <c r="E460" s="109" t="s">
        <v>27</v>
      </c>
      <c r="F460" s="109" t="s">
        <v>39</v>
      </c>
      <c r="G460" s="109" t="s">
        <v>36</v>
      </c>
      <c r="H460" s="110">
        <v>42.39</v>
      </c>
      <c r="I460" s="109">
        <v>7</v>
      </c>
      <c r="J460" s="110">
        <v>296.73</v>
      </c>
      <c r="K460" t="str">
        <f t="shared" si="7"/>
        <v>Kamis</v>
      </c>
    </row>
    <row r="461" spans="1:11" x14ac:dyDescent="0.25">
      <c r="A461" s="207" t="s">
        <v>497</v>
      </c>
      <c r="B461" s="112">
        <v>45697</v>
      </c>
      <c r="C461" s="109" t="s">
        <v>30</v>
      </c>
      <c r="D461" s="109" t="s">
        <v>55</v>
      </c>
      <c r="E461" s="109" t="s">
        <v>23</v>
      </c>
      <c r="F461" s="109" t="s">
        <v>42</v>
      </c>
      <c r="G461" s="109" t="s">
        <v>36</v>
      </c>
      <c r="H461" s="110">
        <v>56.14</v>
      </c>
      <c r="I461" s="109">
        <v>10</v>
      </c>
      <c r="J461" s="110">
        <v>561.4</v>
      </c>
      <c r="K461" t="str">
        <f t="shared" si="7"/>
        <v>Minggu</v>
      </c>
    </row>
    <row r="462" spans="1:11" x14ac:dyDescent="0.25">
      <c r="A462" s="207" t="s">
        <v>498</v>
      </c>
      <c r="B462" s="112">
        <v>46004</v>
      </c>
      <c r="C462" s="109" t="s">
        <v>34</v>
      </c>
      <c r="D462" s="109" t="s">
        <v>31</v>
      </c>
      <c r="E462" s="109" t="s">
        <v>27</v>
      </c>
      <c r="F462" s="109" t="s">
        <v>14</v>
      </c>
      <c r="G462" s="109" t="s">
        <v>20</v>
      </c>
      <c r="H462" s="110">
        <v>55.86</v>
      </c>
      <c r="I462" s="109">
        <v>18</v>
      </c>
      <c r="J462" s="110">
        <v>1005.48</v>
      </c>
      <c r="K462" t="str">
        <f t="shared" si="7"/>
        <v>Sabtu</v>
      </c>
    </row>
    <row r="463" spans="1:11" x14ac:dyDescent="0.25">
      <c r="A463" s="207" t="s">
        <v>499</v>
      </c>
      <c r="B463" s="112">
        <v>45698</v>
      </c>
      <c r="C463" s="109" t="s">
        <v>17</v>
      </c>
      <c r="D463" s="109" t="s">
        <v>35</v>
      </c>
      <c r="E463" s="109" t="s">
        <v>45</v>
      </c>
      <c r="F463" s="109" t="s">
        <v>19</v>
      </c>
      <c r="G463" s="109" t="s">
        <v>36</v>
      </c>
      <c r="H463" s="110">
        <v>172.83</v>
      </c>
      <c r="I463" s="109">
        <v>17</v>
      </c>
      <c r="J463" s="110">
        <v>2938.11</v>
      </c>
      <c r="K463" t="str">
        <f t="shared" si="7"/>
        <v>Senin</v>
      </c>
    </row>
    <row r="464" spans="1:11" x14ac:dyDescent="0.25">
      <c r="A464" s="207" t="s">
        <v>500</v>
      </c>
      <c r="B464" s="112">
        <v>45776</v>
      </c>
      <c r="C464" s="109" t="s">
        <v>34</v>
      </c>
      <c r="D464" s="109" t="s">
        <v>55</v>
      </c>
      <c r="E464" s="109" t="s">
        <v>18</v>
      </c>
      <c r="F464" s="109" t="s">
        <v>42</v>
      </c>
      <c r="G464" s="109" t="s">
        <v>36</v>
      </c>
      <c r="H464" s="110">
        <v>194.13</v>
      </c>
      <c r="I464" s="109">
        <v>3</v>
      </c>
      <c r="J464" s="110">
        <v>582.39</v>
      </c>
      <c r="K464" t="str">
        <f t="shared" si="7"/>
        <v>Selasa</v>
      </c>
    </row>
    <row r="465" spans="1:11" x14ac:dyDescent="0.25">
      <c r="A465" s="207" t="s">
        <v>501</v>
      </c>
      <c r="B465" s="112">
        <v>45825</v>
      </c>
      <c r="C465" s="109" t="s">
        <v>17</v>
      </c>
      <c r="D465" s="109" t="s">
        <v>35</v>
      </c>
      <c r="E465" s="109" t="s">
        <v>41</v>
      </c>
      <c r="F465" s="109" t="s">
        <v>61</v>
      </c>
      <c r="G465" s="109" t="s">
        <v>15</v>
      </c>
      <c r="H465" s="110">
        <v>158.34</v>
      </c>
      <c r="I465" s="109">
        <v>1</v>
      </c>
      <c r="J465" s="110">
        <v>158.34</v>
      </c>
      <c r="K465" t="str">
        <f t="shared" si="7"/>
        <v>Selasa</v>
      </c>
    </row>
    <row r="466" spans="1:11" x14ac:dyDescent="0.25">
      <c r="A466" s="207" t="s">
        <v>502</v>
      </c>
      <c r="B466" s="112">
        <v>45840</v>
      </c>
      <c r="C466" s="109" t="s">
        <v>38</v>
      </c>
      <c r="D466" s="109" t="s">
        <v>31</v>
      </c>
      <c r="E466" s="109" t="s">
        <v>23</v>
      </c>
      <c r="F466" s="109" t="s">
        <v>28</v>
      </c>
      <c r="G466" s="109" t="s">
        <v>20</v>
      </c>
      <c r="H466" s="110">
        <v>241.68</v>
      </c>
      <c r="I466" s="109">
        <v>18</v>
      </c>
      <c r="J466" s="110">
        <v>4350.24</v>
      </c>
      <c r="K466" t="str">
        <f t="shared" si="7"/>
        <v>Rabu</v>
      </c>
    </row>
    <row r="467" spans="1:11" x14ac:dyDescent="0.25">
      <c r="A467" s="207" t="s">
        <v>503</v>
      </c>
      <c r="B467" s="112">
        <v>45996</v>
      </c>
      <c r="C467" s="109" t="s">
        <v>11</v>
      </c>
      <c r="D467" s="109" t="s">
        <v>55</v>
      </c>
      <c r="E467" s="109" t="s">
        <v>13</v>
      </c>
      <c r="F467" s="109" t="s">
        <v>39</v>
      </c>
      <c r="G467" s="109" t="s">
        <v>15</v>
      </c>
      <c r="H467" s="110">
        <v>112.47</v>
      </c>
      <c r="I467" s="109">
        <v>13</v>
      </c>
      <c r="J467" s="110">
        <v>1462.11</v>
      </c>
      <c r="K467" t="str">
        <f t="shared" si="7"/>
        <v>Jumat</v>
      </c>
    </row>
    <row r="468" spans="1:11" x14ac:dyDescent="0.25">
      <c r="A468" s="207" t="s">
        <v>504</v>
      </c>
      <c r="B468" s="112">
        <v>45695</v>
      </c>
      <c r="C468" s="109" t="s">
        <v>34</v>
      </c>
      <c r="D468" s="109" t="s">
        <v>26</v>
      </c>
      <c r="E468" s="109" t="s">
        <v>41</v>
      </c>
      <c r="F468" s="109" t="s">
        <v>28</v>
      </c>
      <c r="G468" s="109" t="s">
        <v>20</v>
      </c>
      <c r="H468" s="110">
        <v>92.86</v>
      </c>
      <c r="I468" s="109">
        <v>3</v>
      </c>
      <c r="J468" s="110">
        <v>278.58</v>
      </c>
      <c r="K468" t="str">
        <f t="shared" si="7"/>
        <v>Jumat</v>
      </c>
    </row>
    <row r="469" spans="1:11" x14ac:dyDescent="0.25">
      <c r="A469" s="207" t="s">
        <v>505</v>
      </c>
      <c r="B469" s="112">
        <v>45736</v>
      </c>
      <c r="C469" s="109" t="s">
        <v>34</v>
      </c>
      <c r="D469" s="109" t="s">
        <v>35</v>
      </c>
      <c r="E469" s="109" t="s">
        <v>45</v>
      </c>
      <c r="F469" s="109" t="s">
        <v>19</v>
      </c>
      <c r="G469" s="109" t="s">
        <v>15</v>
      </c>
      <c r="H469" s="110">
        <v>221.09</v>
      </c>
      <c r="I469" s="109">
        <v>13</v>
      </c>
      <c r="J469" s="110">
        <v>2874.17</v>
      </c>
      <c r="K469" t="str">
        <f t="shared" si="7"/>
        <v>Kamis</v>
      </c>
    </row>
    <row r="470" spans="1:11" x14ac:dyDescent="0.25">
      <c r="A470" s="207" t="s">
        <v>506</v>
      </c>
      <c r="B470" s="112">
        <v>45815</v>
      </c>
      <c r="C470" s="109" t="s">
        <v>34</v>
      </c>
      <c r="D470" s="109" t="s">
        <v>35</v>
      </c>
      <c r="E470" s="109" t="s">
        <v>45</v>
      </c>
      <c r="F470" s="109" t="s">
        <v>14</v>
      </c>
      <c r="G470" s="109" t="s">
        <v>15</v>
      </c>
      <c r="H470" s="110">
        <v>79.19</v>
      </c>
      <c r="I470" s="109">
        <v>15</v>
      </c>
      <c r="J470" s="110">
        <v>1187.8499999999999</v>
      </c>
      <c r="K470" t="str">
        <f t="shared" si="7"/>
        <v>Sabtu</v>
      </c>
    </row>
    <row r="471" spans="1:11" x14ac:dyDescent="0.25">
      <c r="A471" s="207" t="s">
        <v>507</v>
      </c>
      <c r="B471" s="112">
        <v>45753</v>
      </c>
      <c r="C471" s="109" t="s">
        <v>38</v>
      </c>
      <c r="D471" s="109" t="s">
        <v>55</v>
      </c>
      <c r="E471" s="109" t="s">
        <v>18</v>
      </c>
      <c r="F471" s="109" t="s">
        <v>42</v>
      </c>
      <c r="G471" s="109" t="s">
        <v>36</v>
      </c>
      <c r="H471" s="110">
        <v>241.91</v>
      </c>
      <c r="I471" s="109">
        <v>14</v>
      </c>
      <c r="J471" s="110">
        <v>3386.74</v>
      </c>
      <c r="K471" t="str">
        <f t="shared" si="7"/>
        <v>Minggu</v>
      </c>
    </row>
    <row r="472" spans="1:11" x14ac:dyDescent="0.25">
      <c r="A472" s="207" t="s">
        <v>508</v>
      </c>
      <c r="B472" s="112">
        <v>45710</v>
      </c>
      <c r="C472" s="109" t="s">
        <v>11</v>
      </c>
      <c r="D472" s="109" t="s">
        <v>35</v>
      </c>
      <c r="E472" s="109" t="s">
        <v>18</v>
      </c>
      <c r="F472" s="109" t="s">
        <v>19</v>
      </c>
      <c r="G472" s="109" t="s">
        <v>20</v>
      </c>
      <c r="H472" s="110">
        <v>32.67</v>
      </c>
      <c r="I472" s="109">
        <v>1</v>
      </c>
      <c r="J472" s="110">
        <v>32.67</v>
      </c>
      <c r="K472" t="str">
        <f t="shared" si="7"/>
        <v>Sabtu</v>
      </c>
    </row>
    <row r="473" spans="1:11" x14ac:dyDescent="0.25">
      <c r="A473" s="207" t="s">
        <v>509</v>
      </c>
      <c r="B473" s="112">
        <v>45964</v>
      </c>
      <c r="C473" s="109" t="s">
        <v>38</v>
      </c>
      <c r="D473" s="109" t="s">
        <v>22</v>
      </c>
      <c r="E473" s="109" t="s">
        <v>13</v>
      </c>
      <c r="F473" s="109" t="s">
        <v>61</v>
      </c>
      <c r="G473" s="109" t="s">
        <v>36</v>
      </c>
      <c r="H473" s="110">
        <v>243.37</v>
      </c>
      <c r="I473" s="109">
        <v>11</v>
      </c>
      <c r="J473" s="110">
        <v>2677.07</v>
      </c>
      <c r="K473" t="str">
        <f t="shared" si="7"/>
        <v>Senin</v>
      </c>
    </row>
    <row r="474" spans="1:11" x14ac:dyDescent="0.25">
      <c r="A474" s="207" t="s">
        <v>510</v>
      </c>
      <c r="B474" s="112">
        <v>45701</v>
      </c>
      <c r="C474" s="109" t="s">
        <v>30</v>
      </c>
      <c r="D474" s="109" t="s">
        <v>55</v>
      </c>
      <c r="E474" s="109" t="s">
        <v>18</v>
      </c>
      <c r="F474" s="109" t="s">
        <v>14</v>
      </c>
      <c r="G474" s="109" t="s">
        <v>20</v>
      </c>
      <c r="H474" s="110">
        <v>39.5</v>
      </c>
      <c r="I474" s="109">
        <v>18</v>
      </c>
      <c r="J474" s="110">
        <v>711</v>
      </c>
      <c r="K474" t="str">
        <f t="shared" si="7"/>
        <v>Kamis</v>
      </c>
    </row>
    <row r="475" spans="1:11" x14ac:dyDescent="0.25">
      <c r="A475" s="207" t="s">
        <v>511</v>
      </c>
      <c r="B475" s="112">
        <v>45852</v>
      </c>
      <c r="C475" s="109" t="s">
        <v>30</v>
      </c>
      <c r="D475" s="109" t="s">
        <v>35</v>
      </c>
      <c r="E475" s="109" t="s">
        <v>13</v>
      </c>
      <c r="F475" s="109" t="s">
        <v>32</v>
      </c>
      <c r="G475" s="109" t="s">
        <v>36</v>
      </c>
      <c r="H475" s="110">
        <v>226.05</v>
      </c>
      <c r="I475" s="109">
        <v>6</v>
      </c>
      <c r="J475" s="110">
        <v>1356.3</v>
      </c>
      <c r="K475" t="str">
        <f t="shared" si="7"/>
        <v>Senin</v>
      </c>
    </row>
    <row r="476" spans="1:11" x14ac:dyDescent="0.25">
      <c r="A476" s="207" t="s">
        <v>512</v>
      </c>
      <c r="B476" s="112">
        <v>45732</v>
      </c>
      <c r="C476" s="109" t="s">
        <v>30</v>
      </c>
      <c r="D476" s="109" t="s">
        <v>31</v>
      </c>
      <c r="E476" s="109" t="s">
        <v>13</v>
      </c>
      <c r="F476" s="109" t="s">
        <v>61</v>
      </c>
      <c r="G476" s="109" t="s">
        <v>36</v>
      </c>
      <c r="H476" s="110">
        <v>146.09</v>
      </c>
      <c r="I476" s="109">
        <v>3</v>
      </c>
      <c r="J476" s="110">
        <v>438.27</v>
      </c>
      <c r="K476" t="str">
        <f t="shared" si="7"/>
        <v>Minggu</v>
      </c>
    </row>
    <row r="477" spans="1:11" x14ac:dyDescent="0.25">
      <c r="A477" s="207" t="s">
        <v>513</v>
      </c>
      <c r="B477" s="112">
        <v>45905</v>
      </c>
      <c r="C477" s="109" t="s">
        <v>34</v>
      </c>
      <c r="D477" s="109" t="s">
        <v>35</v>
      </c>
      <c r="E477" s="109" t="s">
        <v>23</v>
      </c>
      <c r="F477" s="109" t="s">
        <v>28</v>
      </c>
      <c r="G477" s="109" t="s">
        <v>20</v>
      </c>
      <c r="H477" s="110">
        <v>248.45</v>
      </c>
      <c r="I477" s="109">
        <v>3</v>
      </c>
      <c r="J477" s="110">
        <v>745.35</v>
      </c>
      <c r="K477" t="str">
        <f t="shared" si="7"/>
        <v>Jumat</v>
      </c>
    </row>
    <row r="478" spans="1:11" x14ac:dyDescent="0.25">
      <c r="A478" s="207" t="s">
        <v>514</v>
      </c>
      <c r="B478" s="112">
        <v>45911</v>
      </c>
      <c r="C478" s="109" t="s">
        <v>25</v>
      </c>
      <c r="D478" s="109" t="s">
        <v>26</v>
      </c>
      <c r="E478" s="109" t="s">
        <v>41</v>
      </c>
      <c r="F478" s="109" t="s">
        <v>19</v>
      </c>
      <c r="G478" s="109" t="s">
        <v>15</v>
      </c>
      <c r="H478" s="110">
        <v>46.24</v>
      </c>
      <c r="I478" s="109">
        <v>20</v>
      </c>
      <c r="J478" s="110">
        <v>924.8</v>
      </c>
      <c r="K478" t="str">
        <f t="shared" si="7"/>
        <v>Kamis</v>
      </c>
    </row>
    <row r="479" spans="1:11" x14ac:dyDescent="0.25">
      <c r="A479" s="207" t="s">
        <v>515</v>
      </c>
      <c r="B479" s="112">
        <v>45813</v>
      </c>
      <c r="C479" s="109" t="s">
        <v>38</v>
      </c>
      <c r="D479" s="109" t="s">
        <v>35</v>
      </c>
      <c r="E479" s="109" t="s">
        <v>18</v>
      </c>
      <c r="F479" s="109" t="s">
        <v>61</v>
      </c>
      <c r="G479" s="109" t="s">
        <v>36</v>
      </c>
      <c r="H479" s="110">
        <v>151.85</v>
      </c>
      <c r="I479" s="109">
        <v>1</v>
      </c>
      <c r="J479" s="110">
        <v>151.85</v>
      </c>
      <c r="K479" t="str">
        <f t="shared" si="7"/>
        <v>Kamis</v>
      </c>
    </row>
    <row r="480" spans="1:11" x14ac:dyDescent="0.25">
      <c r="A480" s="207" t="s">
        <v>516</v>
      </c>
      <c r="B480" s="112">
        <v>45883</v>
      </c>
      <c r="C480" s="109" t="s">
        <v>38</v>
      </c>
      <c r="D480" s="109" t="s">
        <v>12</v>
      </c>
      <c r="E480" s="109" t="s">
        <v>18</v>
      </c>
      <c r="F480" s="109" t="s">
        <v>14</v>
      </c>
      <c r="G480" s="109" t="s">
        <v>36</v>
      </c>
      <c r="H480" s="110">
        <v>243.25</v>
      </c>
      <c r="I480" s="109">
        <v>11</v>
      </c>
      <c r="J480" s="110">
        <v>2675.75</v>
      </c>
      <c r="K480" t="str">
        <f t="shared" si="7"/>
        <v>Kamis</v>
      </c>
    </row>
    <row r="481" spans="1:11" x14ac:dyDescent="0.25">
      <c r="A481" s="207" t="s">
        <v>517</v>
      </c>
      <c r="B481" s="112">
        <v>45822</v>
      </c>
      <c r="C481" s="109" t="s">
        <v>17</v>
      </c>
      <c r="D481" s="109" t="s">
        <v>26</v>
      </c>
      <c r="E481" s="109" t="s">
        <v>41</v>
      </c>
      <c r="F481" s="109" t="s">
        <v>32</v>
      </c>
      <c r="G481" s="109" t="s">
        <v>15</v>
      </c>
      <c r="H481" s="110">
        <v>145.08000000000001</v>
      </c>
      <c r="I481" s="109">
        <v>20</v>
      </c>
      <c r="J481" s="110">
        <v>2901.6</v>
      </c>
      <c r="K481" t="str">
        <f t="shared" si="7"/>
        <v>Sabtu</v>
      </c>
    </row>
    <row r="482" spans="1:11" x14ac:dyDescent="0.25">
      <c r="A482" s="207" t="s">
        <v>518</v>
      </c>
      <c r="B482" s="112">
        <v>45861</v>
      </c>
      <c r="C482" s="109" t="s">
        <v>34</v>
      </c>
      <c r="D482" s="109" t="s">
        <v>12</v>
      </c>
      <c r="E482" s="109" t="s">
        <v>27</v>
      </c>
      <c r="F482" s="109" t="s">
        <v>28</v>
      </c>
      <c r="G482" s="109" t="s">
        <v>36</v>
      </c>
      <c r="H482" s="110">
        <v>168.47</v>
      </c>
      <c r="I482" s="109">
        <v>11</v>
      </c>
      <c r="J482" s="110">
        <v>1853.17</v>
      </c>
      <c r="K482" t="str">
        <f t="shared" si="7"/>
        <v>Rabu</v>
      </c>
    </row>
    <row r="483" spans="1:11" x14ac:dyDescent="0.25">
      <c r="A483" s="207" t="s">
        <v>519</v>
      </c>
      <c r="B483" s="112">
        <v>45952</v>
      </c>
      <c r="C483" s="109" t="s">
        <v>34</v>
      </c>
      <c r="D483" s="109" t="s">
        <v>31</v>
      </c>
      <c r="E483" s="109" t="s">
        <v>13</v>
      </c>
      <c r="F483" s="109" t="s">
        <v>39</v>
      </c>
      <c r="G483" s="109" t="s">
        <v>36</v>
      </c>
      <c r="H483" s="110">
        <v>183.06</v>
      </c>
      <c r="I483" s="109">
        <v>8</v>
      </c>
      <c r="J483" s="110">
        <v>1464.48</v>
      </c>
      <c r="K483" t="str">
        <f t="shared" si="7"/>
        <v>Rabu</v>
      </c>
    </row>
    <row r="484" spans="1:11" x14ac:dyDescent="0.25">
      <c r="A484" s="207" t="s">
        <v>520</v>
      </c>
      <c r="B484" s="112">
        <v>45844</v>
      </c>
      <c r="C484" s="109" t="s">
        <v>25</v>
      </c>
      <c r="D484" s="109" t="s">
        <v>26</v>
      </c>
      <c r="E484" s="109" t="s">
        <v>18</v>
      </c>
      <c r="F484" s="109" t="s">
        <v>42</v>
      </c>
      <c r="G484" s="109" t="s">
        <v>15</v>
      </c>
      <c r="H484" s="110">
        <v>130</v>
      </c>
      <c r="I484" s="109">
        <v>4</v>
      </c>
      <c r="J484" s="110">
        <v>520</v>
      </c>
      <c r="K484" t="str">
        <f t="shared" si="7"/>
        <v>Minggu</v>
      </c>
    </row>
    <row r="485" spans="1:11" x14ac:dyDescent="0.25">
      <c r="A485" s="207" t="s">
        <v>521</v>
      </c>
      <c r="B485" s="112">
        <v>46007</v>
      </c>
      <c r="C485" s="109" t="s">
        <v>11</v>
      </c>
      <c r="D485" s="109" t="s">
        <v>12</v>
      </c>
      <c r="E485" s="109" t="s">
        <v>41</v>
      </c>
      <c r="F485" s="109" t="s">
        <v>28</v>
      </c>
      <c r="G485" s="109" t="s">
        <v>15</v>
      </c>
      <c r="H485" s="110">
        <v>168.06</v>
      </c>
      <c r="I485" s="109">
        <v>18</v>
      </c>
      <c r="J485" s="110">
        <v>3025.08</v>
      </c>
      <c r="K485" t="str">
        <f t="shared" si="7"/>
        <v>Selasa</v>
      </c>
    </row>
    <row r="486" spans="1:11" x14ac:dyDescent="0.25">
      <c r="A486" s="207" t="s">
        <v>522</v>
      </c>
      <c r="B486" s="112">
        <v>45882</v>
      </c>
      <c r="C486" s="109" t="s">
        <v>17</v>
      </c>
      <c r="D486" s="109" t="s">
        <v>22</v>
      </c>
      <c r="E486" s="109" t="s">
        <v>41</v>
      </c>
      <c r="F486" s="109" t="s">
        <v>28</v>
      </c>
      <c r="G486" s="109" t="s">
        <v>36</v>
      </c>
      <c r="H486" s="110">
        <v>158.55000000000001</v>
      </c>
      <c r="I486" s="109">
        <v>10</v>
      </c>
      <c r="J486" s="110">
        <v>1585.5</v>
      </c>
      <c r="K486" t="str">
        <f t="shared" si="7"/>
        <v>Rabu</v>
      </c>
    </row>
    <row r="487" spans="1:11" x14ac:dyDescent="0.25">
      <c r="A487" s="207" t="s">
        <v>523</v>
      </c>
      <c r="B487" s="112">
        <v>45729</v>
      </c>
      <c r="C487" s="109" t="s">
        <v>30</v>
      </c>
      <c r="D487" s="109" t="s">
        <v>35</v>
      </c>
      <c r="E487" s="109" t="s">
        <v>27</v>
      </c>
      <c r="F487" s="109" t="s">
        <v>14</v>
      </c>
      <c r="G487" s="109" t="s">
        <v>20</v>
      </c>
      <c r="H487" s="110">
        <v>228.25</v>
      </c>
      <c r="I487" s="109">
        <v>10</v>
      </c>
      <c r="J487" s="110">
        <v>2282.5</v>
      </c>
      <c r="K487" t="str">
        <f t="shared" si="7"/>
        <v>Kamis</v>
      </c>
    </row>
    <row r="488" spans="1:11" x14ac:dyDescent="0.25">
      <c r="A488" s="207" t="s">
        <v>524</v>
      </c>
      <c r="B488" s="112">
        <v>45874</v>
      </c>
      <c r="C488" s="109" t="s">
        <v>11</v>
      </c>
      <c r="D488" s="109" t="s">
        <v>31</v>
      </c>
      <c r="E488" s="109" t="s">
        <v>18</v>
      </c>
      <c r="F488" s="109" t="s">
        <v>61</v>
      </c>
      <c r="G488" s="109" t="s">
        <v>20</v>
      </c>
      <c r="H488" s="110">
        <v>40</v>
      </c>
      <c r="I488" s="109">
        <v>13</v>
      </c>
      <c r="J488" s="110">
        <v>520</v>
      </c>
      <c r="K488" t="str">
        <f t="shared" si="7"/>
        <v>Selasa</v>
      </c>
    </row>
    <row r="489" spans="1:11" x14ac:dyDescent="0.25">
      <c r="A489" s="207" t="s">
        <v>525</v>
      </c>
      <c r="B489" s="112">
        <v>45863</v>
      </c>
      <c r="C489" s="109" t="s">
        <v>25</v>
      </c>
      <c r="D489" s="109" t="s">
        <v>12</v>
      </c>
      <c r="E489" s="109" t="s">
        <v>41</v>
      </c>
      <c r="F489" s="109" t="s">
        <v>42</v>
      </c>
      <c r="G489" s="109" t="s">
        <v>15</v>
      </c>
      <c r="H489" s="110">
        <v>91.81</v>
      </c>
      <c r="I489" s="109">
        <v>18</v>
      </c>
      <c r="J489" s="110">
        <v>1652.58</v>
      </c>
      <c r="K489" t="str">
        <f t="shared" si="7"/>
        <v>Jumat</v>
      </c>
    </row>
    <row r="490" spans="1:11" x14ac:dyDescent="0.25">
      <c r="A490" s="207" t="s">
        <v>526</v>
      </c>
      <c r="B490" s="112">
        <v>45842</v>
      </c>
      <c r="C490" s="109" t="s">
        <v>25</v>
      </c>
      <c r="D490" s="109" t="s">
        <v>12</v>
      </c>
      <c r="E490" s="109" t="s">
        <v>45</v>
      </c>
      <c r="F490" s="109" t="s">
        <v>19</v>
      </c>
      <c r="G490" s="109" t="s">
        <v>15</v>
      </c>
      <c r="H490" s="110">
        <v>239.09</v>
      </c>
      <c r="I490" s="109">
        <v>18</v>
      </c>
      <c r="J490" s="110">
        <v>4303.62</v>
      </c>
      <c r="K490" t="str">
        <f t="shared" si="7"/>
        <v>Jumat</v>
      </c>
    </row>
    <row r="491" spans="1:11" x14ac:dyDescent="0.25">
      <c r="A491" s="207" t="s">
        <v>527</v>
      </c>
      <c r="B491" s="112">
        <v>45994</v>
      </c>
      <c r="C491" s="109" t="s">
        <v>30</v>
      </c>
      <c r="D491" s="109" t="s">
        <v>12</v>
      </c>
      <c r="E491" s="109" t="s">
        <v>18</v>
      </c>
      <c r="F491" s="109" t="s">
        <v>19</v>
      </c>
      <c r="G491" s="109" t="s">
        <v>20</v>
      </c>
      <c r="H491" s="110">
        <v>225.86</v>
      </c>
      <c r="I491" s="109">
        <v>12</v>
      </c>
      <c r="J491" s="110">
        <v>2710.32</v>
      </c>
      <c r="K491" t="str">
        <f t="shared" si="7"/>
        <v>Rabu</v>
      </c>
    </row>
    <row r="492" spans="1:11" x14ac:dyDescent="0.25">
      <c r="A492" s="207" t="s">
        <v>528</v>
      </c>
      <c r="B492" s="112">
        <v>45988</v>
      </c>
      <c r="C492" s="109" t="s">
        <v>34</v>
      </c>
      <c r="D492" s="109" t="s">
        <v>31</v>
      </c>
      <c r="E492" s="109" t="s">
        <v>45</v>
      </c>
      <c r="F492" s="109" t="s">
        <v>19</v>
      </c>
      <c r="G492" s="109" t="s">
        <v>15</v>
      </c>
      <c r="H492" s="110">
        <v>130.24</v>
      </c>
      <c r="I492" s="109">
        <v>13</v>
      </c>
      <c r="J492" s="110">
        <v>1693.12</v>
      </c>
      <c r="K492" t="str">
        <f t="shared" si="7"/>
        <v>Kamis</v>
      </c>
    </row>
    <row r="493" spans="1:11" x14ac:dyDescent="0.25">
      <c r="A493" s="207" t="s">
        <v>529</v>
      </c>
      <c r="B493" s="112">
        <v>45790</v>
      </c>
      <c r="C493" s="109" t="s">
        <v>25</v>
      </c>
      <c r="D493" s="109" t="s">
        <v>12</v>
      </c>
      <c r="E493" s="109" t="s">
        <v>18</v>
      </c>
      <c r="F493" s="109" t="s">
        <v>42</v>
      </c>
      <c r="G493" s="109" t="s">
        <v>20</v>
      </c>
      <c r="H493" s="110">
        <v>166.43</v>
      </c>
      <c r="I493" s="109">
        <v>8</v>
      </c>
      <c r="J493" s="110">
        <v>1331.44</v>
      </c>
      <c r="K493" t="str">
        <f t="shared" si="7"/>
        <v>Selasa</v>
      </c>
    </row>
    <row r="494" spans="1:11" x14ac:dyDescent="0.25">
      <c r="A494" s="207" t="s">
        <v>530</v>
      </c>
      <c r="B494" s="112">
        <v>46010</v>
      </c>
      <c r="C494" s="109" t="s">
        <v>30</v>
      </c>
      <c r="D494" s="109" t="s">
        <v>31</v>
      </c>
      <c r="E494" s="109" t="s">
        <v>13</v>
      </c>
      <c r="F494" s="109" t="s">
        <v>61</v>
      </c>
      <c r="G494" s="109" t="s">
        <v>36</v>
      </c>
      <c r="H494" s="110">
        <v>91.02</v>
      </c>
      <c r="I494" s="109">
        <v>19</v>
      </c>
      <c r="J494" s="110">
        <v>1729.38</v>
      </c>
      <c r="K494" t="str">
        <f t="shared" si="7"/>
        <v>Jumat</v>
      </c>
    </row>
    <row r="495" spans="1:11" x14ac:dyDescent="0.25">
      <c r="A495" s="207" t="s">
        <v>531</v>
      </c>
      <c r="B495" s="112">
        <v>46005</v>
      </c>
      <c r="C495" s="109" t="s">
        <v>17</v>
      </c>
      <c r="D495" s="109" t="s">
        <v>55</v>
      </c>
      <c r="E495" s="109" t="s">
        <v>23</v>
      </c>
      <c r="F495" s="109" t="s">
        <v>32</v>
      </c>
      <c r="G495" s="109" t="s">
        <v>15</v>
      </c>
      <c r="H495" s="110">
        <v>71.39</v>
      </c>
      <c r="I495" s="109">
        <v>19</v>
      </c>
      <c r="J495" s="110">
        <v>1356.41</v>
      </c>
      <c r="K495" t="str">
        <f t="shared" si="7"/>
        <v>Minggu</v>
      </c>
    </row>
    <row r="496" spans="1:11" x14ac:dyDescent="0.25">
      <c r="A496" s="207" t="s">
        <v>532</v>
      </c>
      <c r="B496" s="112">
        <v>45905</v>
      </c>
      <c r="C496" s="109" t="s">
        <v>34</v>
      </c>
      <c r="D496" s="109" t="s">
        <v>31</v>
      </c>
      <c r="E496" s="109" t="s">
        <v>45</v>
      </c>
      <c r="F496" s="109" t="s">
        <v>19</v>
      </c>
      <c r="G496" s="109" t="s">
        <v>20</v>
      </c>
      <c r="H496" s="110">
        <v>132.01</v>
      </c>
      <c r="I496" s="109">
        <v>4</v>
      </c>
      <c r="J496" s="110">
        <v>528.04</v>
      </c>
      <c r="K496" t="str">
        <f t="shared" si="7"/>
        <v>Jumat</v>
      </c>
    </row>
    <row r="497" spans="1:11" x14ac:dyDescent="0.25">
      <c r="A497" s="207" t="s">
        <v>533</v>
      </c>
      <c r="B497" s="112">
        <v>45730</v>
      </c>
      <c r="C497" s="109" t="s">
        <v>34</v>
      </c>
      <c r="D497" s="109" t="s">
        <v>35</v>
      </c>
      <c r="E497" s="109" t="s">
        <v>41</v>
      </c>
      <c r="F497" s="109" t="s">
        <v>39</v>
      </c>
      <c r="G497" s="109" t="s">
        <v>15</v>
      </c>
      <c r="H497" s="110">
        <v>107.74</v>
      </c>
      <c r="I497" s="109">
        <v>12</v>
      </c>
      <c r="J497" s="110">
        <v>1292.8800000000001</v>
      </c>
      <c r="K497" t="str">
        <f t="shared" si="7"/>
        <v>Jumat</v>
      </c>
    </row>
    <row r="498" spans="1:11" x14ac:dyDescent="0.25">
      <c r="A498" s="207" t="s">
        <v>534</v>
      </c>
      <c r="B498" s="112">
        <v>45924</v>
      </c>
      <c r="C498" s="109" t="s">
        <v>34</v>
      </c>
      <c r="D498" s="109" t="s">
        <v>31</v>
      </c>
      <c r="E498" s="109" t="s">
        <v>45</v>
      </c>
      <c r="F498" s="109" t="s">
        <v>61</v>
      </c>
      <c r="G498" s="109" t="s">
        <v>20</v>
      </c>
      <c r="H498" s="110">
        <v>158.4</v>
      </c>
      <c r="I498" s="109">
        <v>16</v>
      </c>
      <c r="J498" s="110">
        <v>2534.4</v>
      </c>
      <c r="K498" t="str">
        <f t="shared" si="7"/>
        <v>Rabu</v>
      </c>
    </row>
    <row r="499" spans="1:11" x14ac:dyDescent="0.25">
      <c r="A499" s="207" t="s">
        <v>535</v>
      </c>
      <c r="B499" s="112">
        <v>46014</v>
      </c>
      <c r="C499" s="109" t="s">
        <v>34</v>
      </c>
      <c r="D499" s="109" t="s">
        <v>22</v>
      </c>
      <c r="E499" s="109" t="s">
        <v>13</v>
      </c>
      <c r="F499" s="109" t="s">
        <v>19</v>
      </c>
      <c r="G499" s="109" t="s">
        <v>20</v>
      </c>
      <c r="H499" s="110">
        <v>47.1</v>
      </c>
      <c r="I499" s="109">
        <v>15</v>
      </c>
      <c r="J499" s="110">
        <v>706.5</v>
      </c>
      <c r="K499" t="str">
        <f t="shared" si="7"/>
        <v>Selasa</v>
      </c>
    </row>
    <row r="500" spans="1:11" x14ac:dyDescent="0.25">
      <c r="A500" s="207" t="s">
        <v>536</v>
      </c>
      <c r="B500" s="112">
        <v>45716</v>
      </c>
      <c r="C500" s="109" t="s">
        <v>34</v>
      </c>
      <c r="D500" s="109" t="s">
        <v>12</v>
      </c>
      <c r="E500" s="109" t="s">
        <v>45</v>
      </c>
      <c r="F500" s="109" t="s">
        <v>28</v>
      </c>
      <c r="G500" s="109" t="s">
        <v>15</v>
      </c>
      <c r="H500" s="110">
        <v>244.37</v>
      </c>
      <c r="I500" s="109">
        <v>1</v>
      </c>
      <c r="J500" s="110">
        <v>244.37</v>
      </c>
      <c r="K500" t="str">
        <f t="shared" si="7"/>
        <v>Jumat</v>
      </c>
    </row>
    <row r="501" spans="1:11" x14ac:dyDescent="0.25">
      <c r="A501" s="207" t="s">
        <v>531</v>
      </c>
      <c r="B501" s="112">
        <v>46005</v>
      </c>
      <c r="C501" s="109" t="s">
        <v>17</v>
      </c>
      <c r="D501" s="109" t="s">
        <v>55</v>
      </c>
      <c r="E501" s="109" t="s">
        <v>23</v>
      </c>
      <c r="F501" s="109" t="s">
        <v>32</v>
      </c>
      <c r="G501" s="109" t="s">
        <v>15</v>
      </c>
      <c r="H501" s="110">
        <v>71.39</v>
      </c>
      <c r="I501" s="109">
        <v>19</v>
      </c>
      <c r="J501" s="110">
        <v>1356.41</v>
      </c>
      <c r="K501" t="str">
        <f t="shared" si="7"/>
        <v>Minggu</v>
      </c>
    </row>
    <row r="502" spans="1:11" x14ac:dyDescent="0.25">
      <c r="A502" s="207" t="s">
        <v>532</v>
      </c>
      <c r="B502" s="112">
        <v>45905</v>
      </c>
      <c r="C502" s="109" t="s">
        <v>34</v>
      </c>
      <c r="D502" s="109" t="s">
        <v>31</v>
      </c>
      <c r="E502" s="109" t="s">
        <v>45</v>
      </c>
      <c r="F502" s="109" t="s">
        <v>19</v>
      </c>
      <c r="G502" s="109" t="s">
        <v>20</v>
      </c>
      <c r="H502" s="110">
        <v>132.01</v>
      </c>
      <c r="I502" s="109">
        <v>4</v>
      </c>
      <c r="J502" s="110">
        <v>528.04</v>
      </c>
      <c r="K502" t="str">
        <f t="shared" si="7"/>
        <v>Jumat</v>
      </c>
    </row>
    <row r="503" spans="1:11" x14ac:dyDescent="0.25">
      <c r="A503" s="207" t="s">
        <v>533</v>
      </c>
      <c r="B503" s="112">
        <v>45730</v>
      </c>
      <c r="C503" s="109" t="s">
        <v>34</v>
      </c>
      <c r="D503" s="109" t="s">
        <v>35</v>
      </c>
      <c r="E503" s="109" t="s">
        <v>41</v>
      </c>
      <c r="F503" s="109" t="s">
        <v>39</v>
      </c>
      <c r="G503" s="109" t="s">
        <v>15</v>
      </c>
      <c r="H503" s="110">
        <v>107.74</v>
      </c>
      <c r="I503" s="109">
        <v>12</v>
      </c>
      <c r="J503" s="110">
        <v>1292.8800000000001</v>
      </c>
      <c r="K503" t="str">
        <f t="shared" si="7"/>
        <v>Jumat</v>
      </c>
    </row>
    <row r="504" spans="1:11" x14ac:dyDescent="0.25">
      <c r="A504" s="207" t="s">
        <v>534</v>
      </c>
      <c r="B504" s="112">
        <v>45924</v>
      </c>
      <c r="C504" s="109" t="s">
        <v>34</v>
      </c>
      <c r="D504" s="109" t="s">
        <v>31</v>
      </c>
      <c r="E504" s="109" t="s">
        <v>45</v>
      </c>
      <c r="F504" s="109" t="s">
        <v>61</v>
      </c>
      <c r="G504" s="109" t="s">
        <v>20</v>
      </c>
      <c r="H504" s="110">
        <v>158.4</v>
      </c>
      <c r="I504" s="109">
        <v>16</v>
      </c>
      <c r="J504" s="110">
        <v>2534.4</v>
      </c>
      <c r="K504" t="str">
        <f t="shared" si="7"/>
        <v>Rabu</v>
      </c>
    </row>
    <row r="505" spans="1:11" x14ac:dyDescent="0.25">
      <c r="A505" s="207" t="s">
        <v>535</v>
      </c>
      <c r="B505" s="112">
        <v>46014</v>
      </c>
      <c r="C505" s="109" t="s">
        <v>34</v>
      </c>
      <c r="D505" s="109" t="s">
        <v>22</v>
      </c>
      <c r="E505" s="109" t="s">
        <v>13</v>
      </c>
      <c r="F505" s="109" t="s">
        <v>19</v>
      </c>
      <c r="G505" s="109" t="s">
        <v>20</v>
      </c>
      <c r="H505" s="110">
        <v>47.1</v>
      </c>
      <c r="I505" s="109">
        <v>15</v>
      </c>
      <c r="J505" s="110">
        <v>706.5</v>
      </c>
      <c r="K505" t="str">
        <f t="shared" si="7"/>
        <v>Selasa</v>
      </c>
    </row>
    <row r="506" spans="1:11" x14ac:dyDescent="0.25">
      <c r="A506" s="207" t="s">
        <v>536</v>
      </c>
      <c r="B506" s="112">
        <v>45716</v>
      </c>
      <c r="C506" s="109" t="s">
        <v>34</v>
      </c>
      <c r="D506" s="109" t="s">
        <v>12</v>
      </c>
      <c r="E506" s="109" t="s">
        <v>45</v>
      </c>
      <c r="F506" s="109" t="s">
        <v>28</v>
      </c>
      <c r="G506" s="109" t="s">
        <v>15</v>
      </c>
      <c r="H506" s="110">
        <v>244.37</v>
      </c>
      <c r="I506" s="109">
        <v>1</v>
      </c>
      <c r="J506" s="110">
        <v>244.37</v>
      </c>
      <c r="K506" t="str">
        <f t="shared" si="7"/>
        <v>Jumat</v>
      </c>
    </row>
    <row r="507" spans="1:11" x14ac:dyDescent="0.25">
      <c r="A507" s="207" t="s">
        <v>562</v>
      </c>
      <c r="B507" s="112">
        <v>45782</v>
      </c>
      <c r="C507" s="109" t="s">
        <v>30</v>
      </c>
      <c r="D507" s="109" t="s">
        <v>55</v>
      </c>
      <c r="E507" s="109" t="s">
        <v>23</v>
      </c>
      <c r="F507" s="109" t="s">
        <v>32</v>
      </c>
      <c r="G507" s="109" t="s">
        <v>20</v>
      </c>
      <c r="H507" s="110">
        <v>246.97</v>
      </c>
      <c r="I507" s="109">
        <v>17</v>
      </c>
      <c r="J507" s="110">
        <v>4198.49</v>
      </c>
      <c r="K507" t="str">
        <f t="shared" si="7"/>
        <v>Senin</v>
      </c>
    </row>
    <row r="508" spans="1:11" x14ac:dyDescent="0.25">
      <c r="A508" s="207" t="s">
        <v>563</v>
      </c>
      <c r="B508" s="112">
        <v>45876</v>
      </c>
      <c r="C508" s="109" t="s">
        <v>30</v>
      </c>
      <c r="D508" s="109" t="s">
        <v>31</v>
      </c>
      <c r="E508" s="109" t="s">
        <v>27</v>
      </c>
      <c r="F508" s="109" t="s">
        <v>14</v>
      </c>
      <c r="G508" s="109" t="s">
        <v>15</v>
      </c>
      <c r="H508" s="110">
        <v>183.6</v>
      </c>
      <c r="I508" s="109">
        <v>15</v>
      </c>
      <c r="J508" s="110">
        <v>2754</v>
      </c>
      <c r="K508" t="str">
        <f t="shared" si="7"/>
        <v>Kamis</v>
      </c>
    </row>
    <row r="509" spans="1:11" x14ac:dyDescent="0.25">
      <c r="A509" s="207" t="s">
        <v>564</v>
      </c>
      <c r="B509" s="112">
        <v>45985</v>
      </c>
      <c r="C509" s="109" t="s">
        <v>38</v>
      </c>
      <c r="D509" s="109" t="s">
        <v>22</v>
      </c>
      <c r="E509" s="109" t="s">
        <v>27</v>
      </c>
      <c r="F509" s="109" t="s">
        <v>42</v>
      </c>
      <c r="G509" s="109" t="s">
        <v>15</v>
      </c>
      <c r="H509" s="110">
        <v>147.94</v>
      </c>
      <c r="I509" s="109">
        <v>14</v>
      </c>
      <c r="J509" s="110">
        <v>2071.16</v>
      </c>
      <c r="K509" t="str">
        <f t="shared" si="7"/>
        <v>Senin</v>
      </c>
    </row>
    <row r="510" spans="1:11" x14ac:dyDescent="0.25">
      <c r="A510" s="207" t="s">
        <v>565</v>
      </c>
      <c r="B510" s="112">
        <v>45888</v>
      </c>
      <c r="C510" s="109" t="s">
        <v>38</v>
      </c>
      <c r="D510" s="109" t="s">
        <v>31</v>
      </c>
      <c r="E510" s="109" t="s">
        <v>45</v>
      </c>
      <c r="F510" s="109" t="s">
        <v>28</v>
      </c>
      <c r="G510" s="109" t="s">
        <v>15</v>
      </c>
      <c r="H510" s="110">
        <v>98.1</v>
      </c>
      <c r="I510" s="109">
        <v>19</v>
      </c>
      <c r="J510" s="110">
        <v>1863.9</v>
      </c>
      <c r="K510" t="str">
        <f t="shared" si="7"/>
        <v>Selasa</v>
      </c>
    </row>
    <row r="511" spans="1:11" x14ac:dyDescent="0.25">
      <c r="A511" s="207" t="s">
        <v>566</v>
      </c>
      <c r="B511" s="112">
        <v>45763</v>
      </c>
      <c r="C511" s="109" t="s">
        <v>17</v>
      </c>
      <c r="D511" s="109" t="s">
        <v>22</v>
      </c>
      <c r="E511" s="109" t="s">
        <v>18</v>
      </c>
      <c r="F511" s="109" t="s">
        <v>19</v>
      </c>
      <c r="G511" s="109" t="s">
        <v>20</v>
      </c>
      <c r="H511" s="110">
        <v>209.03</v>
      </c>
      <c r="I511" s="109">
        <v>9</v>
      </c>
      <c r="J511" s="110">
        <v>1881.27</v>
      </c>
      <c r="K511" t="str">
        <f t="shared" si="7"/>
        <v>Rabu</v>
      </c>
    </row>
    <row r="512" spans="1:11" x14ac:dyDescent="0.25">
      <c r="A512" s="207" t="s">
        <v>567</v>
      </c>
      <c r="B512" s="112">
        <v>45753</v>
      </c>
      <c r="C512" s="109" t="s">
        <v>34</v>
      </c>
      <c r="D512" s="109" t="s">
        <v>26</v>
      </c>
      <c r="E512" s="109" t="s">
        <v>41</v>
      </c>
      <c r="F512" s="109" t="s">
        <v>19</v>
      </c>
      <c r="G512" s="109" t="s">
        <v>36</v>
      </c>
      <c r="H512" s="110">
        <v>180.64</v>
      </c>
      <c r="I512" s="109">
        <v>12</v>
      </c>
      <c r="J512" s="110">
        <v>2167.6799999999998</v>
      </c>
      <c r="K512" t="str">
        <f t="shared" si="7"/>
        <v>Minggu</v>
      </c>
    </row>
    <row r="513" spans="1:11" x14ac:dyDescent="0.25">
      <c r="A513" s="207" t="s">
        <v>568</v>
      </c>
      <c r="B513" s="112">
        <v>46001</v>
      </c>
      <c r="C513" s="109" t="s">
        <v>25</v>
      </c>
      <c r="D513" s="109" t="s">
        <v>12</v>
      </c>
      <c r="E513" s="109" t="s">
        <v>13</v>
      </c>
      <c r="F513" s="109" t="s">
        <v>42</v>
      </c>
      <c r="G513" s="109" t="s">
        <v>36</v>
      </c>
      <c r="H513" s="110">
        <v>65.78</v>
      </c>
      <c r="I513" s="109">
        <v>16</v>
      </c>
      <c r="J513" s="110">
        <v>1052.48</v>
      </c>
      <c r="K513" t="str">
        <f t="shared" si="7"/>
        <v>Rabu</v>
      </c>
    </row>
    <row r="514" spans="1:11" x14ac:dyDescent="0.25">
      <c r="A514" s="207" t="s">
        <v>569</v>
      </c>
      <c r="B514" s="112">
        <v>45970</v>
      </c>
      <c r="C514" s="109" t="s">
        <v>25</v>
      </c>
      <c r="D514" s="109" t="s">
        <v>22</v>
      </c>
      <c r="E514" s="109" t="s">
        <v>13</v>
      </c>
      <c r="F514" s="109" t="s">
        <v>32</v>
      </c>
      <c r="G514" s="109" t="s">
        <v>36</v>
      </c>
      <c r="H514" s="110">
        <v>230.4</v>
      </c>
      <c r="I514" s="109">
        <v>13</v>
      </c>
      <c r="J514" s="110">
        <v>2995.2</v>
      </c>
      <c r="K514" t="str">
        <f t="shared" si="7"/>
        <v>Minggu</v>
      </c>
    </row>
    <row r="515" spans="1:11" x14ac:dyDescent="0.25">
      <c r="A515" s="207" t="s">
        <v>570</v>
      </c>
      <c r="B515" s="112">
        <v>45974</v>
      </c>
      <c r="C515" s="109" t="s">
        <v>17</v>
      </c>
      <c r="D515" s="109" t="s">
        <v>12</v>
      </c>
      <c r="E515" s="109" t="s">
        <v>13</v>
      </c>
      <c r="F515" s="109" t="s">
        <v>42</v>
      </c>
      <c r="G515" s="109" t="s">
        <v>20</v>
      </c>
      <c r="H515" s="110">
        <v>210.96</v>
      </c>
      <c r="I515" s="109">
        <v>6</v>
      </c>
      <c r="J515" s="110">
        <v>1265.76</v>
      </c>
      <c r="K515" t="str">
        <f t="shared" ref="K515:K578" si="8">TEXT(B515,"dddd")</f>
        <v>Kamis</v>
      </c>
    </row>
    <row r="516" spans="1:11" x14ac:dyDescent="0.25">
      <c r="A516" s="207" t="s">
        <v>571</v>
      </c>
      <c r="B516" s="112">
        <v>45701</v>
      </c>
      <c r="C516" s="109" t="s">
        <v>34</v>
      </c>
      <c r="D516" s="109" t="s">
        <v>22</v>
      </c>
      <c r="E516" s="109" t="s">
        <v>23</v>
      </c>
      <c r="F516" s="109" t="s">
        <v>32</v>
      </c>
      <c r="G516" s="109" t="s">
        <v>15</v>
      </c>
      <c r="H516" s="110">
        <v>238.96</v>
      </c>
      <c r="I516" s="109">
        <v>5</v>
      </c>
      <c r="J516" s="110">
        <v>1194.8</v>
      </c>
      <c r="K516" t="str">
        <f t="shared" si="8"/>
        <v>Kamis</v>
      </c>
    </row>
    <row r="517" spans="1:11" x14ac:dyDescent="0.25">
      <c r="A517" s="207" t="s">
        <v>572</v>
      </c>
      <c r="B517" s="112">
        <v>45751</v>
      </c>
      <c r="C517" s="109" t="s">
        <v>17</v>
      </c>
      <c r="D517" s="109" t="s">
        <v>26</v>
      </c>
      <c r="E517" s="109" t="s">
        <v>18</v>
      </c>
      <c r="F517" s="109" t="s">
        <v>61</v>
      </c>
      <c r="G517" s="109" t="s">
        <v>36</v>
      </c>
      <c r="H517" s="110">
        <v>189.66</v>
      </c>
      <c r="I517" s="109">
        <v>12</v>
      </c>
      <c r="J517" s="110">
        <v>2275.92</v>
      </c>
      <c r="K517" t="str">
        <f t="shared" si="8"/>
        <v>Jumat</v>
      </c>
    </row>
    <row r="518" spans="1:11" x14ac:dyDescent="0.25">
      <c r="A518" s="207" t="s">
        <v>573</v>
      </c>
      <c r="B518" s="112">
        <v>45963</v>
      </c>
      <c r="C518" s="109" t="s">
        <v>25</v>
      </c>
      <c r="D518" s="109" t="s">
        <v>31</v>
      </c>
      <c r="E518" s="109" t="s">
        <v>41</v>
      </c>
      <c r="F518" s="109" t="s">
        <v>14</v>
      </c>
      <c r="G518" s="109" t="s">
        <v>36</v>
      </c>
      <c r="H518" s="110">
        <v>164.95</v>
      </c>
      <c r="I518" s="109">
        <v>5</v>
      </c>
      <c r="J518" s="110">
        <v>824.75</v>
      </c>
      <c r="K518" t="str">
        <f t="shared" si="8"/>
        <v>Minggu</v>
      </c>
    </row>
    <row r="519" spans="1:11" x14ac:dyDescent="0.25">
      <c r="A519" s="207" t="s">
        <v>574</v>
      </c>
      <c r="B519" s="112">
        <v>45983</v>
      </c>
      <c r="C519" s="109" t="s">
        <v>17</v>
      </c>
      <c r="D519" s="109" t="s">
        <v>12</v>
      </c>
      <c r="E519" s="109" t="s">
        <v>23</v>
      </c>
      <c r="F519" s="109" t="s">
        <v>42</v>
      </c>
      <c r="G519" s="109" t="s">
        <v>15</v>
      </c>
      <c r="H519" s="110">
        <v>122.01</v>
      </c>
      <c r="I519" s="109">
        <v>18</v>
      </c>
      <c r="J519" s="110">
        <v>2196.1799999999998</v>
      </c>
      <c r="K519" t="str">
        <f t="shared" si="8"/>
        <v>Sabtu</v>
      </c>
    </row>
    <row r="520" spans="1:11" x14ac:dyDescent="0.25">
      <c r="A520" s="207" t="s">
        <v>575</v>
      </c>
      <c r="B520" s="112">
        <v>45908</v>
      </c>
      <c r="C520" s="109" t="s">
        <v>30</v>
      </c>
      <c r="D520" s="109" t="s">
        <v>26</v>
      </c>
      <c r="E520" s="109" t="s">
        <v>13</v>
      </c>
      <c r="F520" s="109" t="s">
        <v>39</v>
      </c>
      <c r="G520" s="109" t="s">
        <v>36</v>
      </c>
      <c r="H520" s="110">
        <v>235.2</v>
      </c>
      <c r="I520" s="109">
        <v>10</v>
      </c>
      <c r="J520" s="110">
        <v>2352</v>
      </c>
      <c r="K520" t="str">
        <f t="shared" si="8"/>
        <v>Senin</v>
      </c>
    </row>
    <row r="521" spans="1:11" x14ac:dyDescent="0.25">
      <c r="A521" s="207" t="s">
        <v>576</v>
      </c>
      <c r="B521" s="112">
        <v>45975</v>
      </c>
      <c r="C521" s="109" t="s">
        <v>34</v>
      </c>
      <c r="D521" s="109" t="s">
        <v>22</v>
      </c>
      <c r="E521" s="109" t="s">
        <v>41</v>
      </c>
      <c r="F521" s="109" t="s">
        <v>14</v>
      </c>
      <c r="G521" s="109" t="s">
        <v>15</v>
      </c>
      <c r="H521" s="110">
        <v>220.53</v>
      </c>
      <c r="I521" s="109">
        <v>2</v>
      </c>
      <c r="J521" s="110">
        <v>441.06</v>
      </c>
      <c r="K521" t="str">
        <f t="shared" si="8"/>
        <v>Jumat</v>
      </c>
    </row>
    <row r="522" spans="1:11" x14ac:dyDescent="0.25">
      <c r="A522" s="207" t="s">
        <v>577</v>
      </c>
      <c r="B522" s="112">
        <v>45854</v>
      </c>
      <c r="C522" s="109" t="s">
        <v>25</v>
      </c>
      <c r="D522" s="109" t="s">
        <v>12</v>
      </c>
      <c r="E522" s="109" t="s">
        <v>41</v>
      </c>
      <c r="F522" s="109" t="s">
        <v>61</v>
      </c>
      <c r="G522" s="109" t="s">
        <v>20</v>
      </c>
      <c r="H522" s="110">
        <v>39.950000000000003</v>
      </c>
      <c r="I522" s="109">
        <v>18</v>
      </c>
      <c r="J522" s="110">
        <v>719.1</v>
      </c>
      <c r="K522" t="str">
        <f t="shared" si="8"/>
        <v>Rabu</v>
      </c>
    </row>
    <row r="523" spans="1:11" x14ac:dyDescent="0.25">
      <c r="A523" s="207" t="s">
        <v>578</v>
      </c>
      <c r="B523" s="112">
        <v>45909</v>
      </c>
      <c r="C523" s="109" t="s">
        <v>17</v>
      </c>
      <c r="D523" s="109" t="s">
        <v>31</v>
      </c>
      <c r="E523" s="109" t="s">
        <v>41</v>
      </c>
      <c r="F523" s="109" t="s">
        <v>14</v>
      </c>
      <c r="G523" s="109" t="s">
        <v>15</v>
      </c>
      <c r="H523" s="110">
        <v>35.799999999999997</v>
      </c>
      <c r="I523" s="109">
        <v>14</v>
      </c>
      <c r="J523" s="110">
        <v>501.2</v>
      </c>
      <c r="K523" t="str">
        <f t="shared" si="8"/>
        <v>Selasa</v>
      </c>
    </row>
    <row r="524" spans="1:11" x14ac:dyDescent="0.25">
      <c r="A524" s="207" t="s">
        <v>579</v>
      </c>
      <c r="B524" s="112">
        <v>45947</v>
      </c>
      <c r="C524" s="109" t="s">
        <v>30</v>
      </c>
      <c r="D524" s="109" t="s">
        <v>35</v>
      </c>
      <c r="E524" s="109" t="s">
        <v>45</v>
      </c>
      <c r="F524" s="109" t="s">
        <v>32</v>
      </c>
      <c r="G524" s="109" t="s">
        <v>15</v>
      </c>
      <c r="H524" s="110">
        <v>112.82</v>
      </c>
      <c r="I524" s="109">
        <v>1</v>
      </c>
      <c r="J524" s="110">
        <v>112.82</v>
      </c>
      <c r="K524" t="str">
        <f t="shared" si="8"/>
        <v>Jumat</v>
      </c>
    </row>
    <row r="525" spans="1:11" x14ac:dyDescent="0.25">
      <c r="A525" s="207" t="s">
        <v>580</v>
      </c>
      <c r="B525" s="112">
        <v>45933</v>
      </c>
      <c r="C525" s="109" t="s">
        <v>30</v>
      </c>
      <c r="D525" s="109" t="s">
        <v>31</v>
      </c>
      <c r="E525" s="109" t="s">
        <v>18</v>
      </c>
      <c r="F525" s="109" t="s">
        <v>28</v>
      </c>
      <c r="G525" s="109" t="s">
        <v>36</v>
      </c>
      <c r="H525" s="110">
        <v>208.32</v>
      </c>
      <c r="I525" s="109">
        <v>10</v>
      </c>
      <c r="J525" s="110">
        <v>2083.1999999999998</v>
      </c>
      <c r="K525" t="str">
        <f t="shared" si="8"/>
        <v>Jumat</v>
      </c>
    </row>
    <row r="526" spans="1:11" x14ac:dyDescent="0.25">
      <c r="A526" s="207" t="s">
        <v>581</v>
      </c>
      <c r="B526" s="112">
        <v>45939</v>
      </c>
      <c r="C526" s="109" t="s">
        <v>11</v>
      </c>
      <c r="D526" s="109" t="s">
        <v>55</v>
      </c>
      <c r="E526" s="109" t="s">
        <v>45</v>
      </c>
      <c r="F526" s="109" t="s">
        <v>32</v>
      </c>
      <c r="G526" s="109" t="s">
        <v>20</v>
      </c>
      <c r="H526" s="110">
        <v>247.2</v>
      </c>
      <c r="I526" s="109">
        <v>17</v>
      </c>
      <c r="J526" s="110">
        <v>4202.3999999999996</v>
      </c>
      <c r="K526" t="str">
        <f t="shared" si="8"/>
        <v>Kamis</v>
      </c>
    </row>
    <row r="527" spans="1:11" x14ac:dyDescent="0.25">
      <c r="A527" s="207" t="s">
        <v>582</v>
      </c>
      <c r="B527" s="112">
        <v>45845</v>
      </c>
      <c r="C527" s="109" t="s">
        <v>11</v>
      </c>
      <c r="D527" s="109" t="s">
        <v>12</v>
      </c>
      <c r="E527" s="109" t="s">
        <v>41</v>
      </c>
      <c r="F527" s="109" t="s">
        <v>42</v>
      </c>
      <c r="G527" s="109" t="s">
        <v>15</v>
      </c>
      <c r="H527" s="110">
        <v>63.09</v>
      </c>
      <c r="I527" s="109">
        <v>18</v>
      </c>
      <c r="J527" s="110">
        <v>1135.6199999999999</v>
      </c>
      <c r="K527" t="str">
        <f t="shared" si="8"/>
        <v>Senin</v>
      </c>
    </row>
    <row r="528" spans="1:11" x14ac:dyDescent="0.25">
      <c r="A528" s="207" t="s">
        <v>583</v>
      </c>
      <c r="B528" s="112">
        <v>45875</v>
      </c>
      <c r="C528" s="109" t="s">
        <v>17</v>
      </c>
      <c r="D528" s="109" t="s">
        <v>12</v>
      </c>
      <c r="E528" s="109" t="s">
        <v>23</v>
      </c>
      <c r="F528" s="109" t="s">
        <v>32</v>
      </c>
      <c r="G528" s="109" t="s">
        <v>15</v>
      </c>
      <c r="H528" s="110">
        <v>160.71</v>
      </c>
      <c r="I528" s="109">
        <v>4</v>
      </c>
      <c r="J528" s="110">
        <v>642.84</v>
      </c>
      <c r="K528" t="str">
        <f t="shared" si="8"/>
        <v>Rabu</v>
      </c>
    </row>
    <row r="529" spans="1:11" x14ac:dyDescent="0.25">
      <c r="A529" s="207" t="s">
        <v>584</v>
      </c>
      <c r="B529" s="112">
        <v>45888</v>
      </c>
      <c r="C529" s="109" t="s">
        <v>34</v>
      </c>
      <c r="D529" s="109" t="s">
        <v>22</v>
      </c>
      <c r="E529" s="109" t="s">
        <v>41</v>
      </c>
      <c r="F529" s="109" t="s">
        <v>39</v>
      </c>
      <c r="G529" s="109" t="s">
        <v>15</v>
      </c>
      <c r="H529" s="110">
        <v>113.8</v>
      </c>
      <c r="I529" s="109">
        <v>9</v>
      </c>
      <c r="J529" s="110">
        <v>1024.2</v>
      </c>
      <c r="K529" t="str">
        <f t="shared" si="8"/>
        <v>Selasa</v>
      </c>
    </row>
    <row r="530" spans="1:11" x14ac:dyDescent="0.25">
      <c r="A530" s="207" t="s">
        <v>585</v>
      </c>
      <c r="B530" s="112">
        <v>45779</v>
      </c>
      <c r="C530" s="109" t="s">
        <v>17</v>
      </c>
      <c r="D530" s="109" t="s">
        <v>55</v>
      </c>
      <c r="E530" s="109" t="s">
        <v>27</v>
      </c>
      <c r="F530" s="109" t="s">
        <v>32</v>
      </c>
      <c r="G530" s="109" t="s">
        <v>20</v>
      </c>
      <c r="H530" s="110">
        <v>243.38</v>
      </c>
      <c r="I530" s="109">
        <v>7</v>
      </c>
      <c r="J530" s="110">
        <v>1703.66</v>
      </c>
      <c r="K530" t="str">
        <f t="shared" si="8"/>
        <v>Jumat</v>
      </c>
    </row>
    <row r="531" spans="1:11" x14ac:dyDescent="0.25">
      <c r="A531" s="207" t="s">
        <v>586</v>
      </c>
      <c r="B531" s="112">
        <v>45970</v>
      </c>
      <c r="C531" s="109" t="s">
        <v>30</v>
      </c>
      <c r="D531" s="109" t="s">
        <v>55</v>
      </c>
      <c r="E531" s="109" t="s">
        <v>23</v>
      </c>
      <c r="F531" s="109" t="s">
        <v>39</v>
      </c>
      <c r="G531" s="109" t="s">
        <v>15</v>
      </c>
      <c r="H531" s="110">
        <v>215.27</v>
      </c>
      <c r="I531" s="109">
        <v>14</v>
      </c>
      <c r="J531" s="110">
        <v>3013.78</v>
      </c>
      <c r="K531" t="str">
        <f t="shared" si="8"/>
        <v>Minggu</v>
      </c>
    </row>
    <row r="532" spans="1:11" x14ac:dyDescent="0.25">
      <c r="A532" s="207" t="s">
        <v>587</v>
      </c>
      <c r="B532" s="112">
        <v>45763</v>
      </c>
      <c r="C532" s="109" t="s">
        <v>25</v>
      </c>
      <c r="D532" s="109" t="s">
        <v>35</v>
      </c>
      <c r="E532" s="109" t="s">
        <v>18</v>
      </c>
      <c r="F532" s="109" t="s">
        <v>32</v>
      </c>
      <c r="G532" s="109" t="s">
        <v>20</v>
      </c>
      <c r="H532" s="110">
        <v>214.43</v>
      </c>
      <c r="I532" s="109">
        <v>2</v>
      </c>
      <c r="J532" s="110">
        <v>428.86</v>
      </c>
      <c r="K532" t="str">
        <f t="shared" si="8"/>
        <v>Rabu</v>
      </c>
    </row>
    <row r="533" spans="1:11" x14ac:dyDescent="0.25">
      <c r="A533" s="207" t="s">
        <v>588</v>
      </c>
      <c r="B533" s="112">
        <v>45933</v>
      </c>
      <c r="C533" s="109" t="s">
        <v>34</v>
      </c>
      <c r="D533" s="109" t="s">
        <v>12</v>
      </c>
      <c r="E533" s="109" t="s">
        <v>13</v>
      </c>
      <c r="F533" s="109" t="s">
        <v>32</v>
      </c>
      <c r="G533" s="109" t="s">
        <v>20</v>
      </c>
      <c r="H533" s="110">
        <v>133.11000000000001</v>
      </c>
      <c r="I533" s="109">
        <v>6</v>
      </c>
      <c r="J533" s="110">
        <v>798.66</v>
      </c>
      <c r="K533" t="str">
        <f t="shared" si="8"/>
        <v>Jumat</v>
      </c>
    </row>
    <row r="534" spans="1:11" x14ac:dyDescent="0.25">
      <c r="A534" s="207" t="s">
        <v>589</v>
      </c>
      <c r="B534" s="112">
        <v>45794</v>
      </c>
      <c r="C534" s="109" t="s">
        <v>17</v>
      </c>
      <c r="D534" s="109" t="s">
        <v>22</v>
      </c>
      <c r="E534" s="109" t="s">
        <v>23</v>
      </c>
      <c r="F534" s="109" t="s">
        <v>39</v>
      </c>
      <c r="G534" s="109" t="s">
        <v>36</v>
      </c>
      <c r="H534" s="110">
        <v>121.26</v>
      </c>
      <c r="I534" s="109">
        <v>17</v>
      </c>
      <c r="J534" s="110">
        <v>2061.42</v>
      </c>
      <c r="K534" t="str">
        <f t="shared" si="8"/>
        <v>Sabtu</v>
      </c>
    </row>
    <row r="535" spans="1:11" x14ac:dyDescent="0.25">
      <c r="A535" s="207" t="s">
        <v>590</v>
      </c>
      <c r="B535" s="112">
        <v>45688</v>
      </c>
      <c r="C535" s="109" t="s">
        <v>17</v>
      </c>
      <c r="D535" s="109" t="s">
        <v>26</v>
      </c>
      <c r="E535" s="109" t="s">
        <v>27</v>
      </c>
      <c r="F535" s="109" t="s">
        <v>39</v>
      </c>
      <c r="G535" s="109" t="s">
        <v>15</v>
      </c>
      <c r="H535" s="110">
        <v>90.15</v>
      </c>
      <c r="I535" s="109">
        <v>9</v>
      </c>
      <c r="J535" s="110">
        <v>811.35</v>
      </c>
      <c r="K535" t="str">
        <f t="shared" si="8"/>
        <v>Jumat</v>
      </c>
    </row>
    <row r="536" spans="1:11" x14ac:dyDescent="0.25">
      <c r="A536" s="207" t="s">
        <v>591</v>
      </c>
      <c r="B536" s="112">
        <v>45785</v>
      </c>
      <c r="C536" s="109" t="s">
        <v>17</v>
      </c>
      <c r="D536" s="109" t="s">
        <v>35</v>
      </c>
      <c r="E536" s="109" t="s">
        <v>23</v>
      </c>
      <c r="F536" s="109" t="s">
        <v>39</v>
      </c>
      <c r="G536" s="109" t="s">
        <v>20</v>
      </c>
      <c r="H536" s="110">
        <v>42.4</v>
      </c>
      <c r="I536" s="109">
        <v>5</v>
      </c>
      <c r="J536" s="110">
        <v>212</v>
      </c>
      <c r="K536" t="str">
        <f t="shared" si="8"/>
        <v>Kamis</v>
      </c>
    </row>
    <row r="537" spans="1:11" x14ac:dyDescent="0.25">
      <c r="A537" s="207" t="s">
        <v>592</v>
      </c>
      <c r="B537" s="112">
        <v>45859</v>
      </c>
      <c r="C537" s="109" t="s">
        <v>30</v>
      </c>
      <c r="D537" s="109" t="s">
        <v>55</v>
      </c>
      <c r="E537" s="109" t="s">
        <v>27</v>
      </c>
      <c r="F537" s="109" t="s">
        <v>32</v>
      </c>
      <c r="G537" s="109" t="s">
        <v>20</v>
      </c>
      <c r="H537" s="110">
        <v>220.24</v>
      </c>
      <c r="I537" s="109">
        <v>16</v>
      </c>
      <c r="J537" s="110">
        <v>3523.84</v>
      </c>
      <c r="K537" t="str">
        <f t="shared" si="8"/>
        <v>Senin</v>
      </c>
    </row>
    <row r="538" spans="1:11" x14ac:dyDescent="0.25">
      <c r="A538" s="207" t="s">
        <v>593</v>
      </c>
      <c r="B538" s="112">
        <v>45870</v>
      </c>
      <c r="C538" s="109" t="s">
        <v>38</v>
      </c>
      <c r="D538" s="109" t="s">
        <v>22</v>
      </c>
      <c r="E538" s="109" t="s">
        <v>27</v>
      </c>
      <c r="F538" s="109" t="s">
        <v>39</v>
      </c>
      <c r="G538" s="109" t="s">
        <v>15</v>
      </c>
      <c r="H538" s="110">
        <v>208.84</v>
      </c>
      <c r="I538" s="109">
        <v>13</v>
      </c>
      <c r="J538" s="110">
        <v>2714.92</v>
      </c>
      <c r="K538" t="str">
        <f t="shared" si="8"/>
        <v>Jumat</v>
      </c>
    </row>
    <row r="539" spans="1:11" x14ac:dyDescent="0.25">
      <c r="A539" s="207" t="s">
        <v>594</v>
      </c>
      <c r="B539" s="112">
        <v>45864</v>
      </c>
      <c r="C539" s="109" t="s">
        <v>17</v>
      </c>
      <c r="D539" s="109" t="s">
        <v>35</v>
      </c>
      <c r="E539" s="109" t="s">
        <v>27</v>
      </c>
      <c r="F539" s="109" t="s">
        <v>32</v>
      </c>
      <c r="G539" s="109" t="s">
        <v>36</v>
      </c>
      <c r="H539" s="110">
        <v>249.94</v>
      </c>
      <c r="I539" s="109">
        <v>17</v>
      </c>
      <c r="J539" s="110">
        <v>4248.9799999999996</v>
      </c>
      <c r="K539" t="str">
        <f t="shared" si="8"/>
        <v>Sabtu</v>
      </c>
    </row>
    <row r="540" spans="1:11" x14ac:dyDescent="0.25">
      <c r="A540" s="207" t="s">
        <v>595</v>
      </c>
      <c r="B540" s="112">
        <v>45907</v>
      </c>
      <c r="C540" s="109" t="s">
        <v>25</v>
      </c>
      <c r="D540" s="109" t="s">
        <v>22</v>
      </c>
      <c r="E540" s="109" t="s">
        <v>27</v>
      </c>
      <c r="F540" s="109" t="s">
        <v>19</v>
      </c>
      <c r="G540" s="109" t="s">
        <v>20</v>
      </c>
      <c r="H540" s="110">
        <v>249.26</v>
      </c>
      <c r="I540" s="109">
        <v>11</v>
      </c>
      <c r="J540" s="110">
        <v>2741.86</v>
      </c>
      <c r="K540" t="str">
        <f t="shared" si="8"/>
        <v>Minggu</v>
      </c>
    </row>
    <row r="541" spans="1:11" x14ac:dyDescent="0.25">
      <c r="A541" s="207" t="s">
        <v>596</v>
      </c>
      <c r="B541" s="112">
        <v>45892</v>
      </c>
      <c r="C541" s="109" t="s">
        <v>11</v>
      </c>
      <c r="D541" s="109" t="s">
        <v>55</v>
      </c>
      <c r="E541" s="109" t="s">
        <v>41</v>
      </c>
      <c r="F541" s="109" t="s">
        <v>14</v>
      </c>
      <c r="G541" s="109" t="s">
        <v>36</v>
      </c>
      <c r="H541" s="110">
        <v>152.19</v>
      </c>
      <c r="I541" s="109">
        <v>12</v>
      </c>
      <c r="J541" s="110">
        <v>1826.28</v>
      </c>
      <c r="K541" t="str">
        <f t="shared" si="8"/>
        <v>Sabtu</v>
      </c>
    </row>
    <row r="542" spans="1:11" x14ac:dyDescent="0.25">
      <c r="A542" s="207" t="s">
        <v>597</v>
      </c>
      <c r="B542" s="112">
        <v>45766</v>
      </c>
      <c r="C542" s="109" t="s">
        <v>34</v>
      </c>
      <c r="D542" s="109" t="s">
        <v>35</v>
      </c>
      <c r="E542" s="109" t="s">
        <v>13</v>
      </c>
      <c r="F542" s="109" t="s">
        <v>32</v>
      </c>
      <c r="G542" s="109" t="s">
        <v>20</v>
      </c>
      <c r="H542" s="110">
        <v>199.18</v>
      </c>
      <c r="I542" s="109">
        <v>16</v>
      </c>
      <c r="J542" s="110">
        <v>3186.88</v>
      </c>
      <c r="K542" t="str">
        <f t="shared" si="8"/>
        <v>Sabtu</v>
      </c>
    </row>
    <row r="543" spans="1:11" x14ac:dyDescent="0.25">
      <c r="A543" s="207" t="s">
        <v>598</v>
      </c>
      <c r="B543" s="112">
        <v>45953</v>
      </c>
      <c r="C543" s="109" t="s">
        <v>25</v>
      </c>
      <c r="D543" s="109" t="s">
        <v>31</v>
      </c>
      <c r="E543" s="109" t="s">
        <v>13</v>
      </c>
      <c r="F543" s="109" t="s">
        <v>28</v>
      </c>
      <c r="G543" s="109" t="s">
        <v>15</v>
      </c>
      <c r="H543" s="110">
        <v>237.85</v>
      </c>
      <c r="I543" s="109">
        <v>5</v>
      </c>
      <c r="J543" s="110">
        <v>1189.25</v>
      </c>
      <c r="K543" t="str">
        <f t="shared" si="8"/>
        <v>Kamis</v>
      </c>
    </row>
    <row r="544" spans="1:11" x14ac:dyDescent="0.25">
      <c r="A544" s="207" t="s">
        <v>599</v>
      </c>
      <c r="B544" s="112">
        <v>45681</v>
      </c>
      <c r="C544" s="109" t="s">
        <v>17</v>
      </c>
      <c r="D544" s="109" t="s">
        <v>31</v>
      </c>
      <c r="E544" s="109" t="s">
        <v>45</v>
      </c>
      <c r="F544" s="109" t="s">
        <v>19</v>
      </c>
      <c r="G544" s="109" t="s">
        <v>15</v>
      </c>
      <c r="H544" s="110">
        <v>216.92</v>
      </c>
      <c r="I544" s="109">
        <v>4</v>
      </c>
      <c r="J544" s="110">
        <v>867.68</v>
      </c>
      <c r="K544" t="str">
        <f t="shared" si="8"/>
        <v>Jumat</v>
      </c>
    </row>
    <row r="545" spans="1:11" x14ac:dyDescent="0.25">
      <c r="A545" s="207" t="s">
        <v>600</v>
      </c>
      <c r="B545" s="112">
        <v>45883</v>
      </c>
      <c r="C545" s="109" t="s">
        <v>11</v>
      </c>
      <c r="D545" s="109" t="s">
        <v>31</v>
      </c>
      <c r="E545" s="109" t="s">
        <v>23</v>
      </c>
      <c r="F545" s="109" t="s">
        <v>28</v>
      </c>
      <c r="G545" s="109" t="s">
        <v>15</v>
      </c>
      <c r="H545" s="110">
        <v>84.42</v>
      </c>
      <c r="I545" s="109">
        <v>15</v>
      </c>
      <c r="J545" s="110">
        <v>1266.3</v>
      </c>
      <c r="K545" t="str">
        <f t="shared" si="8"/>
        <v>Kamis</v>
      </c>
    </row>
    <row r="546" spans="1:11" x14ac:dyDescent="0.25">
      <c r="A546" s="207" t="s">
        <v>601</v>
      </c>
      <c r="B546" s="112">
        <v>45990</v>
      </c>
      <c r="C546" s="109" t="s">
        <v>30</v>
      </c>
      <c r="D546" s="109" t="s">
        <v>35</v>
      </c>
      <c r="E546" s="109" t="s">
        <v>45</v>
      </c>
      <c r="F546" s="109" t="s">
        <v>28</v>
      </c>
      <c r="G546" s="109" t="s">
        <v>36</v>
      </c>
      <c r="H546" s="110">
        <v>129.12</v>
      </c>
      <c r="I546" s="109">
        <v>10</v>
      </c>
      <c r="J546" s="110">
        <v>1291.2</v>
      </c>
      <c r="K546" t="str">
        <f t="shared" si="8"/>
        <v>Sabtu</v>
      </c>
    </row>
    <row r="547" spans="1:11" x14ac:dyDescent="0.25">
      <c r="A547" s="207" t="s">
        <v>602</v>
      </c>
      <c r="B547" s="112">
        <v>45786</v>
      </c>
      <c r="C547" s="109" t="s">
        <v>34</v>
      </c>
      <c r="D547" s="109" t="s">
        <v>12</v>
      </c>
      <c r="E547" s="109" t="s">
        <v>27</v>
      </c>
      <c r="F547" s="109" t="s">
        <v>14</v>
      </c>
      <c r="G547" s="109" t="s">
        <v>15</v>
      </c>
      <c r="H547" s="110">
        <v>58.42</v>
      </c>
      <c r="I547" s="109">
        <v>3</v>
      </c>
      <c r="J547" s="110">
        <v>175.26</v>
      </c>
      <c r="K547" t="str">
        <f t="shared" si="8"/>
        <v>Jumat</v>
      </c>
    </row>
    <row r="548" spans="1:11" x14ac:dyDescent="0.25">
      <c r="A548" s="207" t="s">
        <v>603</v>
      </c>
      <c r="B548" s="112">
        <v>45860</v>
      </c>
      <c r="C548" s="109" t="s">
        <v>17</v>
      </c>
      <c r="D548" s="109" t="s">
        <v>12</v>
      </c>
      <c r="E548" s="109" t="s">
        <v>23</v>
      </c>
      <c r="F548" s="109" t="s">
        <v>61</v>
      </c>
      <c r="G548" s="109" t="s">
        <v>20</v>
      </c>
      <c r="H548" s="110">
        <v>239.89</v>
      </c>
      <c r="I548" s="109">
        <v>10</v>
      </c>
      <c r="J548" s="110">
        <v>2398.9</v>
      </c>
      <c r="K548" t="str">
        <f t="shared" si="8"/>
        <v>Selasa</v>
      </c>
    </row>
    <row r="549" spans="1:11" x14ac:dyDescent="0.25">
      <c r="A549" s="207" t="s">
        <v>604</v>
      </c>
      <c r="B549" s="112">
        <v>45704</v>
      </c>
      <c r="C549" s="109" t="s">
        <v>11</v>
      </c>
      <c r="D549" s="109" t="s">
        <v>26</v>
      </c>
      <c r="E549" s="109" t="s">
        <v>41</v>
      </c>
      <c r="F549" s="109" t="s">
        <v>19</v>
      </c>
      <c r="G549" s="109" t="s">
        <v>15</v>
      </c>
      <c r="H549" s="110">
        <v>163.36000000000001</v>
      </c>
      <c r="I549" s="109">
        <v>4</v>
      </c>
      <c r="J549" s="110">
        <v>653.44000000000005</v>
      </c>
      <c r="K549" t="str">
        <f t="shared" si="8"/>
        <v>Minggu</v>
      </c>
    </row>
    <row r="550" spans="1:11" x14ac:dyDescent="0.25">
      <c r="A550" s="207" t="s">
        <v>605</v>
      </c>
      <c r="B550" s="112">
        <v>45961</v>
      </c>
      <c r="C550" s="109" t="s">
        <v>25</v>
      </c>
      <c r="D550" s="109" t="s">
        <v>12</v>
      </c>
      <c r="E550" s="109" t="s">
        <v>41</v>
      </c>
      <c r="F550" s="109" t="s">
        <v>19</v>
      </c>
      <c r="G550" s="109" t="s">
        <v>15</v>
      </c>
      <c r="H550" s="110">
        <v>80.3</v>
      </c>
      <c r="I550" s="109">
        <v>8</v>
      </c>
      <c r="J550" s="110">
        <v>642.4</v>
      </c>
      <c r="K550" t="str">
        <f t="shared" si="8"/>
        <v>Jumat</v>
      </c>
    </row>
    <row r="551" spans="1:11" x14ac:dyDescent="0.25">
      <c r="A551" s="207" t="s">
        <v>606</v>
      </c>
      <c r="B551" s="112">
        <v>46014</v>
      </c>
      <c r="C551" s="109" t="s">
        <v>11</v>
      </c>
      <c r="D551" s="109" t="s">
        <v>31</v>
      </c>
      <c r="E551" s="109" t="s">
        <v>27</v>
      </c>
      <c r="F551" s="109" t="s">
        <v>14</v>
      </c>
      <c r="G551" s="109" t="s">
        <v>36</v>
      </c>
      <c r="H551" s="110">
        <v>177.77</v>
      </c>
      <c r="I551" s="109">
        <v>11</v>
      </c>
      <c r="J551" s="110">
        <v>1955.47</v>
      </c>
      <c r="K551" t="str">
        <f t="shared" si="8"/>
        <v>Selasa</v>
      </c>
    </row>
    <row r="552" spans="1:11" x14ac:dyDescent="0.25">
      <c r="A552" s="207" t="s">
        <v>607</v>
      </c>
      <c r="B552" s="112">
        <v>45694</v>
      </c>
      <c r="C552" s="109" t="s">
        <v>38</v>
      </c>
      <c r="D552" s="109" t="s">
        <v>22</v>
      </c>
      <c r="E552" s="109" t="s">
        <v>27</v>
      </c>
      <c r="F552" s="109" t="s">
        <v>39</v>
      </c>
      <c r="G552" s="109" t="s">
        <v>15</v>
      </c>
      <c r="H552" s="110">
        <v>165.99</v>
      </c>
      <c r="I552" s="109">
        <v>8</v>
      </c>
      <c r="J552" s="110">
        <v>1327.92</v>
      </c>
      <c r="K552" t="str">
        <f t="shared" si="8"/>
        <v>Kamis</v>
      </c>
    </row>
    <row r="553" spans="1:11" x14ac:dyDescent="0.25">
      <c r="A553" s="207" t="s">
        <v>608</v>
      </c>
      <c r="B553" s="112">
        <v>45710</v>
      </c>
      <c r="C553" s="109" t="s">
        <v>34</v>
      </c>
      <c r="D553" s="109" t="s">
        <v>35</v>
      </c>
      <c r="E553" s="109" t="s">
        <v>23</v>
      </c>
      <c r="F553" s="109" t="s">
        <v>61</v>
      </c>
      <c r="G553" s="109" t="s">
        <v>15</v>
      </c>
      <c r="H553" s="110">
        <v>108.8</v>
      </c>
      <c r="I553" s="109">
        <v>11</v>
      </c>
      <c r="J553" s="110">
        <v>1196.8</v>
      </c>
      <c r="K553" t="str">
        <f t="shared" si="8"/>
        <v>Sabtu</v>
      </c>
    </row>
    <row r="554" spans="1:11" x14ac:dyDescent="0.25">
      <c r="A554" s="207" t="s">
        <v>609</v>
      </c>
      <c r="B554" s="112">
        <v>45986</v>
      </c>
      <c r="C554" s="109" t="s">
        <v>11</v>
      </c>
      <c r="D554" s="109" t="s">
        <v>55</v>
      </c>
      <c r="E554" s="109" t="s">
        <v>18</v>
      </c>
      <c r="F554" s="109" t="s">
        <v>19</v>
      </c>
      <c r="G554" s="109" t="s">
        <v>20</v>
      </c>
      <c r="H554" s="110">
        <v>54.98</v>
      </c>
      <c r="I554" s="109">
        <v>5</v>
      </c>
      <c r="J554" s="110">
        <v>274.89999999999998</v>
      </c>
      <c r="K554" t="str">
        <f t="shared" si="8"/>
        <v>Selasa</v>
      </c>
    </row>
    <row r="555" spans="1:11" x14ac:dyDescent="0.25">
      <c r="A555" s="207" t="s">
        <v>610</v>
      </c>
      <c r="B555" s="112">
        <v>45990</v>
      </c>
      <c r="C555" s="109" t="s">
        <v>38</v>
      </c>
      <c r="D555" s="109" t="s">
        <v>35</v>
      </c>
      <c r="E555" s="109" t="s">
        <v>27</v>
      </c>
      <c r="F555" s="109" t="s">
        <v>14</v>
      </c>
      <c r="G555" s="109" t="s">
        <v>20</v>
      </c>
      <c r="H555" s="110">
        <v>177.75</v>
      </c>
      <c r="I555" s="109">
        <v>6</v>
      </c>
      <c r="J555" s="110">
        <v>1066.5</v>
      </c>
      <c r="K555" t="str">
        <f t="shared" si="8"/>
        <v>Sabtu</v>
      </c>
    </row>
    <row r="556" spans="1:11" x14ac:dyDescent="0.25">
      <c r="A556" s="207" t="s">
        <v>611</v>
      </c>
      <c r="B556" s="112">
        <v>45735</v>
      </c>
      <c r="C556" s="109" t="s">
        <v>25</v>
      </c>
      <c r="D556" s="109" t="s">
        <v>12</v>
      </c>
      <c r="E556" s="109" t="s">
        <v>41</v>
      </c>
      <c r="F556" s="109" t="s">
        <v>39</v>
      </c>
      <c r="G556" s="109" t="s">
        <v>15</v>
      </c>
      <c r="H556" s="110">
        <v>144.47</v>
      </c>
      <c r="I556" s="109">
        <v>14</v>
      </c>
      <c r="J556" s="110">
        <v>2022.58</v>
      </c>
      <c r="K556" t="str">
        <f t="shared" si="8"/>
        <v>Rabu</v>
      </c>
    </row>
    <row r="557" spans="1:11" x14ac:dyDescent="0.25">
      <c r="A557" s="207" t="s">
        <v>612</v>
      </c>
      <c r="B557" s="112">
        <v>45702</v>
      </c>
      <c r="C557" s="109" t="s">
        <v>30</v>
      </c>
      <c r="D557" s="109" t="s">
        <v>22</v>
      </c>
      <c r="E557" s="109" t="s">
        <v>18</v>
      </c>
      <c r="F557" s="109" t="s">
        <v>28</v>
      </c>
      <c r="G557" s="109" t="s">
        <v>36</v>
      </c>
      <c r="H557" s="110">
        <v>199.91</v>
      </c>
      <c r="I557" s="109">
        <v>4</v>
      </c>
      <c r="J557" s="110">
        <v>799.64</v>
      </c>
      <c r="K557" t="str">
        <f t="shared" si="8"/>
        <v>Jumat</v>
      </c>
    </row>
    <row r="558" spans="1:11" x14ac:dyDescent="0.25">
      <c r="A558" s="207" t="s">
        <v>613</v>
      </c>
      <c r="B558" s="112">
        <v>45837</v>
      </c>
      <c r="C558" s="109" t="s">
        <v>34</v>
      </c>
      <c r="D558" s="109" t="s">
        <v>26</v>
      </c>
      <c r="E558" s="109" t="s">
        <v>23</v>
      </c>
      <c r="F558" s="109" t="s">
        <v>32</v>
      </c>
      <c r="G558" s="109" t="s">
        <v>20</v>
      </c>
      <c r="H558" s="110">
        <v>144.44</v>
      </c>
      <c r="I558" s="109">
        <v>14</v>
      </c>
      <c r="J558" s="110">
        <v>2022.16</v>
      </c>
      <c r="K558" t="str">
        <f t="shared" si="8"/>
        <v>Minggu</v>
      </c>
    </row>
    <row r="559" spans="1:11" x14ac:dyDescent="0.25">
      <c r="A559" s="207" t="s">
        <v>614</v>
      </c>
      <c r="B559" s="112">
        <v>45701</v>
      </c>
      <c r="C559" s="109" t="s">
        <v>25</v>
      </c>
      <c r="D559" s="109" t="s">
        <v>55</v>
      </c>
      <c r="E559" s="109" t="s">
        <v>18</v>
      </c>
      <c r="F559" s="109" t="s">
        <v>28</v>
      </c>
      <c r="G559" s="109" t="s">
        <v>20</v>
      </c>
      <c r="H559" s="110">
        <v>217.48</v>
      </c>
      <c r="I559" s="109">
        <v>8</v>
      </c>
      <c r="J559" s="110">
        <v>1739.84</v>
      </c>
      <c r="K559" t="str">
        <f t="shared" si="8"/>
        <v>Kamis</v>
      </c>
    </row>
    <row r="560" spans="1:11" x14ac:dyDescent="0.25">
      <c r="A560" s="207" t="s">
        <v>615</v>
      </c>
      <c r="B560" s="112">
        <v>45803</v>
      </c>
      <c r="C560" s="109" t="s">
        <v>17</v>
      </c>
      <c r="D560" s="109" t="s">
        <v>35</v>
      </c>
      <c r="E560" s="109" t="s">
        <v>23</v>
      </c>
      <c r="F560" s="109" t="s">
        <v>42</v>
      </c>
      <c r="G560" s="109" t="s">
        <v>20</v>
      </c>
      <c r="H560" s="110">
        <v>151.41999999999999</v>
      </c>
      <c r="I560" s="109">
        <v>1</v>
      </c>
      <c r="J560" s="110">
        <v>151.41999999999999</v>
      </c>
      <c r="K560" t="str">
        <f t="shared" si="8"/>
        <v>Senin</v>
      </c>
    </row>
    <row r="561" spans="1:11" x14ac:dyDescent="0.25">
      <c r="A561" s="207" t="s">
        <v>616</v>
      </c>
      <c r="B561" s="112">
        <v>45918</v>
      </c>
      <c r="C561" s="109" t="s">
        <v>17</v>
      </c>
      <c r="D561" s="109" t="s">
        <v>31</v>
      </c>
      <c r="E561" s="109" t="s">
        <v>13</v>
      </c>
      <c r="F561" s="109" t="s">
        <v>28</v>
      </c>
      <c r="G561" s="109" t="s">
        <v>15</v>
      </c>
      <c r="H561" s="110">
        <v>153.41</v>
      </c>
      <c r="I561" s="109">
        <v>7</v>
      </c>
      <c r="J561" s="110">
        <v>1073.8699999999999</v>
      </c>
      <c r="K561" t="str">
        <f t="shared" si="8"/>
        <v>Kamis</v>
      </c>
    </row>
    <row r="562" spans="1:11" x14ac:dyDescent="0.25">
      <c r="A562" s="207" t="s">
        <v>617</v>
      </c>
      <c r="B562" s="112">
        <v>45780</v>
      </c>
      <c r="C562" s="109" t="s">
        <v>38</v>
      </c>
      <c r="D562" s="109" t="s">
        <v>22</v>
      </c>
      <c r="E562" s="109" t="s">
        <v>23</v>
      </c>
      <c r="F562" s="109" t="s">
        <v>61</v>
      </c>
      <c r="G562" s="109" t="s">
        <v>20</v>
      </c>
      <c r="H562" s="110">
        <v>222.86</v>
      </c>
      <c r="I562" s="109">
        <v>16</v>
      </c>
      <c r="J562" s="110">
        <v>3565.76</v>
      </c>
      <c r="K562" t="str">
        <f t="shared" si="8"/>
        <v>Sabtu</v>
      </c>
    </row>
    <row r="563" spans="1:11" x14ac:dyDescent="0.25">
      <c r="A563" s="207" t="s">
        <v>618</v>
      </c>
      <c r="B563" s="112">
        <v>45962</v>
      </c>
      <c r="C563" s="109" t="s">
        <v>25</v>
      </c>
      <c r="D563" s="109" t="s">
        <v>22</v>
      </c>
      <c r="E563" s="109" t="s">
        <v>13</v>
      </c>
      <c r="F563" s="109" t="s">
        <v>32</v>
      </c>
      <c r="G563" s="109" t="s">
        <v>15</v>
      </c>
      <c r="H563" s="110">
        <v>118.77</v>
      </c>
      <c r="I563" s="109">
        <v>3</v>
      </c>
      <c r="J563" s="110">
        <v>356.31</v>
      </c>
      <c r="K563" t="str">
        <f t="shared" si="8"/>
        <v>Sabtu</v>
      </c>
    </row>
    <row r="564" spans="1:11" x14ac:dyDescent="0.25">
      <c r="A564" s="207" t="s">
        <v>619</v>
      </c>
      <c r="B564" s="112">
        <v>45856</v>
      </c>
      <c r="C564" s="109" t="s">
        <v>38</v>
      </c>
      <c r="D564" s="109" t="s">
        <v>35</v>
      </c>
      <c r="E564" s="109" t="s">
        <v>18</v>
      </c>
      <c r="F564" s="109" t="s">
        <v>28</v>
      </c>
      <c r="G564" s="109" t="s">
        <v>15</v>
      </c>
      <c r="H564" s="110">
        <v>59.48</v>
      </c>
      <c r="I564" s="109">
        <v>19</v>
      </c>
      <c r="J564" s="110">
        <v>1130.1199999999999</v>
      </c>
      <c r="K564" t="str">
        <f t="shared" si="8"/>
        <v>Jumat</v>
      </c>
    </row>
    <row r="565" spans="1:11" x14ac:dyDescent="0.25">
      <c r="A565" s="207" t="s">
        <v>620</v>
      </c>
      <c r="B565" s="112">
        <v>45899</v>
      </c>
      <c r="C565" s="109" t="s">
        <v>11</v>
      </c>
      <c r="D565" s="109" t="s">
        <v>55</v>
      </c>
      <c r="E565" s="109" t="s">
        <v>45</v>
      </c>
      <c r="F565" s="109" t="s">
        <v>19</v>
      </c>
      <c r="G565" s="109" t="s">
        <v>36</v>
      </c>
      <c r="H565" s="110">
        <v>36.33</v>
      </c>
      <c r="I565" s="109">
        <v>3</v>
      </c>
      <c r="J565" s="110">
        <v>108.99</v>
      </c>
      <c r="K565" t="str">
        <f t="shared" si="8"/>
        <v>Sabtu</v>
      </c>
    </row>
    <row r="566" spans="1:11" x14ac:dyDescent="0.25">
      <c r="A566" s="207" t="s">
        <v>621</v>
      </c>
      <c r="B566" s="112">
        <v>45768</v>
      </c>
      <c r="C566" s="109" t="s">
        <v>11</v>
      </c>
      <c r="D566" s="109" t="s">
        <v>31</v>
      </c>
      <c r="E566" s="109" t="s">
        <v>18</v>
      </c>
      <c r="F566" s="109" t="s">
        <v>32</v>
      </c>
      <c r="G566" s="109" t="s">
        <v>20</v>
      </c>
      <c r="H566" s="110">
        <v>196.13</v>
      </c>
      <c r="I566" s="109">
        <v>2</v>
      </c>
      <c r="J566" s="110">
        <v>392.26</v>
      </c>
      <c r="K566" t="str">
        <f t="shared" si="8"/>
        <v>Senin</v>
      </c>
    </row>
    <row r="567" spans="1:11" x14ac:dyDescent="0.25">
      <c r="A567" s="207" t="s">
        <v>622</v>
      </c>
      <c r="B567" s="112">
        <v>46022</v>
      </c>
      <c r="C567" s="109" t="s">
        <v>38</v>
      </c>
      <c r="D567" s="109" t="s">
        <v>31</v>
      </c>
      <c r="E567" s="109" t="s">
        <v>27</v>
      </c>
      <c r="F567" s="109" t="s">
        <v>61</v>
      </c>
      <c r="G567" s="109" t="s">
        <v>15</v>
      </c>
      <c r="H567" s="110">
        <v>166.47</v>
      </c>
      <c r="I567" s="109">
        <v>17</v>
      </c>
      <c r="J567" s="110">
        <v>2829.99</v>
      </c>
      <c r="K567" t="str">
        <f t="shared" si="8"/>
        <v>Rabu</v>
      </c>
    </row>
    <row r="568" spans="1:11" x14ac:dyDescent="0.25">
      <c r="A568" s="207" t="s">
        <v>623</v>
      </c>
      <c r="B568" s="112">
        <v>45985</v>
      </c>
      <c r="C568" s="109" t="s">
        <v>25</v>
      </c>
      <c r="D568" s="109" t="s">
        <v>55</v>
      </c>
      <c r="E568" s="109" t="s">
        <v>23</v>
      </c>
      <c r="F568" s="109" t="s">
        <v>32</v>
      </c>
      <c r="G568" s="109" t="s">
        <v>15</v>
      </c>
      <c r="H568" s="110">
        <v>184.9</v>
      </c>
      <c r="I568" s="109">
        <v>18</v>
      </c>
      <c r="J568" s="110">
        <v>3328.2</v>
      </c>
      <c r="K568" t="str">
        <f t="shared" si="8"/>
        <v>Senin</v>
      </c>
    </row>
    <row r="569" spans="1:11" x14ac:dyDescent="0.25">
      <c r="A569" s="207" t="s">
        <v>624</v>
      </c>
      <c r="B569" s="112">
        <v>45816</v>
      </c>
      <c r="C569" s="109" t="s">
        <v>25</v>
      </c>
      <c r="D569" s="109" t="s">
        <v>26</v>
      </c>
      <c r="E569" s="109" t="s">
        <v>23</v>
      </c>
      <c r="F569" s="109" t="s">
        <v>42</v>
      </c>
      <c r="G569" s="109" t="s">
        <v>36</v>
      </c>
      <c r="H569" s="110">
        <v>76.849999999999994</v>
      </c>
      <c r="I569" s="109">
        <v>3</v>
      </c>
      <c r="J569" s="110">
        <v>230.55</v>
      </c>
      <c r="K569" t="str">
        <f t="shared" si="8"/>
        <v>Minggu</v>
      </c>
    </row>
    <row r="570" spans="1:11" x14ac:dyDescent="0.25">
      <c r="A570" s="207" t="s">
        <v>625</v>
      </c>
      <c r="B570" s="112">
        <v>45858</v>
      </c>
      <c r="C570" s="109" t="s">
        <v>17</v>
      </c>
      <c r="D570" s="109" t="s">
        <v>12</v>
      </c>
      <c r="E570" s="109" t="s">
        <v>27</v>
      </c>
      <c r="F570" s="109" t="s">
        <v>28</v>
      </c>
      <c r="G570" s="109" t="s">
        <v>15</v>
      </c>
      <c r="H570" s="110">
        <v>60</v>
      </c>
      <c r="I570" s="109">
        <v>19</v>
      </c>
      <c r="J570" s="110">
        <v>1140</v>
      </c>
      <c r="K570" t="str">
        <f t="shared" si="8"/>
        <v>Minggu</v>
      </c>
    </row>
    <row r="571" spans="1:11" x14ac:dyDescent="0.25">
      <c r="A571" s="207" t="s">
        <v>626</v>
      </c>
      <c r="B571" s="112">
        <v>45816</v>
      </c>
      <c r="C571" s="109" t="s">
        <v>17</v>
      </c>
      <c r="D571" s="109" t="s">
        <v>26</v>
      </c>
      <c r="E571" s="109" t="s">
        <v>45</v>
      </c>
      <c r="F571" s="109" t="s">
        <v>14</v>
      </c>
      <c r="G571" s="109" t="s">
        <v>15</v>
      </c>
      <c r="H571" s="110">
        <v>33.200000000000003</v>
      </c>
      <c r="I571" s="109">
        <v>14</v>
      </c>
      <c r="J571" s="110">
        <v>464.8</v>
      </c>
      <c r="K571" t="str">
        <f t="shared" si="8"/>
        <v>Minggu</v>
      </c>
    </row>
    <row r="572" spans="1:11" x14ac:dyDescent="0.25">
      <c r="A572" s="207" t="s">
        <v>627</v>
      </c>
      <c r="B572" s="112">
        <v>45880</v>
      </c>
      <c r="C572" s="109" t="s">
        <v>38</v>
      </c>
      <c r="D572" s="109" t="s">
        <v>55</v>
      </c>
      <c r="E572" s="109" t="s">
        <v>18</v>
      </c>
      <c r="F572" s="109" t="s">
        <v>19</v>
      </c>
      <c r="G572" s="109" t="s">
        <v>36</v>
      </c>
      <c r="H572" s="110">
        <v>107.13</v>
      </c>
      <c r="I572" s="109">
        <v>4</v>
      </c>
      <c r="J572" s="110">
        <v>428.52</v>
      </c>
      <c r="K572" t="str">
        <f t="shared" si="8"/>
        <v>Senin</v>
      </c>
    </row>
    <row r="573" spans="1:11" x14ac:dyDescent="0.25">
      <c r="A573" s="207" t="s">
        <v>628</v>
      </c>
      <c r="B573" s="112">
        <v>45999</v>
      </c>
      <c r="C573" s="109" t="s">
        <v>11</v>
      </c>
      <c r="D573" s="109" t="s">
        <v>22</v>
      </c>
      <c r="E573" s="109" t="s">
        <v>27</v>
      </c>
      <c r="F573" s="109" t="s">
        <v>14</v>
      </c>
      <c r="G573" s="109" t="s">
        <v>20</v>
      </c>
      <c r="H573" s="110">
        <v>159.78</v>
      </c>
      <c r="I573" s="109">
        <v>6</v>
      </c>
      <c r="J573" s="110">
        <v>958.68</v>
      </c>
      <c r="K573" t="str">
        <f t="shared" si="8"/>
        <v>Senin</v>
      </c>
    </row>
    <row r="574" spans="1:11" x14ac:dyDescent="0.25">
      <c r="A574" s="207" t="s">
        <v>629</v>
      </c>
      <c r="B574" s="112">
        <v>45663</v>
      </c>
      <c r="C574" s="109" t="s">
        <v>38</v>
      </c>
      <c r="D574" s="109" t="s">
        <v>35</v>
      </c>
      <c r="E574" s="109" t="s">
        <v>18</v>
      </c>
      <c r="F574" s="109" t="s">
        <v>42</v>
      </c>
      <c r="G574" s="109" t="s">
        <v>20</v>
      </c>
      <c r="H574" s="110">
        <v>116.29</v>
      </c>
      <c r="I574" s="109">
        <v>6</v>
      </c>
      <c r="J574" s="110">
        <v>697.74</v>
      </c>
      <c r="K574" t="str">
        <f t="shared" si="8"/>
        <v>Senin</v>
      </c>
    </row>
    <row r="575" spans="1:11" x14ac:dyDescent="0.25">
      <c r="A575" s="207" t="s">
        <v>630</v>
      </c>
      <c r="B575" s="112">
        <v>45790</v>
      </c>
      <c r="C575" s="109" t="s">
        <v>34</v>
      </c>
      <c r="D575" s="109" t="s">
        <v>26</v>
      </c>
      <c r="E575" s="109" t="s">
        <v>27</v>
      </c>
      <c r="F575" s="109" t="s">
        <v>39</v>
      </c>
      <c r="G575" s="109" t="s">
        <v>36</v>
      </c>
      <c r="H575" s="110">
        <v>126.24</v>
      </c>
      <c r="I575" s="109">
        <v>6</v>
      </c>
      <c r="J575" s="110">
        <v>757.44</v>
      </c>
      <c r="K575" t="str">
        <f t="shared" si="8"/>
        <v>Selasa</v>
      </c>
    </row>
    <row r="576" spans="1:11" x14ac:dyDescent="0.25">
      <c r="A576" s="207" t="s">
        <v>631</v>
      </c>
      <c r="B576" s="112">
        <v>45718</v>
      </c>
      <c r="C576" s="109" t="s">
        <v>34</v>
      </c>
      <c r="D576" s="109" t="s">
        <v>31</v>
      </c>
      <c r="E576" s="109" t="s">
        <v>13</v>
      </c>
      <c r="F576" s="109" t="s">
        <v>42</v>
      </c>
      <c r="G576" s="109" t="s">
        <v>15</v>
      </c>
      <c r="H576" s="110">
        <v>228.91</v>
      </c>
      <c r="I576" s="109">
        <v>1</v>
      </c>
      <c r="J576" s="110">
        <v>228.91</v>
      </c>
      <c r="K576" t="str">
        <f t="shared" si="8"/>
        <v>Minggu</v>
      </c>
    </row>
    <row r="577" spans="1:11" x14ac:dyDescent="0.25">
      <c r="A577" s="207" t="s">
        <v>632</v>
      </c>
      <c r="B577" s="112">
        <v>45792</v>
      </c>
      <c r="C577" s="109" t="s">
        <v>17</v>
      </c>
      <c r="D577" s="109" t="s">
        <v>22</v>
      </c>
      <c r="E577" s="109" t="s">
        <v>41</v>
      </c>
      <c r="F577" s="109" t="s">
        <v>61</v>
      </c>
      <c r="G577" s="109" t="s">
        <v>20</v>
      </c>
      <c r="H577" s="110">
        <v>106.62</v>
      </c>
      <c r="I577" s="109">
        <v>19</v>
      </c>
      <c r="J577" s="110">
        <v>2025.78</v>
      </c>
      <c r="K577" t="str">
        <f t="shared" si="8"/>
        <v>Kamis</v>
      </c>
    </row>
    <row r="578" spans="1:11" x14ac:dyDescent="0.25">
      <c r="A578" s="207" t="s">
        <v>633</v>
      </c>
      <c r="B578" s="112">
        <v>45842</v>
      </c>
      <c r="C578" s="109" t="s">
        <v>38</v>
      </c>
      <c r="D578" s="109" t="s">
        <v>55</v>
      </c>
      <c r="E578" s="109" t="s">
        <v>23</v>
      </c>
      <c r="F578" s="109" t="s">
        <v>32</v>
      </c>
      <c r="G578" s="109" t="s">
        <v>15</v>
      </c>
      <c r="H578" s="110">
        <v>143.08000000000001</v>
      </c>
      <c r="I578" s="109">
        <v>2</v>
      </c>
      <c r="J578" s="110">
        <v>286.16000000000003</v>
      </c>
      <c r="K578" t="str">
        <f t="shared" si="8"/>
        <v>Jumat</v>
      </c>
    </row>
    <row r="579" spans="1:11" x14ac:dyDescent="0.25">
      <c r="A579" s="207" t="s">
        <v>634</v>
      </c>
      <c r="B579" s="112">
        <v>45788</v>
      </c>
      <c r="C579" s="109" t="s">
        <v>25</v>
      </c>
      <c r="D579" s="109" t="s">
        <v>12</v>
      </c>
      <c r="E579" s="109" t="s">
        <v>27</v>
      </c>
      <c r="F579" s="109" t="s">
        <v>19</v>
      </c>
      <c r="G579" s="109" t="s">
        <v>15</v>
      </c>
      <c r="H579" s="110">
        <v>202.4</v>
      </c>
      <c r="I579" s="109">
        <v>4</v>
      </c>
      <c r="J579" s="110">
        <v>809.6</v>
      </c>
      <c r="K579" t="str">
        <f t="shared" ref="K579:K642" si="9">TEXT(B579,"dddd")</f>
        <v>Minggu</v>
      </c>
    </row>
    <row r="580" spans="1:11" x14ac:dyDescent="0.25">
      <c r="A580" s="207" t="s">
        <v>635</v>
      </c>
      <c r="B580" s="112">
        <v>45918</v>
      </c>
      <c r="C580" s="109" t="s">
        <v>11</v>
      </c>
      <c r="D580" s="109" t="s">
        <v>22</v>
      </c>
      <c r="E580" s="109" t="s">
        <v>23</v>
      </c>
      <c r="F580" s="109" t="s">
        <v>19</v>
      </c>
      <c r="G580" s="109" t="s">
        <v>36</v>
      </c>
      <c r="H580" s="110">
        <v>117.24</v>
      </c>
      <c r="I580" s="109">
        <v>1</v>
      </c>
      <c r="J580" s="110">
        <v>117.24</v>
      </c>
      <c r="K580" t="str">
        <f t="shared" si="9"/>
        <v>Kamis</v>
      </c>
    </row>
    <row r="581" spans="1:11" x14ac:dyDescent="0.25">
      <c r="A581" s="207" t="s">
        <v>636</v>
      </c>
      <c r="B581" s="112">
        <v>45844</v>
      </c>
      <c r="C581" s="109" t="s">
        <v>30</v>
      </c>
      <c r="D581" s="109" t="s">
        <v>26</v>
      </c>
      <c r="E581" s="109" t="s">
        <v>45</v>
      </c>
      <c r="F581" s="109" t="s">
        <v>42</v>
      </c>
      <c r="G581" s="109" t="s">
        <v>20</v>
      </c>
      <c r="H581" s="110">
        <v>166.86</v>
      </c>
      <c r="I581" s="109">
        <v>13</v>
      </c>
      <c r="J581" s="110">
        <v>2169.1799999999998</v>
      </c>
      <c r="K581" t="str">
        <f t="shared" si="9"/>
        <v>Minggu</v>
      </c>
    </row>
    <row r="582" spans="1:11" x14ac:dyDescent="0.25">
      <c r="A582" s="207" t="s">
        <v>637</v>
      </c>
      <c r="B582" s="112">
        <v>45993</v>
      </c>
      <c r="C582" s="109" t="s">
        <v>30</v>
      </c>
      <c r="D582" s="109" t="s">
        <v>35</v>
      </c>
      <c r="E582" s="109" t="s">
        <v>23</v>
      </c>
      <c r="F582" s="109" t="s">
        <v>61</v>
      </c>
      <c r="G582" s="109" t="s">
        <v>20</v>
      </c>
      <c r="H582" s="110">
        <v>219.72</v>
      </c>
      <c r="I582" s="109">
        <v>14</v>
      </c>
      <c r="J582" s="110">
        <v>3076.08</v>
      </c>
      <c r="K582" t="str">
        <f t="shared" si="9"/>
        <v>Selasa</v>
      </c>
    </row>
    <row r="583" spans="1:11" x14ac:dyDescent="0.25">
      <c r="A583" s="207" t="s">
        <v>638</v>
      </c>
      <c r="B583" s="112">
        <v>45821</v>
      </c>
      <c r="C583" s="109" t="s">
        <v>11</v>
      </c>
      <c r="D583" s="109" t="s">
        <v>55</v>
      </c>
      <c r="E583" s="109" t="s">
        <v>13</v>
      </c>
      <c r="F583" s="109" t="s">
        <v>19</v>
      </c>
      <c r="G583" s="109" t="s">
        <v>20</v>
      </c>
      <c r="H583" s="110">
        <v>238.89</v>
      </c>
      <c r="I583" s="109">
        <v>9</v>
      </c>
      <c r="J583" s="110">
        <v>2150.0100000000002</v>
      </c>
      <c r="K583" t="str">
        <f t="shared" si="9"/>
        <v>Jumat</v>
      </c>
    </row>
    <row r="584" spans="1:11" x14ac:dyDescent="0.25">
      <c r="A584" s="207" t="s">
        <v>639</v>
      </c>
      <c r="B584" s="112">
        <v>46002</v>
      </c>
      <c r="C584" s="109" t="s">
        <v>30</v>
      </c>
      <c r="D584" s="109" t="s">
        <v>26</v>
      </c>
      <c r="E584" s="109" t="s">
        <v>18</v>
      </c>
      <c r="F584" s="109" t="s">
        <v>19</v>
      </c>
      <c r="G584" s="109" t="s">
        <v>36</v>
      </c>
      <c r="H584" s="110">
        <v>62.36</v>
      </c>
      <c r="I584" s="109">
        <v>2</v>
      </c>
      <c r="J584" s="110">
        <v>124.72</v>
      </c>
      <c r="K584" t="str">
        <f t="shared" si="9"/>
        <v>Kamis</v>
      </c>
    </row>
    <row r="585" spans="1:11" x14ac:dyDescent="0.25">
      <c r="A585" s="207" t="s">
        <v>640</v>
      </c>
      <c r="B585" s="112">
        <v>45693</v>
      </c>
      <c r="C585" s="109" t="s">
        <v>34</v>
      </c>
      <c r="D585" s="109" t="s">
        <v>35</v>
      </c>
      <c r="E585" s="109" t="s">
        <v>13</v>
      </c>
      <c r="F585" s="109" t="s">
        <v>19</v>
      </c>
      <c r="G585" s="109" t="s">
        <v>20</v>
      </c>
      <c r="H585" s="110">
        <v>233.85</v>
      </c>
      <c r="I585" s="109">
        <v>15</v>
      </c>
      <c r="J585" s="110">
        <v>3507.75</v>
      </c>
      <c r="K585" t="str">
        <f t="shared" si="9"/>
        <v>Rabu</v>
      </c>
    </row>
    <row r="586" spans="1:11" x14ac:dyDescent="0.25">
      <c r="A586" s="207" t="s">
        <v>641</v>
      </c>
      <c r="B586" s="112">
        <v>45891</v>
      </c>
      <c r="C586" s="109" t="s">
        <v>34</v>
      </c>
      <c r="D586" s="109" t="s">
        <v>26</v>
      </c>
      <c r="E586" s="109" t="s">
        <v>13</v>
      </c>
      <c r="F586" s="109" t="s">
        <v>42</v>
      </c>
      <c r="G586" s="109" t="s">
        <v>36</v>
      </c>
      <c r="H586" s="110">
        <v>138.27000000000001</v>
      </c>
      <c r="I586" s="109">
        <v>1</v>
      </c>
      <c r="J586" s="110">
        <v>138.27000000000001</v>
      </c>
      <c r="K586" t="str">
        <f t="shared" si="9"/>
        <v>Jumat</v>
      </c>
    </row>
    <row r="587" spans="1:11" x14ac:dyDescent="0.25">
      <c r="A587" s="207" t="s">
        <v>642</v>
      </c>
      <c r="B587" s="112">
        <v>45976</v>
      </c>
      <c r="C587" s="109" t="s">
        <v>38</v>
      </c>
      <c r="D587" s="109" t="s">
        <v>35</v>
      </c>
      <c r="E587" s="109" t="s">
        <v>18</v>
      </c>
      <c r="F587" s="109" t="s">
        <v>61</v>
      </c>
      <c r="G587" s="109" t="s">
        <v>15</v>
      </c>
      <c r="H587" s="110">
        <v>86.81</v>
      </c>
      <c r="I587" s="109">
        <v>8</v>
      </c>
      <c r="J587" s="110">
        <v>694.48</v>
      </c>
      <c r="K587" t="str">
        <f t="shared" si="9"/>
        <v>Sabtu</v>
      </c>
    </row>
    <row r="588" spans="1:11" x14ac:dyDescent="0.25">
      <c r="A588" s="207" t="s">
        <v>643</v>
      </c>
      <c r="B588" s="112">
        <v>45937</v>
      </c>
      <c r="C588" s="109" t="s">
        <v>30</v>
      </c>
      <c r="D588" s="109" t="s">
        <v>22</v>
      </c>
      <c r="E588" s="109" t="s">
        <v>41</v>
      </c>
      <c r="F588" s="109" t="s">
        <v>19</v>
      </c>
      <c r="G588" s="109" t="s">
        <v>15</v>
      </c>
      <c r="H588" s="110">
        <v>131.01</v>
      </c>
      <c r="I588" s="109">
        <v>8</v>
      </c>
      <c r="J588" s="110">
        <v>1048.08</v>
      </c>
      <c r="K588" t="str">
        <f t="shared" si="9"/>
        <v>Selasa</v>
      </c>
    </row>
    <row r="589" spans="1:11" x14ac:dyDescent="0.25">
      <c r="A589" s="207" t="s">
        <v>644</v>
      </c>
      <c r="B589" s="112">
        <v>45935</v>
      </c>
      <c r="C589" s="109" t="s">
        <v>17</v>
      </c>
      <c r="D589" s="109" t="s">
        <v>12</v>
      </c>
      <c r="E589" s="109" t="s">
        <v>45</v>
      </c>
      <c r="F589" s="109" t="s">
        <v>32</v>
      </c>
      <c r="G589" s="109" t="s">
        <v>15</v>
      </c>
      <c r="H589" s="110">
        <v>245.61</v>
      </c>
      <c r="I589" s="109">
        <v>12</v>
      </c>
      <c r="J589" s="110">
        <v>2947.32</v>
      </c>
      <c r="K589" t="str">
        <f t="shared" si="9"/>
        <v>Minggu</v>
      </c>
    </row>
    <row r="590" spans="1:11" x14ac:dyDescent="0.25">
      <c r="A590" s="207" t="s">
        <v>645</v>
      </c>
      <c r="B590" s="112">
        <v>45994</v>
      </c>
      <c r="C590" s="109" t="s">
        <v>17</v>
      </c>
      <c r="D590" s="109" t="s">
        <v>12</v>
      </c>
      <c r="E590" s="109" t="s">
        <v>13</v>
      </c>
      <c r="F590" s="109" t="s">
        <v>19</v>
      </c>
      <c r="G590" s="109" t="s">
        <v>15</v>
      </c>
      <c r="H590" s="110">
        <v>138.38</v>
      </c>
      <c r="I590" s="109">
        <v>13</v>
      </c>
      <c r="J590" s="110">
        <v>1798.94</v>
      </c>
      <c r="K590" t="str">
        <f t="shared" si="9"/>
        <v>Rabu</v>
      </c>
    </row>
    <row r="591" spans="1:11" x14ac:dyDescent="0.25">
      <c r="A591" s="207" t="s">
        <v>646</v>
      </c>
      <c r="B591" s="112">
        <v>45929</v>
      </c>
      <c r="C591" s="109" t="s">
        <v>38</v>
      </c>
      <c r="D591" s="109" t="s">
        <v>31</v>
      </c>
      <c r="E591" s="109" t="s">
        <v>45</v>
      </c>
      <c r="F591" s="109" t="s">
        <v>14</v>
      </c>
      <c r="G591" s="109" t="s">
        <v>20</v>
      </c>
      <c r="H591" s="110">
        <v>102.33</v>
      </c>
      <c r="I591" s="109">
        <v>8</v>
      </c>
      <c r="J591" s="110">
        <v>818.64</v>
      </c>
      <c r="K591" t="str">
        <f t="shared" si="9"/>
        <v>Senin</v>
      </c>
    </row>
    <row r="592" spans="1:11" x14ac:dyDescent="0.25">
      <c r="A592" s="207" t="s">
        <v>647</v>
      </c>
      <c r="B592" s="112">
        <v>45801</v>
      </c>
      <c r="C592" s="109" t="s">
        <v>11</v>
      </c>
      <c r="D592" s="109" t="s">
        <v>26</v>
      </c>
      <c r="E592" s="109" t="s">
        <v>18</v>
      </c>
      <c r="F592" s="109" t="s">
        <v>61</v>
      </c>
      <c r="G592" s="109" t="s">
        <v>20</v>
      </c>
      <c r="H592" s="110">
        <v>169.35</v>
      </c>
      <c r="I592" s="109">
        <v>3</v>
      </c>
      <c r="J592" s="110">
        <v>508.05</v>
      </c>
      <c r="K592" t="str">
        <f t="shared" si="9"/>
        <v>Sabtu</v>
      </c>
    </row>
    <row r="593" spans="1:11" x14ac:dyDescent="0.25">
      <c r="A593" s="207" t="s">
        <v>648</v>
      </c>
      <c r="B593" s="112">
        <v>45848</v>
      </c>
      <c r="C593" s="109" t="s">
        <v>17</v>
      </c>
      <c r="D593" s="109" t="s">
        <v>22</v>
      </c>
      <c r="E593" s="109" t="s">
        <v>18</v>
      </c>
      <c r="F593" s="109" t="s">
        <v>19</v>
      </c>
      <c r="G593" s="109" t="s">
        <v>20</v>
      </c>
      <c r="H593" s="110">
        <v>82.83</v>
      </c>
      <c r="I593" s="109">
        <v>15</v>
      </c>
      <c r="J593" s="110">
        <v>1242.45</v>
      </c>
      <c r="K593" t="str">
        <f t="shared" si="9"/>
        <v>Kamis</v>
      </c>
    </row>
    <row r="594" spans="1:11" x14ac:dyDescent="0.25">
      <c r="A594" s="207" t="s">
        <v>649</v>
      </c>
      <c r="B594" s="112">
        <v>45726</v>
      </c>
      <c r="C594" s="109" t="s">
        <v>11</v>
      </c>
      <c r="D594" s="109" t="s">
        <v>55</v>
      </c>
      <c r="E594" s="109" t="s">
        <v>18</v>
      </c>
      <c r="F594" s="109" t="s">
        <v>19</v>
      </c>
      <c r="G594" s="109" t="s">
        <v>36</v>
      </c>
      <c r="H594" s="110">
        <v>46.69</v>
      </c>
      <c r="I594" s="109">
        <v>13</v>
      </c>
      <c r="J594" s="110">
        <v>606.97</v>
      </c>
      <c r="K594" t="str">
        <f t="shared" si="9"/>
        <v>Senin</v>
      </c>
    </row>
    <row r="595" spans="1:11" x14ac:dyDescent="0.25">
      <c r="A595" s="207" t="s">
        <v>650</v>
      </c>
      <c r="B595" s="112">
        <v>45997</v>
      </c>
      <c r="C595" s="109" t="s">
        <v>30</v>
      </c>
      <c r="D595" s="109" t="s">
        <v>35</v>
      </c>
      <c r="E595" s="109" t="s">
        <v>13</v>
      </c>
      <c r="F595" s="109" t="s">
        <v>39</v>
      </c>
      <c r="G595" s="109" t="s">
        <v>36</v>
      </c>
      <c r="H595" s="110">
        <v>58.35</v>
      </c>
      <c r="I595" s="109">
        <v>5</v>
      </c>
      <c r="J595" s="110">
        <v>291.75</v>
      </c>
      <c r="K595" t="str">
        <f t="shared" si="9"/>
        <v>Sabtu</v>
      </c>
    </row>
    <row r="596" spans="1:11" x14ac:dyDescent="0.25">
      <c r="A596" s="207" t="s">
        <v>651</v>
      </c>
      <c r="B596" s="112">
        <v>45859</v>
      </c>
      <c r="C596" s="109" t="s">
        <v>34</v>
      </c>
      <c r="D596" s="109" t="s">
        <v>31</v>
      </c>
      <c r="E596" s="109" t="s">
        <v>13</v>
      </c>
      <c r="F596" s="109" t="s">
        <v>14</v>
      </c>
      <c r="G596" s="109" t="s">
        <v>15</v>
      </c>
      <c r="H596" s="110">
        <v>58.17</v>
      </c>
      <c r="I596" s="109">
        <v>11</v>
      </c>
      <c r="J596" s="110">
        <v>639.87</v>
      </c>
      <c r="K596" t="str">
        <f t="shared" si="9"/>
        <v>Senin</v>
      </c>
    </row>
    <row r="597" spans="1:11" x14ac:dyDescent="0.25">
      <c r="A597" s="207" t="s">
        <v>652</v>
      </c>
      <c r="B597" s="112">
        <v>45761</v>
      </c>
      <c r="C597" s="109" t="s">
        <v>25</v>
      </c>
      <c r="D597" s="109" t="s">
        <v>22</v>
      </c>
      <c r="E597" s="109" t="s">
        <v>23</v>
      </c>
      <c r="F597" s="109" t="s">
        <v>19</v>
      </c>
      <c r="G597" s="109" t="s">
        <v>15</v>
      </c>
      <c r="H597" s="110">
        <v>63.42</v>
      </c>
      <c r="I597" s="109">
        <v>5</v>
      </c>
      <c r="J597" s="110">
        <v>317.10000000000002</v>
      </c>
      <c r="K597" t="str">
        <f t="shared" si="9"/>
        <v>Senin</v>
      </c>
    </row>
    <row r="598" spans="1:11" x14ac:dyDescent="0.25">
      <c r="A598" s="207" t="s">
        <v>653</v>
      </c>
      <c r="B598" s="112">
        <v>45888</v>
      </c>
      <c r="C598" s="109" t="s">
        <v>34</v>
      </c>
      <c r="D598" s="109" t="s">
        <v>31</v>
      </c>
      <c r="E598" s="109" t="s">
        <v>45</v>
      </c>
      <c r="F598" s="109" t="s">
        <v>42</v>
      </c>
      <c r="G598" s="109" t="s">
        <v>36</v>
      </c>
      <c r="H598" s="110">
        <v>60.54</v>
      </c>
      <c r="I598" s="109">
        <v>15</v>
      </c>
      <c r="J598" s="110">
        <v>908.1</v>
      </c>
      <c r="K598" t="str">
        <f t="shared" si="9"/>
        <v>Selasa</v>
      </c>
    </row>
    <row r="599" spans="1:11" x14ac:dyDescent="0.25">
      <c r="A599" s="207" t="s">
        <v>654</v>
      </c>
      <c r="B599" s="112">
        <v>45764</v>
      </c>
      <c r="C599" s="109" t="s">
        <v>34</v>
      </c>
      <c r="D599" s="109" t="s">
        <v>31</v>
      </c>
      <c r="E599" s="109" t="s">
        <v>13</v>
      </c>
      <c r="F599" s="109" t="s">
        <v>39</v>
      </c>
      <c r="G599" s="109" t="s">
        <v>15</v>
      </c>
      <c r="H599" s="110">
        <v>170.99</v>
      </c>
      <c r="I599" s="109">
        <v>15</v>
      </c>
      <c r="J599" s="110">
        <v>2564.85</v>
      </c>
      <c r="K599" t="str">
        <f t="shared" si="9"/>
        <v>Kamis</v>
      </c>
    </row>
    <row r="600" spans="1:11" x14ac:dyDescent="0.25">
      <c r="A600" s="207" t="s">
        <v>655</v>
      </c>
      <c r="B600" s="112">
        <v>45704</v>
      </c>
      <c r="C600" s="109" t="s">
        <v>17</v>
      </c>
      <c r="D600" s="109" t="s">
        <v>35</v>
      </c>
      <c r="E600" s="109" t="s">
        <v>27</v>
      </c>
      <c r="F600" s="109" t="s">
        <v>28</v>
      </c>
      <c r="G600" s="109" t="s">
        <v>20</v>
      </c>
      <c r="H600" s="110">
        <v>70.010000000000005</v>
      </c>
      <c r="I600" s="109">
        <v>6</v>
      </c>
      <c r="J600" s="110">
        <v>420.06</v>
      </c>
      <c r="K600" t="str">
        <f t="shared" si="9"/>
        <v>Minggu</v>
      </c>
    </row>
    <row r="601" spans="1:11" x14ac:dyDescent="0.25">
      <c r="A601" s="207" t="s">
        <v>656</v>
      </c>
      <c r="B601" s="112">
        <v>45678</v>
      </c>
      <c r="C601" s="109" t="s">
        <v>34</v>
      </c>
      <c r="D601" s="109" t="s">
        <v>26</v>
      </c>
      <c r="E601" s="109" t="s">
        <v>45</v>
      </c>
      <c r="F601" s="109" t="s">
        <v>28</v>
      </c>
      <c r="G601" s="109" t="s">
        <v>15</v>
      </c>
      <c r="H601" s="110">
        <v>106.05</v>
      </c>
      <c r="I601" s="109">
        <v>7</v>
      </c>
      <c r="J601" s="110">
        <v>742.35</v>
      </c>
      <c r="K601" t="str">
        <f t="shared" si="9"/>
        <v>Selasa</v>
      </c>
    </row>
    <row r="602" spans="1:11" x14ac:dyDescent="0.25">
      <c r="A602" s="207" t="s">
        <v>657</v>
      </c>
      <c r="B602" s="112">
        <v>45840</v>
      </c>
      <c r="C602" s="109" t="s">
        <v>25</v>
      </c>
      <c r="D602" s="109" t="s">
        <v>22</v>
      </c>
      <c r="E602" s="109" t="s">
        <v>27</v>
      </c>
      <c r="F602" s="109" t="s">
        <v>32</v>
      </c>
      <c r="G602" s="109" t="s">
        <v>36</v>
      </c>
      <c r="H602" s="110">
        <v>227.29</v>
      </c>
      <c r="I602" s="109">
        <v>13</v>
      </c>
      <c r="J602" s="110">
        <v>2954.77</v>
      </c>
      <c r="K602" t="str">
        <f t="shared" si="9"/>
        <v>Rabu</v>
      </c>
    </row>
    <row r="603" spans="1:11" x14ac:dyDescent="0.25">
      <c r="A603" s="207" t="s">
        <v>658</v>
      </c>
      <c r="B603" s="112">
        <v>45747</v>
      </c>
      <c r="C603" s="109" t="s">
        <v>38</v>
      </c>
      <c r="D603" s="109" t="s">
        <v>31</v>
      </c>
      <c r="E603" s="109" t="s">
        <v>18</v>
      </c>
      <c r="F603" s="109" t="s">
        <v>28</v>
      </c>
      <c r="G603" s="109" t="s">
        <v>20</v>
      </c>
      <c r="H603" s="110">
        <v>134.27000000000001</v>
      </c>
      <c r="I603" s="109">
        <v>1</v>
      </c>
      <c r="J603" s="110">
        <v>134.27000000000001</v>
      </c>
      <c r="K603" t="str">
        <f t="shared" si="9"/>
        <v>Senin</v>
      </c>
    </row>
    <row r="604" spans="1:11" x14ac:dyDescent="0.25">
      <c r="A604" s="207" t="s">
        <v>659</v>
      </c>
      <c r="B604" s="112">
        <v>45785</v>
      </c>
      <c r="C604" s="109" t="s">
        <v>38</v>
      </c>
      <c r="D604" s="109" t="s">
        <v>22</v>
      </c>
      <c r="E604" s="109" t="s">
        <v>23</v>
      </c>
      <c r="F604" s="109" t="s">
        <v>19</v>
      </c>
      <c r="G604" s="109" t="s">
        <v>15</v>
      </c>
      <c r="H604" s="110">
        <v>176.86</v>
      </c>
      <c r="I604" s="109">
        <v>4</v>
      </c>
      <c r="J604" s="110">
        <v>707.44</v>
      </c>
      <c r="K604" t="str">
        <f t="shared" si="9"/>
        <v>Kamis</v>
      </c>
    </row>
    <row r="605" spans="1:11" x14ac:dyDescent="0.25">
      <c r="A605" s="207" t="s">
        <v>660</v>
      </c>
      <c r="B605" s="112">
        <v>45689</v>
      </c>
      <c r="C605" s="109" t="s">
        <v>30</v>
      </c>
      <c r="D605" s="109" t="s">
        <v>26</v>
      </c>
      <c r="E605" s="109" t="s">
        <v>41</v>
      </c>
      <c r="F605" s="109" t="s">
        <v>32</v>
      </c>
      <c r="G605" s="109" t="s">
        <v>20</v>
      </c>
      <c r="H605" s="110">
        <v>67.91</v>
      </c>
      <c r="I605" s="109">
        <v>8</v>
      </c>
      <c r="J605" s="110">
        <v>543.28</v>
      </c>
      <c r="K605" t="str">
        <f t="shared" si="9"/>
        <v>Sabtu</v>
      </c>
    </row>
    <row r="606" spans="1:11" x14ac:dyDescent="0.25">
      <c r="A606" s="207" t="s">
        <v>661</v>
      </c>
      <c r="B606" s="112">
        <v>45980</v>
      </c>
      <c r="C606" s="109" t="s">
        <v>25</v>
      </c>
      <c r="D606" s="109" t="s">
        <v>55</v>
      </c>
      <c r="E606" s="109" t="s">
        <v>13</v>
      </c>
      <c r="F606" s="109" t="s">
        <v>39</v>
      </c>
      <c r="G606" s="109" t="s">
        <v>15</v>
      </c>
      <c r="H606" s="110">
        <v>72.3</v>
      </c>
      <c r="I606" s="109">
        <v>3</v>
      </c>
      <c r="J606" s="110">
        <v>216.9</v>
      </c>
      <c r="K606" t="str">
        <f t="shared" si="9"/>
        <v>Rabu</v>
      </c>
    </row>
    <row r="607" spans="1:11" x14ac:dyDescent="0.25">
      <c r="A607" s="207" t="s">
        <v>662</v>
      </c>
      <c r="B607" s="112">
        <v>45669</v>
      </c>
      <c r="C607" s="109" t="s">
        <v>30</v>
      </c>
      <c r="D607" s="109" t="s">
        <v>12</v>
      </c>
      <c r="E607" s="109" t="s">
        <v>41</v>
      </c>
      <c r="F607" s="109" t="s">
        <v>39</v>
      </c>
      <c r="G607" s="109" t="s">
        <v>15</v>
      </c>
      <c r="H607" s="110">
        <v>38.99</v>
      </c>
      <c r="I607" s="109">
        <v>3</v>
      </c>
      <c r="J607" s="110">
        <v>116.97</v>
      </c>
      <c r="K607" t="str">
        <f t="shared" si="9"/>
        <v>Minggu</v>
      </c>
    </row>
    <row r="608" spans="1:11" x14ac:dyDescent="0.25">
      <c r="A608" s="207" t="s">
        <v>663</v>
      </c>
      <c r="B608" s="112">
        <v>45705</v>
      </c>
      <c r="C608" s="109" t="s">
        <v>11</v>
      </c>
      <c r="D608" s="109" t="s">
        <v>22</v>
      </c>
      <c r="E608" s="109" t="s">
        <v>41</v>
      </c>
      <c r="F608" s="109" t="s">
        <v>19</v>
      </c>
      <c r="G608" s="109" t="s">
        <v>15</v>
      </c>
      <c r="H608" s="110">
        <v>67.17</v>
      </c>
      <c r="I608" s="109">
        <v>11</v>
      </c>
      <c r="J608" s="110">
        <v>738.87</v>
      </c>
      <c r="K608" t="str">
        <f t="shared" si="9"/>
        <v>Senin</v>
      </c>
    </row>
    <row r="609" spans="1:11" x14ac:dyDescent="0.25">
      <c r="A609" s="207" t="s">
        <v>664</v>
      </c>
      <c r="B609" s="112">
        <v>45951</v>
      </c>
      <c r="C609" s="109" t="s">
        <v>17</v>
      </c>
      <c r="D609" s="109" t="s">
        <v>31</v>
      </c>
      <c r="E609" s="109" t="s">
        <v>41</v>
      </c>
      <c r="F609" s="109" t="s">
        <v>19</v>
      </c>
      <c r="G609" s="109" t="s">
        <v>36</v>
      </c>
      <c r="H609" s="110">
        <v>91.29</v>
      </c>
      <c r="I609" s="109">
        <v>14</v>
      </c>
      <c r="J609" s="110">
        <v>1278.06</v>
      </c>
      <c r="K609" t="str">
        <f t="shared" si="9"/>
        <v>Selasa</v>
      </c>
    </row>
    <row r="610" spans="1:11" x14ac:dyDescent="0.25">
      <c r="A610" s="207" t="s">
        <v>665</v>
      </c>
      <c r="B610" s="112">
        <v>46007</v>
      </c>
      <c r="C610" s="109" t="s">
        <v>30</v>
      </c>
      <c r="D610" s="109" t="s">
        <v>35</v>
      </c>
      <c r="E610" s="109" t="s">
        <v>23</v>
      </c>
      <c r="F610" s="109" t="s">
        <v>14</v>
      </c>
      <c r="G610" s="109" t="s">
        <v>36</v>
      </c>
      <c r="H610" s="110">
        <v>68.94</v>
      </c>
      <c r="I610" s="109">
        <v>14</v>
      </c>
      <c r="J610" s="110">
        <v>965.16</v>
      </c>
      <c r="K610" t="str">
        <f t="shared" si="9"/>
        <v>Selasa</v>
      </c>
    </row>
    <row r="611" spans="1:11" x14ac:dyDescent="0.25">
      <c r="A611" s="207" t="s">
        <v>666</v>
      </c>
      <c r="B611" s="112">
        <v>45801</v>
      </c>
      <c r="C611" s="109" t="s">
        <v>30</v>
      </c>
      <c r="D611" s="109" t="s">
        <v>22</v>
      </c>
      <c r="E611" s="109" t="s">
        <v>18</v>
      </c>
      <c r="F611" s="109" t="s">
        <v>42</v>
      </c>
      <c r="G611" s="109" t="s">
        <v>20</v>
      </c>
      <c r="H611" s="110">
        <v>49.51</v>
      </c>
      <c r="I611" s="109">
        <v>15</v>
      </c>
      <c r="J611" s="110">
        <v>742.65</v>
      </c>
      <c r="K611" t="str">
        <f t="shared" si="9"/>
        <v>Sabtu</v>
      </c>
    </row>
    <row r="612" spans="1:11" x14ac:dyDescent="0.25">
      <c r="A612" s="207" t="s">
        <v>667</v>
      </c>
      <c r="B612" s="112">
        <v>45783</v>
      </c>
      <c r="C612" s="109" t="s">
        <v>38</v>
      </c>
      <c r="D612" s="109" t="s">
        <v>31</v>
      </c>
      <c r="E612" s="109" t="s">
        <v>18</v>
      </c>
      <c r="F612" s="109" t="s">
        <v>61</v>
      </c>
      <c r="G612" s="109" t="s">
        <v>15</v>
      </c>
      <c r="H612" s="110">
        <v>56.54</v>
      </c>
      <c r="I612" s="109">
        <v>10</v>
      </c>
      <c r="J612" s="110">
        <v>565.4</v>
      </c>
      <c r="K612" t="str">
        <f t="shared" si="9"/>
        <v>Selasa</v>
      </c>
    </row>
    <row r="613" spans="1:11" x14ac:dyDescent="0.25">
      <c r="A613" s="207" t="s">
        <v>668</v>
      </c>
      <c r="B613" s="112">
        <v>45702</v>
      </c>
      <c r="C613" s="109" t="s">
        <v>38</v>
      </c>
      <c r="D613" s="109" t="s">
        <v>26</v>
      </c>
      <c r="E613" s="109" t="s">
        <v>41</v>
      </c>
      <c r="F613" s="109" t="s">
        <v>14</v>
      </c>
      <c r="G613" s="109" t="s">
        <v>20</v>
      </c>
      <c r="H613" s="110">
        <v>131.37</v>
      </c>
      <c r="I613" s="109">
        <v>9</v>
      </c>
      <c r="J613" s="110">
        <v>1182.33</v>
      </c>
      <c r="K613" t="str">
        <f t="shared" si="9"/>
        <v>Jumat</v>
      </c>
    </row>
    <row r="614" spans="1:11" x14ac:dyDescent="0.25">
      <c r="A614" s="207" t="s">
        <v>669</v>
      </c>
      <c r="B614" s="112">
        <v>45927</v>
      </c>
      <c r="C614" s="109" t="s">
        <v>17</v>
      </c>
      <c r="D614" s="109" t="s">
        <v>55</v>
      </c>
      <c r="E614" s="109" t="s">
        <v>45</v>
      </c>
      <c r="F614" s="109" t="s">
        <v>61</v>
      </c>
      <c r="G614" s="109" t="s">
        <v>20</v>
      </c>
      <c r="H614" s="110">
        <v>75.39</v>
      </c>
      <c r="I614" s="109">
        <v>8</v>
      </c>
      <c r="J614" s="110">
        <v>603.12</v>
      </c>
      <c r="K614" t="str">
        <f t="shared" si="9"/>
        <v>Sabtu</v>
      </c>
    </row>
    <row r="615" spans="1:11" x14ac:dyDescent="0.25">
      <c r="A615" s="207" t="s">
        <v>670</v>
      </c>
      <c r="B615" s="112">
        <v>45841</v>
      </c>
      <c r="C615" s="109" t="s">
        <v>25</v>
      </c>
      <c r="D615" s="109" t="s">
        <v>31</v>
      </c>
      <c r="E615" s="109" t="s">
        <v>13</v>
      </c>
      <c r="F615" s="109" t="s">
        <v>42</v>
      </c>
      <c r="G615" s="109" t="s">
        <v>20</v>
      </c>
      <c r="H615" s="110">
        <v>110.14</v>
      </c>
      <c r="I615" s="109">
        <v>16</v>
      </c>
      <c r="J615" s="110">
        <v>1762.24</v>
      </c>
      <c r="K615" t="str">
        <f t="shared" si="9"/>
        <v>Kamis</v>
      </c>
    </row>
    <row r="616" spans="1:11" x14ac:dyDescent="0.25">
      <c r="A616" s="207" t="s">
        <v>671</v>
      </c>
      <c r="B616" s="112">
        <v>45822</v>
      </c>
      <c r="C616" s="109" t="s">
        <v>34</v>
      </c>
      <c r="D616" s="109" t="s">
        <v>26</v>
      </c>
      <c r="E616" s="109" t="s">
        <v>45</v>
      </c>
      <c r="F616" s="109" t="s">
        <v>32</v>
      </c>
      <c r="G616" s="109" t="s">
        <v>20</v>
      </c>
      <c r="H616" s="110">
        <v>140.75</v>
      </c>
      <c r="I616" s="109">
        <v>13</v>
      </c>
      <c r="J616" s="110">
        <v>1829.75</v>
      </c>
      <c r="K616" t="str">
        <f t="shared" si="9"/>
        <v>Sabtu</v>
      </c>
    </row>
    <row r="617" spans="1:11" x14ac:dyDescent="0.25">
      <c r="A617" s="207" t="s">
        <v>672</v>
      </c>
      <c r="B617" s="112">
        <v>45770</v>
      </c>
      <c r="C617" s="109" t="s">
        <v>34</v>
      </c>
      <c r="D617" s="109" t="s">
        <v>22</v>
      </c>
      <c r="E617" s="109" t="s">
        <v>41</v>
      </c>
      <c r="F617" s="109" t="s">
        <v>42</v>
      </c>
      <c r="G617" s="109" t="s">
        <v>36</v>
      </c>
      <c r="H617" s="110">
        <v>181.89</v>
      </c>
      <c r="I617" s="109">
        <v>1</v>
      </c>
      <c r="J617" s="110">
        <v>181.89</v>
      </c>
      <c r="K617" t="str">
        <f t="shared" si="9"/>
        <v>Rabu</v>
      </c>
    </row>
    <row r="618" spans="1:11" x14ac:dyDescent="0.25">
      <c r="A618" s="207" t="s">
        <v>673</v>
      </c>
      <c r="B618" s="112">
        <v>45957</v>
      </c>
      <c r="C618" s="109" t="s">
        <v>30</v>
      </c>
      <c r="D618" s="109" t="s">
        <v>22</v>
      </c>
      <c r="E618" s="109" t="s">
        <v>23</v>
      </c>
      <c r="F618" s="109" t="s">
        <v>28</v>
      </c>
      <c r="G618" s="109" t="s">
        <v>15</v>
      </c>
      <c r="H618" s="110">
        <v>38.65</v>
      </c>
      <c r="I618" s="109">
        <v>8</v>
      </c>
      <c r="J618" s="110">
        <v>309.2</v>
      </c>
      <c r="K618" t="str">
        <f t="shared" si="9"/>
        <v>Senin</v>
      </c>
    </row>
    <row r="619" spans="1:11" x14ac:dyDescent="0.25">
      <c r="A619" s="207" t="s">
        <v>674</v>
      </c>
      <c r="B619" s="112">
        <v>45794</v>
      </c>
      <c r="C619" s="109" t="s">
        <v>17</v>
      </c>
      <c r="D619" s="109" t="s">
        <v>22</v>
      </c>
      <c r="E619" s="109" t="s">
        <v>23</v>
      </c>
      <c r="F619" s="109" t="s">
        <v>42</v>
      </c>
      <c r="G619" s="109" t="s">
        <v>36</v>
      </c>
      <c r="H619" s="110">
        <v>205.87</v>
      </c>
      <c r="I619" s="109">
        <v>18</v>
      </c>
      <c r="J619" s="110">
        <v>3705.66</v>
      </c>
      <c r="K619" t="str">
        <f t="shared" si="9"/>
        <v>Sabtu</v>
      </c>
    </row>
    <row r="620" spans="1:11" x14ac:dyDescent="0.25">
      <c r="A620" s="207" t="s">
        <v>675</v>
      </c>
      <c r="B620" s="112">
        <v>45839</v>
      </c>
      <c r="C620" s="109" t="s">
        <v>30</v>
      </c>
      <c r="D620" s="109" t="s">
        <v>26</v>
      </c>
      <c r="E620" s="109" t="s">
        <v>18</v>
      </c>
      <c r="F620" s="109" t="s">
        <v>32</v>
      </c>
      <c r="G620" s="109" t="s">
        <v>20</v>
      </c>
      <c r="H620" s="110">
        <v>168.14</v>
      </c>
      <c r="I620" s="109">
        <v>6</v>
      </c>
      <c r="J620" s="110">
        <v>1008.84</v>
      </c>
      <c r="K620" t="str">
        <f t="shared" si="9"/>
        <v>Selasa</v>
      </c>
    </row>
    <row r="621" spans="1:11" x14ac:dyDescent="0.25">
      <c r="A621" s="207" t="s">
        <v>676</v>
      </c>
      <c r="B621" s="112">
        <v>46015</v>
      </c>
      <c r="C621" s="109" t="s">
        <v>25</v>
      </c>
      <c r="D621" s="109" t="s">
        <v>22</v>
      </c>
      <c r="E621" s="109" t="s">
        <v>27</v>
      </c>
      <c r="F621" s="109" t="s">
        <v>28</v>
      </c>
      <c r="G621" s="109" t="s">
        <v>36</v>
      </c>
      <c r="H621" s="110">
        <v>47.99</v>
      </c>
      <c r="I621" s="109">
        <v>12</v>
      </c>
      <c r="J621" s="110">
        <v>575.88</v>
      </c>
      <c r="K621" t="str">
        <f t="shared" si="9"/>
        <v>Rabu</v>
      </c>
    </row>
    <row r="622" spans="1:11" x14ac:dyDescent="0.25">
      <c r="A622" s="207" t="s">
        <v>677</v>
      </c>
      <c r="B622" s="112">
        <v>45948</v>
      </c>
      <c r="C622" s="109" t="s">
        <v>30</v>
      </c>
      <c r="D622" s="109" t="s">
        <v>55</v>
      </c>
      <c r="E622" s="109" t="s">
        <v>23</v>
      </c>
      <c r="F622" s="109" t="s">
        <v>39</v>
      </c>
      <c r="G622" s="109" t="s">
        <v>36</v>
      </c>
      <c r="H622" s="110">
        <v>222.19</v>
      </c>
      <c r="I622" s="109">
        <v>19</v>
      </c>
      <c r="J622" s="110">
        <v>4221.6099999999997</v>
      </c>
      <c r="K622" t="str">
        <f t="shared" si="9"/>
        <v>Sabtu</v>
      </c>
    </row>
    <row r="623" spans="1:11" x14ac:dyDescent="0.25">
      <c r="A623" s="207" t="s">
        <v>678</v>
      </c>
      <c r="B623" s="112">
        <v>45935</v>
      </c>
      <c r="C623" s="109" t="s">
        <v>30</v>
      </c>
      <c r="D623" s="109" t="s">
        <v>31</v>
      </c>
      <c r="E623" s="109" t="s">
        <v>45</v>
      </c>
      <c r="F623" s="109" t="s">
        <v>19</v>
      </c>
      <c r="G623" s="109" t="s">
        <v>15</v>
      </c>
      <c r="H623" s="110">
        <v>232.59</v>
      </c>
      <c r="I623" s="109">
        <v>10</v>
      </c>
      <c r="J623" s="110">
        <v>2325.9</v>
      </c>
      <c r="K623" t="str">
        <f t="shared" si="9"/>
        <v>Minggu</v>
      </c>
    </row>
    <row r="624" spans="1:11" x14ac:dyDescent="0.25">
      <c r="A624" s="207" t="s">
        <v>679</v>
      </c>
      <c r="B624" s="112">
        <v>45777</v>
      </c>
      <c r="C624" s="109" t="s">
        <v>30</v>
      </c>
      <c r="D624" s="109" t="s">
        <v>22</v>
      </c>
      <c r="E624" s="109" t="s">
        <v>18</v>
      </c>
      <c r="F624" s="109" t="s">
        <v>61</v>
      </c>
      <c r="G624" s="109" t="s">
        <v>15</v>
      </c>
      <c r="H624" s="110">
        <v>43.44</v>
      </c>
      <c r="I624" s="109">
        <v>20</v>
      </c>
      <c r="J624" s="110">
        <v>868.8</v>
      </c>
      <c r="K624" t="str">
        <f t="shared" si="9"/>
        <v>Rabu</v>
      </c>
    </row>
    <row r="625" spans="1:11" x14ac:dyDescent="0.25">
      <c r="A625" s="207" t="s">
        <v>680</v>
      </c>
      <c r="B625" s="112">
        <v>45827</v>
      </c>
      <c r="C625" s="109" t="s">
        <v>30</v>
      </c>
      <c r="D625" s="109" t="s">
        <v>26</v>
      </c>
      <c r="E625" s="109" t="s">
        <v>13</v>
      </c>
      <c r="F625" s="109" t="s">
        <v>28</v>
      </c>
      <c r="G625" s="109" t="s">
        <v>15</v>
      </c>
      <c r="H625" s="110">
        <v>90.91</v>
      </c>
      <c r="I625" s="109">
        <v>20</v>
      </c>
      <c r="J625" s="110">
        <v>1818.2</v>
      </c>
      <c r="K625" t="str">
        <f t="shared" si="9"/>
        <v>Kamis</v>
      </c>
    </row>
    <row r="626" spans="1:11" x14ac:dyDescent="0.25">
      <c r="A626" s="207" t="s">
        <v>681</v>
      </c>
      <c r="B626" s="112">
        <v>45823</v>
      </c>
      <c r="C626" s="109" t="s">
        <v>11</v>
      </c>
      <c r="D626" s="109" t="s">
        <v>26</v>
      </c>
      <c r="E626" s="109" t="s">
        <v>18</v>
      </c>
      <c r="F626" s="109" t="s">
        <v>28</v>
      </c>
      <c r="G626" s="109" t="s">
        <v>15</v>
      </c>
      <c r="H626" s="110">
        <v>207.36</v>
      </c>
      <c r="I626" s="109">
        <v>2</v>
      </c>
      <c r="J626" s="110">
        <v>414.72</v>
      </c>
      <c r="K626" t="str">
        <f t="shared" si="9"/>
        <v>Minggu</v>
      </c>
    </row>
    <row r="627" spans="1:11" x14ac:dyDescent="0.25">
      <c r="A627" s="207" t="s">
        <v>682</v>
      </c>
      <c r="B627" s="112">
        <v>45714</v>
      </c>
      <c r="C627" s="109" t="s">
        <v>34</v>
      </c>
      <c r="D627" s="109" t="s">
        <v>22</v>
      </c>
      <c r="E627" s="109" t="s">
        <v>13</v>
      </c>
      <c r="F627" s="109" t="s">
        <v>28</v>
      </c>
      <c r="G627" s="109" t="s">
        <v>20</v>
      </c>
      <c r="H627" s="110">
        <v>194.62</v>
      </c>
      <c r="I627" s="109">
        <v>17</v>
      </c>
      <c r="J627" s="110">
        <v>3308.54</v>
      </c>
      <c r="K627" t="str">
        <f t="shared" si="9"/>
        <v>Rabu</v>
      </c>
    </row>
    <row r="628" spans="1:11" x14ac:dyDescent="0.25">
      <c r="A628" s="207" t="s">
        <v>683</v>
      </c>
      <c r="B628" s="112">
        <v>45860</v>
      </c>
      <c r="C628" s="109" t="s">
        <v>11</v>
      </c>
      <c r="D628" s="109" t="s">
        <v>35</v>
      </c>
      <c r="E628" s="109" t="s">
        <v>13</v>
      </c>
      <c r="F628" s="109" t="s">
        <v>32</v>
      </c>
      <c r="G628" s="109" t="s">
        <v>15</v>
      </c>
      <c r="H628" s="110">
        <v>70.59</v>
      </c>
      <c r="I628" s="109">
        <v>19</v>
      </c>
      <c r="J628" s="110">
        <v>1341.21</v>
      </c>
      <c r="K628" t="str">
        <f t="shared" si="9"/>
        <v>Selasa</v>
      </c>
    </row>
    <row r="629" spans="1:11" x14ac:dyDescent="0.25">
      <c r="A629" s="207" t="s">
        <v>684</v>
      </c>
      <c r="B629" s="112">
        <v>45738</v>
      </c>
      <c r="C629" s="109" t="s">
        <v>17</v>
      </c>
      <c r="D629" s="109" t="s">
        <v>31</v>
      </c>
      <c r="E629" s="109" t="s">
        <v>27</v>
      </c>
      <c r="F629" s="109" t="s">
        <v>32</v>
      </c>
      <c r="G629" s="109" t="s">
        <v>15</v>
      </c>
      <c r="H629" s="110">
        <v>76.06</v>
      </c>
      <c r="I629" s="109">
        <v>14</v>
      </c>
      <c r="J629" s="110">
        <v>1064.8399999999999</v>
      </c>
      <c r="K629" t="str">
        <f t="shared" si="9"/>
        <v>Sabtu</v>
      </c>
    </row>
    <row r="630" spans="1:11" x14ac:dyDescent="0.25">
      <c r="A630" s="207" t="s">
        <v>685</v>
      </c>
      <c r="B630" s="112">
        <v>46020</v>
      </c>
      <c r="C630" s="109" t="s">
        <v>17</v>
      </c>
      <c r="D630" s="109" t="s">
        <v>55</v>
      </c>
      <c r="E630" s="109" t="s">
        <v>13</v>
      </c>
      <c r="F630" s="109" t="s">
        <v>14</v>
      </c>
      <c r="G630" s="109" t="s">
        <v>20</v>
      </c>
      <c r="H630" s="110">
        <v>111.5</v>
      </c>
      <c r="I630" s="109">
        <v>18</v>
      </c>
      <c r="J630" s="110">
        <v>2007</v>
      </c>
      <c r="K630" t="str">
        <f t="shared" si="9"/>
        <v>Senin</v>
      </c>
    </row>
    <row r="631" spans="1:11" x14ac:dyDescent="0.25">
      <c r="A631" s="207" t="s">
        <v>686</v>
      </c>
      <c r="B631" s="112">
        <v>45959</v>
      </c>
      <c r="C631" s="109" t="s">
        <v>38</v>
      </c>
      <c r="D631" s="109" t="s">
        <v>35</v>
      </c>
      <c r="E631" s="109" t="s">
        <v>27</v>
      </c>
      <c r="F631" s="109" t="s">
        <v>28</v>
      </c>
      <c r="G631" s="109" t="s">
        <v>36</v>
      </c>
      <c r="H631" s="110">
        <v>136.6</v>
      </c>
      <c r="I631" s="109">
        <v>6</v>
      </c>
      <c r="J631" s="110">
        <v>819.6</v>
      </c>
      <c r="K631" t="str">
        <f t="shared" si="9"/>
        <v>Rabu</v>
      </c>
    </row>
    <row r="632" spans="1:11" x14ac:dyDescent="0.25">
      <c r="A632" s="207" t="s">
        <v>687</v>
      </c>
      <c r="B632" s="112">
        <v>45723</v>
      </c>
      <c r="C632" s="109" t="s">
        <v>17</v>
      </c>
      <c r="D632" s="109" t="s">
        <v>22</v>
      </c>
      <c r="E632" s="109" t="s">
        <v>27</v>
      </c>
      <c r="F632" s="109" t="s">
        <v>42</v>
      </c>
      <c r="G632" s="109" t="s">
        <v>36</v>
      </c>
      <c r="H632" s="110">
        <v>166.02</v>
      </c>
      <c r="I632" s="109">
        <v>6</v>
      </c>
      <c r="J632" s="110">
        <v>996.12</v>
      </c>
      <c r="K632" t="str">
        <f t="shared" si="9"/>
        <v>Jumat</v>
      </c>
    </row>
    <row r="633" spans="1:11" x14ac:dyDescent="0.25">
      <c r="A633" s="207" t="s">
        <v>688</v>
      </c>
      <c r="B633" s="112">
        <v>45948</v>
      </c>
      <c r="C633" s="109" t="s">
        <v>30</v>
      </c>
      <c r="D633" s="109" t="s">
        <v>55</v>
      </c>
      <c r="E633" s="109" t="s">
        <v>13</v>
      </c>
      <c r="F633" s="109" t="s">
        <v>39</v>
      </c>
      <c r="G633" s="109" t="s">
        <v>20</v>
      </c>
      <c r="H633" s="110">
        <v>111.16</v>
      </c>
      <c r="I633" s="109">
        <v>2</v>
      </c>
      <c r="J633" s="110">
        <v>222.32</v>
      </c>
      <c r="K633" t="str">
        <f t="shared" si="9"/>
        <v>Sabtu</v>
      </c>
    </row>
    <row r="634" spans="1:11" x14ac:dyDescent="0.25">
      <c r="A634" s="207" t="s">
        <v>689</v>
      </c>
      <c r="B634" s="112">
        <v>45771</v>
      </c>
      <c r="C634" s="109" t="s">
        <v>11</v>
      </c>
      <c r="D634" s="109" t="s">
        <v>31</v>
      </c>
      <c r="E634" s="109" t="s">
        <v>23</v>
      </c>
      <c r="F634" s="109" t="s">
        <v>32</v>
      </c>
      <c r="G634" s="109" t="s">
        <v>20</v>
      </c>
      <c r="H634" s="110">
        <v>131.76</v>
      </c>
      <c r="I634" s="109">
        <v>19</v>
      </c>
      <c r="J634" s="110">
        <v>2503.44</v>
      </c>
      <c r="K634" t="str">
        <f t="shared" si="9"/>
        <v>Kamis</v>
      </c>
    </row>
    <row r="635" spans="1:11" x14ac:dyDescent="0.25">
      <c r="A635" s="207" t="s">
        <v>690</v>
      </c>
      <c r="B635" s="112">
        <v>45697</v>
      </c>
      <c r="C635" s="109" t="s">
        <v>34</v>
      </c>
      <c r="D635" s="109" t="s">
        <v>35</v>
      </c>
      <c r="E635" s="109" t="s">
        <v>23</v>
      </c>
      <c r="F635" s="109" t="s">
        <v>28</v>
      </c>
      <c r="G635" s="109" t="s">
        <v>15</v>
      </c>
      <c r="H635" s="110">
        <v>194.44</v>
      </c>
      <c r="I635" s="109">
        <v>8</v>
      </c>
      <c r="J635" s="110">
        <v>1555.52</v>
      </c>
      <c r="K635" t="str">
        <f t="shared" si="9"/>
        <v>Minggu</v>
      </c>
    </row>
    <row r="636" spans="1:11" x14ac:dyDescent="0.25">
      <c r="A636" s="207" t="s">
        <v>691</v>
      </c>
      <c r="B636" s="112">
        <v>46020</v>
      </c>
      <c r="C636" s="109" t="s">
        <v>38</v>
      </c>
      <c r="D636" s="109" t="s">
        <v>22</v>
      </c>
      <c r="E636" s="109" t="s">
        <v>13</v>
      </c>
      <c r="F636" s="109" t="s">
        <v>14</v>
      </c>
      <c r="G636" s="109" t="s">
        <v>15</v>
      </c>
      <c r="H636" s="110">
        <v>38.07</v>
      </c>
      <c r="I636" s="109">
        <v>11</v>
      </c>
      <c r="J636" s="110">
        <v>418.77</v>
      </c>
      <c r="K636" t="str">
        <f t="shared" si="9"/>
        <v>Senin</v>
      </c>
    </row>
    <row r="637" spans="1:11" x14ac:dyDescent="0.25">
      <c r="A637" s="207" t="s">
        <v>692</v>
      </c>
      <c r="B637" s="112">
        <v>46012</v>
      </c>
      <c r="C637" s="109" t="s">
        <v>34</v>
      </c>
      <c r="D637" s="109" t="s">
        <v>35</v>
      </c>
      <c r="E637" s="109" t="s">
        <v>45</v>
      </c>
      <c r="F637" s="109" t="s">
        <v>28</v>
      </c>
      <c r="G637" s="109" t="s">
        <v>15</v>
      </c>
      <c r="H637" s="110">
        <v>85.54</v>
      </c>
      <c r="I637" s="109">
        <v>3</v>
      </c>
      <c r="J637" s="110">
        <v>256.62</v>
      </c>
      <c r="K637" t="str">
        <f t="shared" si="9"/>
        <v>Minggu</v>
      </c>
    </row>
    <row r="638" spans="1:11" x14ac:dyDescent="0.25">
      <c r="A638" s="207" t="s">
        <v>693</v>
      </c>
      <c r="B638" s="112">
        <v>45682</v>
      </c>
      <c r="C638" s="109" t="s">
        <v>38</v>
      </c>
      <c r="D638" s="109" t="s">
        <v>12</v>
      </c>
      <c r="E638" s="109" t="s">
        <v>41</v>
      </c>
      <c r="F638" s="109" t="s">
        <v>14</v>
      </c>
      <c r="G638" s="109" t="s">
        <v>36</v>
      </c>
      <c r="H638" s="110">
        <v>186.94</v>
      </c>
      <c r="I638" s="109">
        <v>13</v>
      </c>
      <c r="J638" s="110">
        <v>2430.2199999999998</v>
      </c>
      <c r="K638" t="str">
        <f t="shared" si="9"/>
        <v>Sabtu</v>
      </c>
    </row>
    <row r="639" spans="1:11" x14ac:dyDescent="0.25">
      <c r="A639" s="207" t="s">
        <v>694</v>
      </c>
      <c r="B639" s="112">
        <v>45910</v>
      </c>
      <c r="C639" s="109" t="s">
        <v>34</v>
      </c>
      <c r="D639" s="109" t="s">
        <v>55</v>
      </c>
      <c r="E639" s="109" t="s">
        <v>41</v>
      </c>
      <c r="F639" s="109" t="s">
        <v>19</v>
      </c>
      <c r="G639" s="109" t="s">
        <v>36</v>
      </c>
      <c r="H639" s="110">
        <v>226.95</v>
      </c>
      <c r="I639" s="109">
        <v>13</v>
      </c>
      <c r="J639" s="110">
        <v>2950.35</v>
      </c>
      <c r="K639" t="str">
        <f t="shared" si="9"/>
        <v>Rabu</v>
      </c>
    </row>
    <row r="640" spans="1:11" x14ac:dyDescent="0.25">
      <c r="A640" s="207" t="s">
        <v>695</v>
      </c>
      <c r="B640" s="112">
        <v>45953</v>
      </c>
      <c r="C640" s="109" t="s">
        <v>30</v>
      </c>
      <c r="D640" s="109" t="s">
        <v>31</v>
      </c>
      <c r="E640" s="109" t="s">
        <v>45</v>
      </c>
      <c r="F640" s="109" t="s">
        <v>39</v>
      </c>
      <c r="G640" s="109" t="s">
        <v>15</v>
      </c>
      <c r="H640" s="110">
        <v>142.57</v>
      </c>
      <c r="I640" s="109">
        <v>8</v>
      </c>
      <c r="J640" s="110">
        <v>1140.56</v>
      </c>
      <c r="K640" t="str">
        <f t="shared" si="9"/>
        <v>Kamis</v>
      </c>
    </row>
    <row r="641" spans="1:11" x14ac:dyDescent="0.25">
      <c r="A641" s="207" t="s">
        <v>696</v>
      </c>
      <c r="B641" s="112">
        <v>45808</v>
      </c>
      <c r="C641" s="109" t="s">
        <v>34</v>
      </c>
      <c r="D641" s="109" t="s">
        <v>35</v>
      </c>
      <c r="E641" s="109" t="s">
        <v>45</v>
      </c>
      <c r="F641" s="109" t="s">
        <v>19</v>
      </c>
      <c r="G641" s="109" t="s">
        <v>36</v>
      </c>
      <c r="H641" s="110">
        <v>147.06</v>
      </c>
      <c r="I641" s="109">
        <v>1</v>
      </c>
      <c r="J641" s="110">
        <v>147.06</v>
      </c>
      <c r="K641" t="str">
        <f t="shared" si="9"/>
        <v>Sabtu</v>
      </c>
    </row>
    <row r="642" spans="1:11" x14ac:dyDescent="0.25">
      <c r="A642" s="207" t="s">
        <v>697</v>
      </c>
      <c r="B642" s="112">
        <v>45745</v>
      </c>
      <c r="C642" s="109" t="s">
        <v>30</v>
      </c>
      <c r="D642" s="109" t="s">
        <v>12</v>
      </c>
      <c r="E642" s="109" t="s">
        <v>45</v>
      </c>
      <c r="F642" s="109" t="s">
        <v>42</v>
      </c>
      <c r="G642" s="109" t="s">
        <v>15</v>
      </c>
      <c r="H642" s="110">
        <v>53.58</v>
      </c>
      <c r="I642" s="109">
        <v>13</v>
      </c>
      <c r="J642" s="110">
        <v>696.54</v>
      </c>
      <c r="K642" t="str">
        <f t="shared" si="9"/>
        <v>Sabtu</v>
      </c>
    </row>
    <row r="643" spans="1:11" x14ac:dyDescent="0.25">
      <c r="A643" s="207" t="s">
        <v>698</v>
      </c>
      <c r="B643" s="112">
        <v>45831</v>
      </c>
      <c r="C643" s="109" t="s">
        <v>25</v>
      </c>
      <c r="D643" s="109" t="s">
        <v>31</v>
      </c>
      <c r="E643" s="109" t="s">
        <v>27</v>
      </c>
      <c r="F643" s="109" t="s">
        <v>19</v>
      </c>
      <c r="G643" s="109" t="s">
        <v>36</v>
      </c>
      <c r="H643" s="110">
        <v>128.43</v>
      </c>
      <c r="I643" s="109">
        <v>20</v>
      </c>
      <c r="J643" s="110">
        <v>2568.6</v>
      </c>
      <c r="K643" t="str">
        <f t="shared" ref="K643:K706" si="10">TEXT(B643,"dddd")</f>
        <v>Senin</v>
      </c>
    </row>
    <row r="644" spans="1:11" x14ac:dyDescent="0.25">
      <c r="A644" s="207" t="s">
        <v>699</v>
      </c>
      <c r="B644" s="112">
        <v>45992</v>
      </c>
      <c r="C644" s="109" t="s">
        <v>25</v>
      </c>
      <c r="D644" s="109" t="s">
        <v>31</v>
      </c>
      <c r="E644" s="109" t="s">
        <v>23</v>
      </c>
      <c r="F644" s="109" t="s">
        <v>19</v>
      </c>
      <c r="G644" s="109" t="s">
        <v>15</v>
      </c>
      <c r="H644" s="110">
        <v>147.18</v>
      </c>
      <c r="I644" s="109">
        <v>6</v>
      </c>
      <c r="J644" s="110">
        <v>883.08</v>
      </c>
      <c r="K644" t="str">
        <f t="shared" si="10"/>
        <v>Senin</v>
      </c>
    </row>
    <row r="645" spans="1:11" x14ac:dyDescent="0.25">
      <c r="A645" s="207" t="s">
        <v>700</v>
      </c>
      <c r="B645" s="112">
        <v>45827</v>
      </c>
      <c r="C645" s="109" t="s">
        <v>30</v>
      </c>
      <c r="D645" s="109" t="s">
        <v>31</v>
      </c>
      <c r="E645" s="109" t="s">
        <v>27</v>
      </c>
      <c r="F645" s="109" t="s">
        <v>42</v>
      </c>
      <c r="G645" s="109" t="s">
        <v>20</v>
      </c>
      <c r="H645" s="110">
        <v>83.34</v>
      </c>
      <c r="I645" s="109">
        <v>7</v>
      </c>
      <c r="J645" s="110">
        <v>583.38</v>
      </c>
      <c r="K645" t="str">
        <f t="shared" si="10"/>
        <v>Kamis</v>
      </c>
    </row>
    <row r="646" spans="1:11" x14ac:dyDescent="0.25">
      <c r="A646" s="207" t="s">
        <v>701</v>
      </c>
      <c r="B646" s="112">
        <v>45934</v>
      </c>
      <c r="C646" s="109" t="s">
        <v>17</v>
      </c>
      <c r="D646" s="109" t="s">
        <v>35</v>
      </c>
      <c r="E646" s="109" t="s">
        <v>13</v>
      </c>
      <c r="F646" s="109" t="s">
        <v>14</v>
      </c>
      <c r="G646" s="109" t="s">
        <v>15</v>
      </c>
      <c r="H646" s="110">
        <v>89.23</v>
      </c>
      <c r="I646" s="109">
        <v>9</v>
      </c>
      <c r="J646" s="110">
        <v>803.07</v>
      </c>
      <c r="K646" t="str">
        <f t="shared" si="10"/>
        <v>Sabtu</v>
      </c>
    </row>
    <row r="647" spans="1:11" x14ac:dyDescent="0.25">
      <c r="A647" s="207" t="s">
        <v>702</v>
      </c>
      <c r="B647" s="112">
        <v>45683</v>
      </c>
      <c r="C647" s="109" t="s">
        <v>25</v>
      </c>
      <c r="D647" s="109" t="s">
        <v>55</v>
      </c>
      <c r="E647" s="109" t="s">
        <v>41</v>
      </c>
      <c r="F647" s="109" t="s">
        <v>14</v>
      </c>
      <c r="G647" s="109" t="s">
        <v>15</v>
      </c>
      <c r="H647" s="110">
        <v>113</v>
      </c>
      <c r="I647" s="109">
        <v>13</v>
      </c>
      <c r="J647" s="110">
        <v>1469</v>
      </c>
      <c r="K647" t="str">
        <f t="shared" si="10"/>
        <v>Minggu</v>
      </c>
    </row>
    <row r="648" spans="1:11" x14ac:dyDescent="0.25">
      <c r="A648" s="207" t="s">
        <v>703</v>
      </c>
      <c r="B648" s="112">
        <v>45842</v>
      </c>
      <c r="C648" s="109" t="s">
        <v>38</v>
      </c>
      <c r="D648" s="109" t="s">
        <v>22</v>
      </c>
      <c r="E648" s="109" t="s">
        <v>13</v>
      </c>
      <c r="F648" s="109" t="s">
        <v>39</v>
      </c>
      <c r="G648" s="109" t="s">
        <v>20</v>
      </c>
      <c r="H648" s="110">
        <v>34.42</v>
      </c>
      <c r="I648" s="109">
        <v>1</v>
      </c>
      <c r="J648" s="110">
        <v>34.42</v>
      </c>
      <c r="K648" t="str">
        <f t="shared" si="10"/>
        <v>Jumat</v>
      </c>
    </row>
    <row r="649" spans="1:11" x14ac:dyDescent="0.25">
      <c r="A649" s="207" t="s">
        <v>704</v>
      </c>
      <c r="B649" s="112">
        <v>45978</v>
      </c>
      <c r="C649" s="109" t="s">
        <v>38</v>
      </c>
      <c r="D649" s="109" t="s">
        <v>26</v>
      </c>
      <c r="E649" s="109" t="s">
        <v>45</v>
      </c>
      <c r="F649" s="109" t="s">
        <v>19</v>
      </c>
      <c r="G649" s="109" t="s">
        <v>15</v>
      </c>
      <c r="H649" s="110">
        <v>100.86</v>
      </c>
      <c r="I649" s="109">
        <v>20</v>
      </c>
      <c r="J649" s="110">
        <v>2017.2</v>
      </c>
      <c r="K649" t="str">
        <f t="shared" si="10"/>
        <v>Senin</v>
      </c>
    </row>
    <row r="650" spans="1:11" x14ac:dyDescent="0.25">
      <c r="A650" s="207" t="s">
        <v>705</v>
      </c>
      <c r="B650" s="112">
        <v>45745</v>
      </c>
      <c r="C650" s="109" t="s">
        <v>11</v>
      </c>
      <c r="D650" s="109" t="s">
        <v>31</v>
      </c>
      <c r="E650" s="109" t="s">
        <v>45</v>
      </c>
      <c r="F650" s="109" t="s">
        <v>32</v>
      </c>
      <c r="G650" s="109" t="s">
        <v>36</v>
      </c>
      <c r="H650" s="110">
        <v>76.52</v>
      </c>
      <c r="I650" s="109">
        <v>10</v>
      </c>
      <c r="J650" s="110">
        <v>765.2</v>
      </c>
      <c r="K650" t="str">
        <f t="shared" si="10"/>
        <v>Sabtu</v>
      </c>
    </row>
    <row r="651" spans="1:11" x14ac:dyDescent="0.25">
      <c r="A651" s="207" t="s">
        <v>706</v>
      </c>
      <c r="B651" s="112">
        <v>45899</v>
      </c>
      <c r="C651" s="109" t="s">
        <v>17</v>
      </c>
      <c r="D651" s="109" t="s">
        <v>35</v>
      </c>
      <c r="E651" s="109" t="s">
        <v>45</v>
      </c>
      <c r="F651" s="109" t="s">
        <v>28</v>
      </c>
      <c r="G651" s="109" t="s">
        <v>20</v>
      </c>
      <c r="H651" s="110">
        <v>102.05</v>
      </c>
      <c r="I651" s="109">
        <v>16</v>
      </c>
      <c r="J651" s="110">
        <v>1632.8</v>
      </c>
      <c r="K651" t="str">
        <f t="shared" si="10"/>
        <v>Sabtu</v>
      </c>
    </row>
    <row r="652" spans="1:11" x14ac:dyDescent="0.25">
      <c r="A652" s="207" t="s">
        <v>707</v>
      </c>
      <c r="B652" s="112">
        <v>45856</v>
      </c>
      <c r="C652" s="109" t="s">
        <v>34</v>
      </c>
      <c r="D652" s="109" t="s">
        <v>31</v>
      </c>
      <c r="E652" s="109" t="s">
        <v>13</v>
      </c>
      <c r="F652" s="109" t="s">
        <v>14</v>
      </c>
      <c r="G652" s="109" t="s">
        <v>36</v>
      </c>
      <c r="H652" s="110">
        <v>56.35</v>
      </c>
      <c r="I652" s="109">
        <v>6</v>
      </c>
      <c r="J652" s="110">
        <v>338.1</v>
      </c>
      <c r="K652" t="str">
        <f t="shared" si="10"/>
        <v>Jumat</v>
      </c>
    </row>
    <row r="653" spans="1:11" x14ac:dyDescent="0.25">
      <c r="A653" s="207" t="s">
        <v>708</v>
      </c>
      <c r="B653" s="112">
        <v>45680</v>
      </c>
      <c r="C653" s="109" t="s">
        <v>38</v>
      </c>
      <c r="D653" s="109" t="s">
        <v>31</v>
      </c>
      <c r="E653" s="109" t="s">
        <v>13</v>
      </c>
      <c r="F653" s="109" t="s">
        <v>14</v>
      </c>
      <c r="G653" s="109" t="s">
        <v>36</v>
      </c>
      <c r="H653" s="110">
        <v>225.92</v>
      </c>
      <c r="I653" s="109">
        <v>9</v>
      </c>
      <c r="J653" s="110">
        <v>2033.28</v>
      </c>
      <c r="K653" t="str">
        <f t="shared" si="10"/>
        <v>Kamis</v>
      </c>
    </row>
    <row r="654" spans="1:11" x14ac:dyDescent="0.25">
      <c r="A654" s="207" t="s">
        <v>709</v>
      </c>
      <c r="B654" s="112">
        <v>45946</v>
      </c>
      <c r="C654" s="109" t="s">
        <v>30</v>
      </c>
      <c r="D654" s="109" t="s">
        <v>12</v>
      </c>
      <c r="E654" s="109" t="s">
        <v>27</v>
      </c>
      <c r="F654" s="109" t="s">
        <v>19</v>
      </c>
      <c r="G654" s="109" t="s">
        <v>15</v>
      </c>
      <c r="H654" s="110">
        <v>160.59</v>
      </c>
      <c r="I654" s="109">
        <v>2</v>
      </c>
      <c r="J654" s="110">
        <v>321.18</v>
      </c>
      <c r="K654" t="str">
        <f t="shared" si="10"/>
        <v>Kamis</v>
      </c>
    </row>
    <row r="655" spans="1:11" x14ac:dyDescent="0.25">
      <c r="A655" s="207" t="s">
        <v>710</v>
      </c>
      <c r="B655" s="112">
        <v>46000</v>
      </c>
      <c r="C655" s="109" t="s">
        <v>25</v>
      </c>
      <c r="D655" s="109" t="s">
        <v>31</v>
      </c>
      <c r="E655" s="109" t="s">
        <v>18</v>
      </c>
      <c r="F655" s="109" t="s">
        <v>14</v>
      </c>
      <c r="G655" s="109" t="s">
        <v>20</v>
      </c>
      <c r="H655" s="110">
        <v>179.4</v>
      </c>
      <c r="I655" s="109">
        <v>12</v>
      </c>
      <c r="J655" s="110">
        <v>2152.8000000000002</v>
      </c>
      <c r="K655" t="str">
        <f t="shared" si="10"/>
        <v>Selasa</v>
      </c>
    </row>
    <row r="656" spans="1:11" x14ac:dyDescent="0.25">
      <c r="A656" s="207" t="s">
        <v>711</v>
      </c>
      <c r="B656" s="112">
        <v>45689</v>
      </c>
      <c r="C656" s="109" t="s">
        <v>25</v>
      </c>
      <c r="D656" s="109" t="s">
        <v>31</v>
      </c>
      <c r="E656" s="109" t="s">
        <v>18</v>
      </c>
      <c r="F656" s="109" t="s">
        <v>28</v>
      </c>
      <c r="G656" s="109" t="s">
        <v>36</v>
      </c>
      <c r="H656" s="110">
        <v>203.62</v>
      </c>
      <c r="I656" s="109">
        <v>13</v>
      </c>
      <c r="J656" s="110">
        <v>2647.06</v>
      </c>
      <c r="K656" t="str">
        <f t="shared" si="10"/>
        <v>Sabtu</v>
      </c>
    </row>
    <row r="657" spans="1:11" x14ac:dyDescent="0.25">
      <c r="A657" s="207" t="s">
        <v>712</v>
      </c>
      <c r="B657" s="112">
        <v>45951</v>
      </c>
      <c r="C657" s="109" t="s">
        <v>38</v>
      </c>
      <c r="D657" s="109" t="s">
        <v>35</v>
      </c>
      <c r="E657" s="109" t="s">
        <v>45</v>
      </c>
      <c r="F657" s="109" t="s">
        <v>61</v>
      </c>
      <c r="G657" s="109" t="s">
        <v>20</v>
      </c>
      <c r="H657" s="110">
        <v>139.66</v>
      </c>
      <c r="I657" s="109">
        <v>8</v>
      </c>
      <c r="J657" s="110">
        <v>1117.28</v>
      </c>
      <c r="K657" t="str">
        <f t="shared" si="10"/>
        <v>Selasa</v>
      </c>
    </row>
    <row r="658" spans="1:11" x14ac:dyDescent="0.25">
      <c r="A658" s="207" t="s">
        <v>713</v>
      </c>
      <c r="B658" s="112">
        <v>45675</v>
      </c>
      <c r="C658" s="109" t="s">
        <v>25</v>
      </c>
      <c r="D658" s="109" t="s">
        <v>55</v>
      </c>
      <c r="E658" s="109" t="s">
        <v>18</v>
      </c>
      <c r="F658" s="109" t="s">
        <v>28</v>
      </c>
      <c r="G658" s="109" t="s">
        <v>20</v>
      </c>
      <c r="H658" s="110">
        <v>49.12</v>
      </c>
      <c r="I658" s="109">
        <v>17</v>
      </c>
      <c r="J658" s="110">
        <v>835.04</v>
      </c>
      <c r="K658" t="str">
        <f t="shared" si="10"/>
        <v>Sabtu</v>
      </c>
    </row>
    <row r="659" spans="1:11" x14ac:dyDescent="0.25">
      <c r="A659" s="207" t="s">
        <v>714</v>
      </c>
      <c r="B659" s="112">
        <v>45733</v>
      </c>
      <c r="C659" s="109" t="s">
        <v>38</v>
      </c>
      <c r="D659" s="109" t="s">
        <v>26</v>
      </c>
      <c r="E659" s="109" t="s">
        <v>23</v>
      </c>
      <c r="F659" s="109" t="s">
        <v>14</v>
      </c>
      <c r="G659" s="109" t="s">
        <v>15</v>
      </c>
      <c r="H659" s="110">
        <v>148.16</v>
      </c>
      <c r="I659" s="109">
        <v>4</v>
      </c>
      <c r="J659" s="110">
        <v>592.64</v>
      </c>
      <c r="K659" t="str">
        <f t="shared" si="10"/>
        <v>Senin</v>
      </c>
    </row>
    <row r="660" spans="1:11" x14ac:dyDescent="0.25">
      <c r="A660" s="207" t="s">
        <v>715</v>
      </c>
      <c r="B660" s="112">
        <v>45722</v>
      </c>
      <c r="C660" s="109" t="s">
        <v>38</v>
      </c>
      <c r="D660" s="109" t="s">
        <v>22</v>
      </c>
      <c r="E660" s="109" t="s">
        <v>27</v>
      </c>
      <c r="F660" s="109" t="s">
        <v>61</v>
      </c>
      <c r="G660" s="109" t="s">
        <v>15</v>
      </c>
      <c r="H660" s="110">
        <v>159.11000000000001</v>
      </c>
      <c r="I660" s="109">
        <v>2</v>
      </c>
      <c r="J660" s="110">
        <v>318.22000000000003</v>
      </c>
      <c r="K660" t="str">
        <f t="shared" si="10"/>
        <v>Kamis</v>
      </c>
    </row>
    <row r="661" spans="1:11" x14ac:dyDescent="0.25">
      <c r="A661" s="207" t="s">
        <v>716</v>
      </c>
      <c r="B661" s="112">
        <v>45979</v>
      </c>
      <c r="C661" s="109" t="s">
        <v>25</v>
      </c>
      <c r="D661" s="109" t="s">
        <v>35</v>
      </c>
      <c r="E661" s="109" t="s">
        <v>13</v>
      </c>
      <c r="F661" s="109" t="s">
        <v>28</v>
      </c>
      <c r="G661" s="109" t="s">
        <v>15</v>
      </c>
      <c r="H661" s="110">
        <v>194</v>
      </c>
      <c r="I661" s="109">
        <v>5</v>
      </c>
      <c r="J661" s="110">
        <v>970</v>
      </c>
      <c r="K661" t="str">
        <f t="shared" si="10"/>
        <v>Selasa</v>
      </c>
    </row>
    <row r="662" spans="1:11" x14ac:dyDescent="0.25">
      <c r="A662" s="207" t="s">
        <v>717</v>
      </c>
      <c r="B662" s="112">
        <v>45702</v>
      </c>
      <c r="C662" s="109" t="s">
        <v>25</v>
      </c>
      <c r="D662" s="109" t="s">
        <v>31</v>
      </c>
      <c r="E662" s="109" t="s">
        <v>18</v>
      </c>
      <c r="F662" s="109" t="s">
        <v>32</v>
      </c>
      <c r="G662" s="109" t="s">
        <v>36</v>
      </c>
      <c r="H662" s="110">
        <v>124.97</v>
      </c>
      <c r="I662" s="109">
        <v>13</v>
      </c>
      <c r="J662" s="110">
        <v>1624.61</v>
      </c>
      <c r="K662" t="str">
        <f t="shared" si="10"/>
        <v>Jumat</v>
      </c>
    </row>
    <row r="663" spans="1:11" x14ac:dyDescent="0.25">
      <c r="A663" s="207" t="s">
        <v>718</v>
      </c>
      <c r="B663" s="112">
        <v>45924</v>
      </c>
      <c r="C663" s="109" t="s">
        <v>11</v>
      </c>
      <c r="D663" s="109" t="s">
        <v>12</v>
      </c>
      <c r="E663" s="109" t="s">
        <v>18</v>
      </c>
      <c r="F663" s="109" t="s">
        <v>42</v>
      </c>
      <c r="G663" s="109" t="s">
        <v>20</v>
      </c>
      <c r="H663" s="110">
        <v>58.07</v>
      </c>
      <c r="I663" s="109">
        <v>15</v>
      </c>
      <c r="J663" s="110">
        <v>871.05</v>
      </c>
      <c r="K663" t="str">
        <f t="shared" si="10"/>
        <v>Rabu</v>
      </c>
    </row>
    <row r="664" spans="1:11" x14ac:dyDescent="0.25">
      <c r="A664" s="207" t="s">
        <v>719</v>
      </c>
      <c r="B664" s="112">
        <v>45872</v>
      </c>
      <c r="C664" s="109" t="s">
        <v>38</v>
      </c>
      <c r="D664" s="109" t="s">
        <v>26</v>
      </c>
      <c r="E664" s="109" t="s">
        <v>23</v>
      </c>
      <c r="F664" s="109" t="s">
        <v>42</v>
      </c>
      <c r="G664" s="109" t="s">
        <v>20</v>
      </c>
      <c r="H664" s="110">
        <v>92.43</v>
      </c>
      <c r="I664" s="109">
        <v>4</v>
      </c>
      <c r="J664" s="110">
        <v>369.72</v>
      </c>
      <c r="K664" t="str">
        <f t="shared" si="10"/>
        <v>Minggu</v>
      </c>
    </row>
    <row r="665" spans="1:11" x14ac:dyDescent="0.25">
      <c r="A665" s="207" t="s">
        <v>720</v>
      </c>
      <c r="B665" s="112">
        <v>45956</v>
      </c>
      <c r="C665" s="109" t="s">
        <v>11</v>
      </c>
      <c r="D665" s="109" t="s">
        <v>55</v>
      </c>
      <c r="E665" s="109" t="s">
        <v>45</v>
      </c>
      <c r="F665" s="109" t="s">
        <v>39</v>
      </c>
      <c r="G665" s="109" t="s">
        <v>36</v>
      </c>
      <c r="H665" s="110">
        <v>109.88</v>
      </c>
      <c r="I665" s="109">
        <v>4</v>
      </c>
      <c r="J665" s="110">
        <v>439.52</v>
      </c>
      <c r="K665" t="str">
        <f t="shared" si="10"/>
        <v>Minggu</v>
      </c>
    </row>
    <row r="666" spans="1:11" x14ac:dyDescent="0.25">
      <c r="A666" s="207" t="s">
        <v>721</v>
      </c>
      <c r="B666" s="112">
        <v>45932</v>
      </c>
      <c r="C666" s="109" t="s">
        <v>38</v>
      </c>
      <c r="D666" s="109" t="s">
        <v>35</v>
      </c>
      <c r="E666" s="109" t="s">
        <v>41</v>
      </c>
      <c r="F666" s="109" t="s">
        <v>28</v>
      </c>
      <c r="G666" s="109" t="s">
        <v>36</v>
      </c>
      <c r="H666" s="110">
        <v>172.1</v>
      </c>
      <c r="I666" s="109">
        <v>12</v>
      </c>
      <c r="J666" s="110">
        <v>2065.1999999999998</v>
      </c>
      <c r="K666" t="str">
        <f t="shared" si="10"/>
        <v>Kamis</v>
      </c>
    </row>
    <row r="667" spans="1:11" x14ac:dyDescent="0.25">
      <c r="A667" s="207" t="s">
        <v>722</v>
      </c>
      <c r="B667" s="112">
        <v>45950</v>
      </c>
      <c r="C667" s="109" t="s">
        <v>38</v>
      </c>
      <c r="D667" s="109" t="s">
        <v>22</v>
      </c>
      <c r="E667" s="109" t="s">
        <v>23</v>
      </c>
      <c r="F667" s="109" t="s">
        <v>32</v>
      </c>
      <c r="G667" s="109" t="s">
        <v>36</v>
      </c>
      <c r="H667" s="110">
        <v>155.57</v>
      </c>
      <c r="I667" s="109">
        <v>20</v>
      </c>
      <c r="J667" s="110">
        <v>3111.4</v>
      </c>
      <c r="K667" t="str">
        <f t="shared" si="10"/>
        <v>Senin</v>
      </c>
    </row>
    <row r="668" spans="1:11" x14ac:dyDescent="0.25">
      <c r="A668" s="207" t="s">
        <v>723</v>
      </c>
      <c r="B668" s="112">
        <v>45731</v>
      </c>
      <c r="C668" s="109" t="s">
        <v>25</v>
      </c>
      <c r="D668" s="109" t="s">
        <v>12</v>
      </c>
      <c r="E668" s="109" t="s">
        <v>27</v>
      </c>
      <c r="F668" s="109" t="s">
        <v>61</v>
      </c>
      <c r="G668" s="109" t="s">
        <v>15</v>
      </c>
      <c r="H668" s="110">
        <v>108.34</v>
      </c>
      <c r="I668" s="109">
        <v>20</v>
      </c>
      <c r="J668" s="110">
        <v>2166.8000000000002</v>
      </c>
      <c r="K668" t="str">
        <f t="shared" si="10"/>
        <v>Sabtu</v>
      </c>
    </row>
    <row r="669" spans="1:11" x14ac:dyDescent="0.25">
      <c r="A669" s="207" t="s">
        <v>724</v>
      </c>
      <c r="B669" s="112">
        <v>45860</v>
      </c>
      <c r="C669" s="109" t="s">
        <v>17</v>
      </c>
      <c r="D669" s="109" t="s">
        <v>26</v>
      </c>
      <c r="E669" s="109" t="s">
        <v>45</v>
      </c>
      <c r="F669" s="109" t="s">
        <v>28</v>
      </c>
      <c r="G669" s="109" t="s">
        <v>36</v>
      </c>
      <c r="H669" s="110">
        <v>247.03</v>
      </c>
      <c r="I669" s="109">
        <v>11</v>
      </c>
      <c r="J669" s="110">
        <v>2717.33</v>
      </c>
      <c r="K669" t="str">
        <f t="shared" si="10"/>
        <v>Selasa</v>
      </c>
    </row>
    <row r="670" spans="1:11" x14ac:dyDescent="0.25">
      <c r="A670" s="207" t="s">
        <v>725</v>
      </c>
      <c r="B670" s="112">
        <v>45795</v>
      </c>
      <c r="C670" s="109" t="s">
        <v>11</v>
      </c>
      <c r="D670" s="109" t="s">
        <v>35</v>
      </c>
      <c r="E670" s="109" t="s">
        <v>13</v>
      </c>
      <c r="F670" s="109" t="s">
        <v>32</v>
      </c>
      <c r="G670" s="109" t="s">
        <v>36</v>
      </c>
      <c r="H670" s="110">
        <v>163.27000000000001</v>
      </c>
      <c r="I670" s="109">
        <v>12</v>
      </c>
      <c r="J670" s="110">
        <v>1959.24</v>
      </c>
      <c r="K670" t="str">
        <f t="shared" si="10"/>
        <v>Minggu</v>
      </c>
    </row>
    <row r="671" spans="1:11" x14ac:dyDescent="0.25">
      <c r="A671" s="207" t="s">
        <v>726</v>
      </c>
      <c r="B671" s="112">
        <v>45909</v>
      </c>
      <c r="C671" s="109" t="s">
        <v>30</v>
      </c>
      <c r="D671" s="109" t="s">
        <v>26</v>
      </c>
      <c r="E671" s="109" t="s">
        <v>13</v>
      </c>
      <c r="F671" s="109" t="s">
        <v>28</v>
      </c>
      <c r="G671" s="109" t="s">
        <v>36</v>
      </c>
      <c r="H671" s="110">
        <v>82.19</v>
      </c>
      <c r="I671" s="109">
        <v>4</v>
      </c>
      <c r="J671" s="110">
        <v>328.76</v>
      </c>
      <c r="K671" t="str">
        <f t="shared" si="10"/>
        <v>Selasa</v>
      </c>
    </row>
    <row r="672" spans="1:11" x14ac:dyDescent="0.25">
      <c r="A672" s="207" t="s">
        <v>727</v>
      </c>
      <c r="B672" s="112">
        <v>45822</v>
      </c>
      <c r="C672" s="109" t="s">
        <v>17</v>
      </c>
      <c r="D672" s="109" t="s">
        <v>31</v>
      </c>
      <c r="E672" s="109" t="s">
        <v>18</v>
      </c>
      <c r="F672" s="109" t="s">
        <v>28</v>
      </c>
      <c r="G672" s="109" t="s">
        <v>15</v>
      </c>
      <c r="H672" s="110">
        <v>52.39</v>
      </c>
      <c r="I672" s="109">
        <v>9</v>
      </c>
      <c r="J672" s="110">
        <v>471.51</v>
      </c>
      <c r="K672" t="str">
        <f t="shared" si="10"/>
        <v>Sabtu</v>
      </c>
    </row>
    <row r="673" spans="1:11" x14ac:dyDescent="0.25">
      <c r="A673" s="207" t="s">
        <v>728</v>
      </c>
      <c r="B673" s="112">
        <v>45754</v>
      </c>
      <c r="C673" s="109" t="s">
        <v>30</v>
      </c>
      <c r="D673" s="109" t="s">
        <v>31</v>
      </c>
      <c r="E673" s="109" t="s">
        <v>27</v>
      </c>
      <c r="F673" s="109" t="s">
        <v>61</v>
      </c>
      <c r="G673" s="109" t="s">
        <v>20</v>
      </c>
      <c r="H673" s="110">
        <v>63.63</v>
      </c>
      <c r="I673" s="109">
        <v>15</v>
      </c>
      <c r="J673" s="110">
        <v>954.45</v>
      </c>
      <c r="K673" t="str">
        <f t="shared" si="10"/>
        <v>Senin</v>
      </c>
    </row>
    <row r="674" spans="1:11" x14ac:dyDescent="0.25">
      <c r="A674" s="207" t="s">
        <v>729</v>
      </c>
      <c r="B674" s="112">
        <v>45849</v>
      </c>
      <c r="C674" s="109" t="s">
        <v>25</v>
      </c>
      <c r="D674" s="109" t="s">
        <v>26</v>
      </c>
      <c r="E674" s="109" t="s">
        <v>45</v>
      </c>
      <c r="F674" s="109" t="s">
        <v>32</v>
      </c>
      <c r="G674" s="109" t="s">
        <v>20</v>
      </c>
      <c r="H674" s="110">
        <v>84.11</v>
      </c>
      <c r="I674" s="109">
        <v>2</v>
      </c>
      <c r="J674" s="110">
        <v>168.22</v>
      </c>
      <c r="K674" t="str">
        <f t="shared" si="10"/>
        <v>Jumat</v>
      </c>
    </row>
    <row r="675" spans="1:11" x14ac:dyDescent="0.25">
      <c r="A675" s="207" t="s">
        <v>730</v>
      </c>
      <c r="B675" s="112">
        <v>45917</v>
      </c>
      <c r="C675" s="109" t="s">
        <v>30</v>
      </c>
      <c r="D675" s="109" t="s">
        <v>55</v>
      </c>
      <c r="E675" s="109" t="s">
        <v>18</v>
      </c>
      <c r="F675" s="109" t="s">
        <v>19</v>
      </c>
      <c r="G675" s="109" t="s">
        <v>15</v>
      </c>
      <c r="H675" s="110">
        <v>65.349999999999994</v>
      </c>
      <c r="I675" s="109">
        <v>13</v>
      </c>
      <c r="J675" s="110">
        <v>849.55</v>
      </c>
      <c r="K675" t="str">
        <f t="shared" si="10"/>
        <v>Rabu</v>
      </c>
    </row>
    <row r="676" spans="1:11" x14ac:dyDescent="0.25">
      <c r="A676" s="207" t="s">
        <v>731</v>
      </c>
      <c r="B676" s="112">
        <v>45756</v>
      </c>
      <c r="C676" s="109" t="s">
        <v>11</v>
      </c>
      <c r="D676" s="109" t="s">
        <v>26</v>
      </c>
      <c r="E676" s="109" t="s">
        <v>45</v>
      </c>
      <c r="F676" s="109" t="s">
        <v>61</v>
      </c>
      <c r="G676" s="109" t="s">
        <v>15</v>
      </c>
      <c r="H676" s="110">
        <v>71.040000000000006</v>
      </c>
      <c r="I676" s="109">
        <v>7</v>
      </c>
      <c r="J676" s="110">
        <v>497.28</v>
      </c>
      <c r="K676" t="str">
        <f t="shared" si="10"/>
        <v>Rabu</v>
      </c>
    </row>
    <row r="677" spans="1:11" x14ac:dyDescent="0.25">
      <c r="A677" s="207" t="s">
        <v>732</v>
      </c>
      <c r="B677" s="112">
        <v>45842</v>
      </c>
      <c r="C677" s="109" t="s">
        <v>34</v>
      </c>
      <c r="D677" s="109" t="s">
        <v>35</v>
      </c>
      <c r="E677" s="109" t="s">
        <v>41</v>
      </c>
      <c r="F677" s="109" t="s">
        <v>42</v>
      </c>
      <c r="G677" s="109" t="s">
        <v>36</v>
      </c>
      <c r="H677" s="110">
        <v>92.72</v>
      </c>
      <c r="I677" s="109">
        <v>7</v>
      </c>
      <c r="J677" s="110">
        <v>649.04</v>
      </c>
      <c r="K677" t="str">
        <f t="shared" si="10"/>
        <v>Jumat</v>
      </c>
    </row>
    <row r="678" spans="1:11" x14ac:dyDescent="0.25">
      <c r="A678" s="207" t="s">
        <v>733</v>
      </c>
      <c r="B678" s="112">
        <v>45983</v>
      </c>
      <c r="C678" s="109" t="s">
        <v>17</v>
      </c>
      <c r="D678" s="109" t="s">
        <v>22</v>
      </c>
      <c r="E678" s="109" t="s">
        <v>23</v>
      </c>
      <c r="F678" s="109" t="s">
        <v>32</v>
      </c>
      <c r="G678" s="109" t="s">
        <v>36</v>
      </c>
      <c r="H678" s="110">
        <v>68.14</v>
      </c>
      <c r="I678" s="109">
        <v>4</v>
      </c>
      <c r="J678" s="110">
        <v>272.56</v>
      </c>
      <c r="K678" t="str">
        <f t="shared" si="10"/>
        <v>Sabtu</v>
      </c>
    </row>
    <row r="679" spans="1:11" x14ac:dyDescent="0.25">
      <c r="A679" s="207" t="s">
        <v>734</v>
      </c>
      <c r="B679" s="112">
        <v>45962</v>
      </c>
      <c r="C679" s="109" t="s">
        <v>30</v>
      </c>
      <c r="D679" s="109" t="s">
        <v>31</v>
      </c>
      <c r="E679" s="109" t="s">
        <v>18</v>
      </c>
      <c r="F679" s="109" t="s">
        <v>42</v>
      </c>
      <c r="G679" s="109" t="s">
        <v>36</v>
      </c>
      <c r="H679" s="110">
        <v>227.29</v>
      </c>
      <c r="I679" s="109">
        <v>15</v>
      </c>
      <c r="J679" s="110">
        <v>3409.35</v>
      </c>
      <c r="K679" t="str">
        <f t="shared" si="10"/>
        <v>Sabtu</v>
      </c>
    </row>
    <row r="680" spans="1:11" x14ac:dyDescent="0.25">
      <c r="A680" s="207" t="s">
        <v>735</v>
      </c>
      <c r="B680" s="112">
        <v>45834</v>
      </c>
      <c r="C680" s="109" t="s">
        <v>34</v>
      </c>
      <c r="D680" s="109" t="s">
        <v>12</v>
      </c>
      <c r="E680" s="109" t="s">
        <v>27</v>
      </c>
      <c r="F680" s="109" t="s">
        <v>19</v>
      </c>
      <c r="G680" s="109" t="s">
        <v>36</v>
      </c>
      <c r="H680" s="110">
        <v>47.65</v>
      </c>
      <c r="I680" s="109">
        <v>6</v>
      </c>
      <c r="J680" s="110">
        <v>285.89999999999998</v>
      </c>
      <c r="K680" t="str">
        <f t="shared" si="10"/>
        <v>Kamis</v>
      </c>
    </row>
    <row r="681" spans="1:11" x14ac:dyDescent="0.25">
      <c r="A681" s="207" t="s">
        <v>736</v>
      </c>
      <c r="B681" s="112">
        <v>45672</v>
      </c>
      <c r="C681" s="109" t="s">
        <v>11</v>
      </c>
      <c r="D681" s="109" t="s">
        <v>26</v>
      </c>
      <c r="E681" s="109" t="s">
        <v>18</v>
      </c>
      <c r="F681" s="109" t="s">
        <v>39</v>
      </c>
      <c r="G681" s="109" t="s">
        <v>15</v>
      </c>
      <c r="H681" s="110">
        <v>145.38999999999999</v>
      </c>
      <c r="I681" s="109">
        <v>13</v>
      </c>
      <c r="J681" s="110">
        <v>1890.07</v>
      </c>
      <c r="K681" t="str">
        <f t="shared" si="10"/>
        <v>Rabu</v>
      </c>
    </row>
    <row r="682" spans="1:11" x14ac:dyDescent="0.25">
      <c r="A682" s="207" t="s">
        <v>737</v>
      </c>
      <c r="B682" s="112">
        <v>45771</v>
      </c>
      <c r="C682" s="109" t="s">
        <v>17</v>
      </c>
      <c r="D682" s="109" t="s">
        <v>26</v>
      </c>
      <c r="E682" s="109" t="s">
        <v>13</v>
      </c>
      <c r="F682" s="109" t="s">
        <v>28</v>
      </c>
      <c r="G682" s="109" t="s">
        <v>36</v>
      </c>
      <c r="H682" s="110">
        <v>120.29</v>
      </c>
      <c r="I682" s="109">
        <v>8</v>
      </c>
      <c r="J682" s="110">
        <v>962.32</v>
      </c>
      <c r="K682" t="str">
        <f t="shared" si="10"/>
        <v>Kamis</v>
      </c>
    </row>
    <row r="683" spans="1:11" x14ac:dyDescent="0.25">
      <c r="A683" s="207" t="s">
        <v>738</v>
      </c>
      <c r="B683" s="112">
        <v>45920</v>
      </c>
      <c r="C683" s="109" t="s">
        <v>17</v>
      </c>
      <c r="D683" s="109" t="s">
        <v>22</v>
      </c>
      <c r="E683" s="109" t="s">
        <v>41</v>
      </c>
      <c r="F683" s="109" t="s">
        <v>14</v>
      </c>
      <c r="G683" s="109" t="s">
        <v>20</v>
      </c>
      <c r="H683" s="110">
        <v>246.12</v>
      </c>
      <c r="I683" s="109">
        <v>1</v>
      </c>
      <c r="J683" s="110">
        <v>246.12</v>
      </c>
      <c r="K683" t="str">
        <f t="shared" si="10"/>
        <v>Sabtu</v>
      </c>
    </row>
    <row r="684" spans="1:11" x14ac:dyDescent="0.25">
      <c r="A684" s="207" t="s">
        <v>739</v>
      </c>
      <c r="B684" s="112">
        <v>45746</v>
      </c>
      <c r="C684" s="109" t="s">
        <v>11</v>
      </c>
      <c r="D684" s="109" t="s">
        <v>26</v>
      </c>
      <c r="E684" s="109" t="s">
        <v>13</v>
      </c>
      <c r="F684" s="109" t="s">
        <v>42</v>
      </c>
      <c r="G684" s="109" t="s">
        <v>36</v>
      </c>
      <c r="H684" s="110">
        <v>54.65</v>
      </c>
      <c r="I684" s="109">
        <v>20</v>
      </c>
      <c r="J684" s="110">
        <v>1093</v>
      </c>
      <c r="K684" t="str">
        <f t="shared" si="10"/>
        <v>Minggu</v>
      </c>
    </row>
    <row r="685" spans="1:11" x14ac:dyDescent="0.25">
      <c r="A685" s="207" t="s">
        <v>740</v>
      </c>
      <c r="B685" s="112">
        <v>46022</v>
      </c>
      <c r="C685" s="109" t="s">
        <v>38</v>
      </c>
      <c r="D685" s="109" t="s">
        <v>31</v>
      </c>
      <c r="E685" s="109" t="s">
        <v>13</v>
      </c>
      <c r="F685" s="109" t="s">
        <v>61</v>
      </c>
      <c r="G685" s="109" t="s">
        <v>36</v>
      </c>
      <c r="H685" s="110">
        <v>117.53</v>
      </c>
      <c r="I685" s="109">
        <v>9</v>
      </c>
      <c r="J685" s="110">
        <v>1057.77</v>
      </c>
      <c r="K685" t="str">
        <f t="shared" si="10"/>
        <v>Rabu</v>
      </c>
    </row>
    <row r="686" spans="1:11" x14ac:dyDescent="0.25">
      <c r="A686" s="207" t="s">
        <v>741</v>
      </c>
      <c r="B686" s="112">
        <v>45769</v>
      </c>
      <c r="C686" s="109" t="s">
        <v>34</v>
      </c>
      <c r="D686" s="109" t="s">
        <v>12</v>
      </c>
      <c r="E686" s="109" t="s">
        <v>18</v>
      </c>
      <c r="F686" s="109" t="s">
        <v>39</v>
      </c>
      <c r="G686" s="109" t="s">
        <v>20</v>
      </c>
      <c r="H686" s="110">
        <v>243.28</v>
      </c>
      <c r="I686" s="109">
        <v>15</v>
      </c>
      <c r="J686" s="110">
        <v>3649.2</v>
      </c>
      <c r="K686" t="str">
        <f t="shared" si="10"/>
        <v>Selasa</v>
      </c>
    </row>
    <row r="687" spans="1:11" x14ac:dyDescent="0.25">
      <c r="A687" s="207" t="s">
        <v>742</v>
      </c>
      <c r="B687" s="112">
        <v>45861</v>
      </c>
      <c r="C687" s="109" t="s">
        <v>11</v>
      </c>
      <c r="D687" s="109" t="s">
        <v>22</v>
      </c>
      <c r="E687" s="109" t="s">
        <v>18</v>
      </c>
      <c r="F687" s="109" t="s">
        <v>28</v>
      </c>
      <c r="G687" s="109" t="s">
        <v>36</v>
      </c>
      <c r="H687" s="110">
        <v>220.41</v>
      </c>
      <c r="I687" s="109">
        <v>19</v>
      </c>
      <c r="J687" s="110">
        <v>4187.79</v>
      </c>
      <c r="K687" t="str">
        <f t="shared" si="10"/>
        <v>Rabu</v>
      </c>
    </row>
    <row r="688" spans="1:11" x14ac:dyDescent="0.25">
      <c r="A688" s="207" t="s">
        <v>743</v>
      </c>
      <c r="B688" s="112">
        <v>45945</v>
      </c>
      <c r="C688" s="109" t="s">
        <v>25</v>
      </c>
      <c r="D688" s="109" t="s">
        <v>35</v>
      </c>
      <c r="E688" s="109" t="s">
        <v>13</v>
      </c>
      <c r="F688" s="109" t="s">
        <v>28</v>
      </c>
      <c r="G688" s="109" t="s">
        <v>15</v>
      </c>
      <c r="H688" s="110">
        <v>209.76</v>
      </c>
      <c r="I688" s="109">
        <v>20</v>
      </c>
      <c r="J688" s="110">
        <v>4195.2</v>
      </c>
      <c r="K688" t="str">
        <f t="shared" si="10"/>
        <v>Rabu</v>
      </c>
    </row>
    <row r="689" spans="1:11" x14ac:dyDescent="0.25">
      <c r="A689" s="207" t="s">
        <v>744</v>
      </c>
      <c r="B689" s="112">
        <v>45904</v>
      </c>
      <c r="C689" s="109" t="s">
        <v>34</v>
      </c>
      <c r="D689" s="109" t="s">
        <v>35</v>
      </c>
      <c r="E689" s="109" t="s">
        <v>27</v>
      </c>
      <c r="F689" s="109" t="s">
        <v>32</v>
      </c>
      <c r="G689" s="109" t="s">
        <v>36</v>
      </c>
      <c r="H689" s="110">
        <v>86.74</v>
      </c>
      <c r="I689" s="109">
        <v>3</v>
      </c>
      <c r="J689" s="110">
        <v>260.22000000000003</v>
      </c>
      <c r="K689" t="str">
        <f t="shared" si="10"/>
        <v>Kamis</v>
      </c>
    </row>
    <row r="690" spans="1:11" x14ac:dyDescent="0.25">
      <c r="A690" s="207" t="s">
        <v>745</v>
      </c>
      <c r="B690" s="112">
        <v>45791</v>
      </c>
      <c r="C690" s="109" t="s">
        <v>30</v>
      </c>
      <c r="D690" s="109" t="s">
        <v>26</v>
      </c>
      <c r="E690" s="109" t="s">
        <v>18</v>
      </c>
      <c r="F690" s="109" t="s">
        <v>39</v>
      </c>
      <c r="G690" s="109" t="s">
        <v>15</v>
      </c>
      <c r="H690" s="110">
        <v>67.599999999999994</v>
      </c>
      <c r="I690" s="109">
        <v>10</v>
      </c>
      <c r="J690" s="110">
        <v>676</v>
      </c>
      <c r="K690" t="str">
        <f t="shared" si="10"/>
        <v>Rabu</v>
      </c>
    </row>
    <row r="691" spans="1:11" x14ac:dyDescent="0.25">
      <c r="A691" s="207" t="s">
        <v>746</v>
      </c>
      <c r="B691" s="112">
        <v>45687</v>
      </c>
      <c r="C691" s="109" t="s">
        <v>38</v>
      </c>
      <c r="D691" s="109" t="s">
        <v>12</v>
      </c>
      <c r="E691" s="109" t="s">
        <v>13</v>
      </c>
      <c r="F691" s="109" t="s">
        <v>28</v>
      </c>
      <c r="G691" s="109" t="s">
        <v>15</v>
      </c>
      <c r="H691" s="110">
        <v>177.1</v>
      </c>
      <c r="I691" s="109">
        <v>20</v>
      </c>
      <c r="J691" s="110">
        <v>3542</v>
      </c>
      <c r="K691" t="str">
        <f t="shared" si="10"/>
        <v>Kamis</v>
      </c>
    </row>
    <row r="692" spans="1:11" x14ac:dyDescent="0.25">
      <c r="A692" s="207" t="s">
        <v>747</v>
      </c>
      <c r="B692" s="112">
        <v>45671</v>
      </c>
      <c r="C692" s="109" t="s">
        <v>34</v>
      </c>
      <c r="D692" s="109" t="s">
        <v>35</v>
      </c>
      <c r="E692" s="109" t="s">
        <v>41</v>
      </c>
      <c r="F692" s="109" t="s">
        <v>61</v>
      </c>
      <c r="G692" s="109" t="s">
        <v>36</v>
      </c>
      <c r="H692" s="110">
        <v>234.46</v>
      </c>
      <c r="I692" s="109">
        <v>16</v>
      </c>
      <c r="J692" s="110">
        <v>3751.36</v>
      </c>
      <c r="K692" t="str">
        <f t="shared" si="10"/>
        <v>Selasa</v>
      </c>
    </row>
    <row r="693" spans="1:11" x14ac:dyDescent="0.25">
      <c r="A693" s="207" t="s">
        <v>748</v>
      </c>
      <c r="B693" s="112">
        <v>45676</v>
      </c>
      <c r="C693" s="109" t="s">
        <v>17</v>
      </c>
      <c r="D693" s="109" t="s">
        <v>55</v>
      </c>
      <c r="E693" s="109" t="s">
        <v>23</v>
      </c>
      <c r="F693" s="109" t="s">
        <v>32</v>
      </c>
      <c r="G693" s="109" t="s">
        <v>20</v>
      </c>
      <c r="H693" s="110">
        <v>152.49</v>
      </c>
      <c r="I693" s="109">
        <v>19</v>
      </c>
      <c r="J693" s="110">
        <v>2897.31</v>
      </c>
      <c r="K693" t="str">
        <f t="shared" si="10"/>
        <v>Minggu</v>
      </c>
    </row>
    <row r="694" spans="1:11" x14ac:dyDescent="0.25">
      <c r="A694" s="207" t="s">
        <v>749</v>
      </c>
      <c r="B694" s="112">
        <v>45771</v>
      </c>
      <c r="C694" s="109" t="s">
        <v>17</v>
      </c>
      <c r="D694" s="109" t="s">
        <v>31</v>
      </c>
      <c r="E694" s="109" t="s">
        <v>27</v>
      </c>
      <c r="F694" s="109" t="s">
        <v>32</v>
      </c>
      <c r="G694" s="109" t="s">
        <v>20</v>
      </c>
      <c r="H694" s="110">
        <v>155.75</v>
      </c>
      <c r="I694" s="109">
        <v>18</v>
      </c>
      <c r="J694" s="110">
        <v>2803.5</v>
      </c>
      <c r="K694" t="str">
        <f t="shared" si="10"/>
        <v>Kamis</v>
      </c>
    </row>
    <row r="695" spans="1:11" x14ac:dyDescent="0.25">
      <c r="A695" s="207" t="s">
        <v>750</v>
      </c>
      <c r="B695" s="112">
        <v>45811</v>
      </c>
      <c r="C695" s="109" t="s">
        <v>17</v>
      </c>
      <c r="D695" s="109" t="s">
        <v>55</v>
      </c>
      <c r="E695" s="109" t="s">
        <v>23</v>
      </c>
      <c r="F695" s="109" t="s">
        <v>32</v>
      </c>
      <c r="G695" s="109" t="s">
        <v>15</v>
      </c>
      <c r="H695" s="110">
        <v>91.6</v>
      </c>
      <c r="I695" s="109">
        <v>6</v>
      </c>
      <c r="J695" s="110">
        <v>549.6</v>
      </c>
      <c r="K695" t="str">
        <f t="shared" si="10"/>
        <v>Selasa</v>
      </c>
    </row>
    <row r="696" spans="1:11" x14ac:dyDescent="0.25">
      <c r="A696" s="207" t="s">
        <v>751</v>
      </c>
      <c r="B696" s="112">
        <v>45899</v>
      </c>
      <c r="C696" s="109" t="s">
        <v>17</v>
      </c>
      <c r="D696" s="109" t="s">
        <v>35</v>
      </c>
      <c r="E696" s="109" t="s">
        <v>27</v>
      </c>
      <c r="F696" s="109" t="s">
        <v>39</v>
      </c>
      <c r="G696" s="109" t="s">
        <v>20</v>
      </c>
      <c r="H696" s="110">
        <v>199.29</v>
      </c>
      <c r="I696" s="109">
        <v>5</v>
      </c>
      <c r="J696" s="110">
        <v>996.45</v>
      </c>
      <c r="K696" t="str">
        <f t="shared" si="10"/>
        <v>Sabtu</v>
      </c>
    </row>
    <row r="697" spans="1:11" x14ac:dyDescent="0.25">
      <c r="A697" s="207" t="s">
        <v>752</v>
      </c>
      <c r="B697" s="112">
        <v>45751</v>
      </c>
      <c r="C697" s="109" t="s">
        <v>17</v>
      </c>
      <c r="D697" s="109" t="s">
        <v>22</v>
      </c>
      <c r="E697" s="109" t="s">
        <v>23</v>
      </c>
      <c r="F697" s="109" t="s">
        <v>32</v>
      </c>
      <c r="G697" s="109" t="s">
        <v>15</v>
      </c>
      <c r="H697" s="110">
        <v>71.150000000000006</v>
      </c>
      <c r="I697" s="109">
        <v>11</v>
      </c>
      <c r="J697" s="110">
        <v>782.65</v>
      </c>
      <c r="K697" t="str">
        <f t="shared" si="10"/>
        <v>Jumat</v>
      </c>
    </row>
    <row r="698" spans="1:11" x14ac:dyDescent="0.25">
      <c r="A698" s="207" t="s">
        <v>753</v>
      </c>
      <c r="B698" s="112">
        <v>45815</v>
      </c>
      <c r="C698" s="109" t="s">
        <v>34</v>
      </c>
      <c r="D698" s="109" t="s">
        <v>35</v>
      </c>
      <c r="E698" s="109" t="s">
        <v>13</v>
      </c>
      <c r="F698" s="109" t="s">
        <v>42</v>
      </c>
      <c r="G698" s="109" t="s">
        <v>36</v>
      </c>
      <c r="H698" s="110">
        <v>101.21</v>
      </c>
      <c r="I698" s="109">
        <v>14</v>
      </c>
      <c r="J698" s="110">
        <v>1416.94</v>
      </c>
      <c r="K698" t="str">
        <f t="shared" si="10"/>
        <v>Sabtu</v>
      </c>
    </row>
    <row r="699" spans="1:11" x14ac:dyDescent="0.25">
      <c r="A699" s="207" t="s">
        <v>754</v>
      </c>
      <c r="B699" s="112">
        <v>45895</v>
      </c>
      <c r="C699" s="109" t="s">
        <v>38</v>
      </c>
      <c r="D699" s="109" t="s">
        <v>22</v>
      </c>
      <c r="E699" s="109" t="s">
        <v>27</v>
      </c>
      <c r="F699" s="109" t="s">
        <v>42</v>
      </c>
      <c r="G699" s="109" t="s">
        <v>20</v>
      </c>
      <c r="H699" s="110">
        <v>123.6</v>
      </c>
      <c r="I699" s="109">
        <v>4</v>
      </c>
      <c r="J699" s="110">
        <v>494.4</v>
      </c>
      <c r="K699" t="str">
        <f t="shared" si="10"/>
        <v>Selasa</v>
      </c>
    </row>
    <row r="700" spans="1:11" x14ac:dyDescent="0.25">
      <c r="A700" s="207" t="s">
        <v>755</v>
      </c>
      <c r="B700" s="112">
        <v>45975</v>
      </c>
      <c r="C700" s="109" t="s">
        <v>38</v>
      </c>
      <c r="D700" s="109" t="s">
        <v>26</v>
      </c>
      <c r="E700" s="109" t="s">
        <v>18</v>
      </c>
      <c r="F700" s="109" t="s">
        <v>19</v>
      </c>
      <c r="G700" s="109" t="s">
        <v>20</v>
      </c>
      <c r="H700" s="110">
        <v>141.66999999999999</v>
      </c>
      <c r="I700" s="109">
        <v>3</v>
      </c>
      <c r="J700" s="110">
        <v>425.01</v>
      </c>
      <c r="K700" t="str">
        <f t="shared" si="10"/>
        <v>Jumat</v>
      </c>
    </row>
    <row r="701" spans="1:11" x14ac:dyDescent="0.25">
      <c r="A701" s="207" t="s">
        <v>756</v>
      </c>
      <c r="B701" s="112">
        <v>45853</v>
      </c>
      <c r="C701" s="109" t="s">
        <v>34</v>
      </c>
      <c r="D701" s="109" t="s">
        <v>31</v>
      </c>
      <c r="E701" s="109" t="s">
        <v>45</v>
      </c>
      <c r="F701" s="109" t="s">
        <v>39</v>
      </c>
      <c r="G701" s="109" t="s">
        <v>15</v>
      </c>
      <c r="H701" s="110">
        <v>83.33</v>
      </c>
      <c r="I701" s="109">
        <v>17</v>
      </c>
      <c r="J701" s="110">
        <v>1416.61</v>
      </c>
      <c r="K701" t="str">
        <f t="shared" si="10"/>
        <v>Selasa</v>
      </c>
    </row>
    <row r="702" spans="1:11" x14ac:dyDescent="0.25">
      <c r="A702" s="207" t="s">
        <v>757</v>
      </c>
      <c r="B702" s="112">
        <v>45728</v>
      </c>
      <c r="C702" s="109" t="s">
        <v>34</v>
      </c>
      <c r="D702" s="109" t="s">
        <v>31</v>
      </c>
      <c r="E702" s="109" t="s">
        <v>18</v>
      </c>
      <c r="F702" s="109" t="s">
        <v>61</v>
      </c>
      <c r="G702" s="109" t="s">
        <v>15</v>
      </c>
      <c r="H702" s="110">
        <v>55.26</v>
      </c>
      <c r="I702" s="109">
        <v>7</v>
      </c>
      <c r="J702" s="110">
        <v>386.82</v>
      </c>
      <c r="K702" t="str">
        <f t="shared" si="10"/>
        <v>Rabu</v>
      </c>
    </row>
    <row r="703" spans="1:11" x14ac:dyDescent="0.25">
      <c r="A703" s="207" t="s">
        <v>758</v>
      </c>
      <c r="B703" s="112">
        <v>45819</v>
      </c>
      <c r="C703" s="109" t="s">
        <v>11</v>
      </c>
      <c r="D703" s="109" t="s">
        <v>31</v>
      </c>
      <c r="E703" s="109" t="s">
        <v>13</v>
      </c>
      <c r="F703" s="109" t="s">
        <v>28</v>
      </c>
      <c r="G703" s="109" t="s">
        <v>15</v>
      </c>
      <c r="H703" s="110">
        <v>164.34</v>
      </c>
      <c r="I703" s="109">
        <v>6</v>
      </c>
      <c r="J703" s="110">
        <v>986.04</v>
      </c>
      <c r="K703" t="str">
        <f t="shared" si="10"/>
        <v>Rabu</v>
      </c>
    </row>
    <row r="704" spans="1:11" x14ac:dyDescent="0.25">
      <c r="A704" s="207" t="s">
        <v>759</v>
      </c>
      <c r="B704" s="112">
        <v>45818</v>
      </c>
      <c r="C704" s="109" t="s">
        <v>11</v>
      </c>
      <c r="D704" s="109" t="s">
        <v>31</v>
      </c>
      <c r="E704" s="109" t="s">
        <v>13</v>
      </c>
      <c r="F704" s="109" t="s">
        <v>14</v>
      </c>
      <c r="G704" s="109" t="s">
        <v>15</v>
      </c>
      <c r="H704" s="110">
        <v>93.5</v>
      </c>
      <c r="I704" s="109">
        <v>2</v>
      </c>
      <c r="J704" s="110">
        <v>187</v>
      </c>
      <c r="K704" t="str">
        <f t="shared" si="10"/>
        <v>Selasa</v>
      </c>
    </row>
    <row r="705" spans="1:11" x14ac:dyDescent="0.25">
      <c r="A705" s="207" t="s">
        <v>760</v>
      </c>
      <c r="B705" s="112">
        <v>45953</v>
      </c>
      <c r="C705" s="109" t="s">
        <v>38</v>
      </c>
      <c r="D705" s="109" t="s">
        <v>22</v>
      </c>
      <c r="E705" s="109" t="s">
        <v>23</v>
      </c>
      <c r="F705" s="109" t="s">
        <v>42</v>
      </c>
      <c r="G705" s="109" t="s">
        <v>36</v>
      </c>
      <c r="H705" s="110">
        <v>157.87</v>
      </c>
      <c r="I705" s="109">
        <v>6</v>
      </c>
      <c r="J705" s="110">
        <v>947.22</v>
      </c>
      <c r="K705" t="str">
        <f t="shared" si="10"/>
        <v>Kamis</v>
      </c>
    </row>
    <row r="706" spans="1:11" x14ac:dyDescent="0.25">
      <c r="A706" s="207" t="s">
        <v>761</v>
      </c>
      <c r="B706" s="112">
        <v>45982</v>
      </c>
      <c r="C706" s="109" t="s">
        <v>38</v>
      </c>
      <c r="D706" s="109" t="s">
        <v>31</v>
      </c>
      <c r="E706" s="109" t="s">
        <v>41</v>
      </c>
      <c r="F706" s="109" t="s">
        <v>61</v>
      </c>
      <c r="G706" s="109" t="s">
        <v>15</v>
      </c>
      <c r="H706" s="110">
        <v>63.96</v>
      </c>
      <c r="I706" s="109">
        <v>14</v>
      </c>
      <c r="J706" s="110">
        <v>895.44</v>
      </c>
      <c r="K706" t="str">
        <f t="shared" si="10"/>
        <v>Jumat</v>
      </c>
    </row>
    <row r="707" spans="1:11" x14ac:dyDescent="0.25">
      <c r="A707" s="207" t="s">
        <v>762</v>
      </c>
      <c r="B707" s="112">
        <v>45677</v>
      </c>
      <c r="C707" s="109" t="s">
        <v>30</v>
      </c>
      <c r="D707" s="109" t="s">
        <v>12</v>
      </c>
      <c r="E707" s="109" t="s">
        <v>13</v>
      </c>
      <c r="F707" s="109" t="s">
        <v>19</v>
      </c>
      <c r="G707" s="109" t="s">
        <v>36</v>
      </c>
      <c r="H707" s="110">
        <v>135.85</v>
      </c>
      <c r="I707" s="109">
        <v>18</v>
      </c>
      <c r="J707" s="110">
        <v>2445.3000000000002</v>
      </c>
      <c r="K707" t="str">
        <f t="shared" ref="K707:K770" si="11">TEXT(B707,"dddd")</f>
        <v>Senin</v>
      </c>
    </row>
    <row r="708" spans="1:11" x14ac:dyDescent="0.25">
      <c r="A708" s="207" t="s">
        <v>763</v>
      </c>
      <c r="B708" s="112">
        <v>45929</v>
      </c>
      <c r="C708" s="109" t="s">
        <v>11</v>
      </c>
      <c r="D708" s="109" t="s">
        <v>12</v>
      </c>
      <c r="E708" s="109" t="s">
        <v>45</v>
      </c>
      <c r="F708" s="109" t="s">
        <v>28</v>
      </c>
      <c r="G708" s="109" t="s">
        <v>20</v>
      </c>
      <c r="H708" s="110">
        <v>147.16999999999999</v>
      </c>
      <c r="I708" s="109">
        <v>7</v>
      </c>
      <c r="J708" s="110">
        <v>1030.19</v>
      </c>
      <c r="K708" t="str">
        <f t="shared" si="11"/>
        <v>Senin</v>
      </c>
    </row>
    <row r="709" spans="1:11" x14ac:dyDescent="0.25">
      <c r="A709" s="207" t="s">
        <v>764</v>
      </c>
      <c r="B709" s="112">
        <v>45785</v>
      </c>
      <c r="C709" s="109" t="s">
        <v>17</v>
      </c>
      <c r="D709" s="109" t="s">
        <v>35</v>
      </c>
      <c r="E709" s="109" t="s">
        <v>13</v>
      </c>
      <c r="F709" s="109" t="s">
        <v>14</v>
      </c>
      <c r="G709" s="109" t="s">
        <v>15</v>
      </c>
      <c r="H709" s="110">
        <v>41.4</v>
      </c>
      <c r="I709" s="109">
        <v>8</v>
      </c>
      <c r="J709" s="110">
        <v>331.2</v>
      </c>
      <c r="K709" t="str">
        <f t="shared" si="11"/>
        <v>Kamis</v>
      </c>
    </row>
    <row r="710" spans="1:11" x14ac:dyDescent="0.25">
      <c r="A710" s="207" t="s">
        <v>765</v>
      </c>
      <c r="B710" s="112">
        <v>45854</v>
      </c>
      <c r="C710" s="109" t="s">
        <v>25</v>
      </c>
      <c r="D710" s="109" t="s">
        <v>35</v>
      </c>
      <c r="E710" s="109" t="s">
        <v>23</v>
      </c>
      <c r="F710" s="109" t="s">
        <v>19</v>
      </c>
      <c r="G710" s="109" t="s">
        <v>15</v>
      </c>
      <c r="H710" s="110">
        <v>104.05</v>
      </c>
      <c r="I710" s="109">
        <v>17</v>
      </c>
      <c r="J710" s="110">
        <v>1768.85</v>
      </c>
      <c r="K710" t="str">
        <f t="shared" si="11"/>
        <v>Rabu</v>
      </c>
    </row>
    <row r="711" spans="1:11" x14ac:dyDescent="0.25">
      <c r="A711" s="207" t="s">
        <v>766</v>
      </c>
      <c r="B711" s="112">
        <v>45810</v>
      </c>
      <c r="C711" s="109" t="s">
        <v>38</v>
      </c>
      <c r="D711" s="109" t="s">
        <v>12</v>
      </c>
      <c r="E711" s="109" t="s">
        <v>18</v>
      </c>
      <c r="F711" s="109" t="s">
        <v>42</v>
      </c>
      <c r="G711" s="109" t="s">
        <v>20</v>
      </c>
      <c r="H711" s="110">
        <v>59.57</v>
      </c>
      <c r="I711" s="109">
        <v>10</v>
      </c>
      <c r="J711" s="110">
        <v>595.70000000000005</v>
      </c>
      <c r="K711" t="str">
        <f t="shared" si="11"/>
        <v>Senin</v>
      </c>
    </row>
    <row r="712" spans="1:11" x14ac:dyDescent="0.25">
      <c r="A712" s="207" t="s">
        <v>767</v>
      </c>
      <c r="B712" s="112">
        <v>45830</v>
      </c>
      <c r="C712" s="109" t="s">
        <v>17</v>
      </c>
      <c r="D712" s="109" t="s">
        <v>26</v>
      </c>
      <c r="E712" s="109" t="s">
        <v>13</v>
      </c>
      <c r="F712" s="109" t="s">
        <v>61</v>
      </c>
      <c r="G712" s="109" t="s">
        <v>36</v>
      </c>
      <c r="H712" s="110">
        <v>43.94</v>
      </c>
      <c r="I712" s="109">
        <v>14</v>
      </c>
      <c r="J712" s="110">
        <v>615.16</v>
      </c>
      <c r="K712" t="str">
        <f t="shared" si="11"/>
        <v>Minggu</v>
      </c>
    </row>
    <row r="713" spans="1:11" x14ac:dyDescent="0.25">
      <c r="A713" s="207" t="s">
        <v>768</v>
      </c>
      <c r="B713" s="112">
        <v>45754</v>
      </c>
      <c r="C713" s="109" t="s">
        <v>38</v>
      </c>
      <c r="D713" s="109" t="s">
        <v>22</v>
      </c>
      <c r="E713" s="109" t="s">
        <v>23</v>
      </c>
      <c r="F713" s="109" t="s">
        <v>14</v>
      </c>
      <c r="G713" s="109" t="s">
        <v>20</v>
      </c>
      <c r="H713" s="110">
        <v>247.79</v>
      </c>
      <c r="I713" s="109">
        <v>6</v>
      </c>
      <c r="J713" s="110">
        <v>1486.74</v>
      </c>
      <c r="K713" t="str">
        <f t="shared" si="11"/>
        <v>Senin</v>
      </c>
    </row>
    <row r="714" spans="1:11" x14ac:dyDescent="0.25">
      <c r="A714" s="207" t="s">
        <v>769</v>
      </c>
      <c r="B714" s="112">
        <v>45725</v>
      </c>
      <c r="C714" s="109" t="s">
        <v>17</v>
      </c>
      <c r="D714" s="109" t="s">
        <v>22</v>
      </c>
      <c r="E714" s="109" t="s">
        <v>18</v>
      </c>
      <c r="F714" s="109" t="s">
        <v>42</v>
      </c>
      <c r="G714" s="109" t="s">
        <v>15</v>
      </c>
      <c r="H714" s="110">
        <v>100.92</v>
      </c>
      <c r="I714" s="109">
        <v>7</v>
      </c>
      <c r="J714" s="110">
        <v>706.44</v>
      </c>
      <c r="K714" t="str">
        <f t="shared" si="11"/>
        <v>Minggu</v>
      </c>
    </row>
    <row r="715" spans="1:11" x14ac:dyDescent="0.25">
      <c r="A715" s="207" t="s">
        <v>770</v>
      </c>
      <c r="B715" s="112">
        <v>45721</v>
      </c>
      <c r="C715" s="109" t="s">
        <v>17</v>
      </c>
      <c r="D715" s="109" t="s">
        <v>12</v>
      </c>
      <c r="E715" s="109" t="s">
        <v>45</v>
      </c>
      <c r="F715" s="109" t="s">
        <v>61</v>
      </c>
      <c r="G715" s="109" t="s">
        <v>20</v>
      </c>
      <c r="H715" s="110">
        <v>208.17</v>
      </c>
      <c r="I715" s="109">
        <v>12</v>
      </c>
      <c r="J715" s="110">
        <v>2498.04</v>
      </c>
      <c r="K715" t="str">
        <f t="shared" si="11"/>
        <v>Rabu</v>
      </c>
    </row>
    <row r="716" spans="1:11" x14ac:dyDescent="0.25">
      <c r="A716" s="207" t="s">
        <v>771</v>
      </c>
      <c r="B716" s="112">
        <v>45788</v>
      </c>
      <c r="C716" s="109" t="s">
        <v>25</v>
      </c>
      <c r="D716" s="109" t="s">
        <v>22</v>
      </c>
      <c r="E716" s="109" t="s">
        <v>18</v>
      </c>
      <c r="F716" s="109" t="s">
        <v>19</v>
      </c>
      <c r="G716" s="109" t="s">
        <v>20</v>
      </c>
      <c r="H716" s="110">
        <v>86.02</v>
      </c>
      <c r="I716" s="109">
        <v>18</v>
      </c>
      <c r="J716" s="110">
        <v>1548.36</v>
      </c>
      <c r="K716" t="str">
        <f t="shared" si="11"/>
        <v>Minggu</v>
      </c>
    </row>
    <row r="717" spans="1:11" x14ac:dyDescent="0.25">
      <c r="A717" s="207" t="s">
        <v>772</v>
      </c>
      <c r="B717" s="112">
        <v>45713</v>
      </c>
      <c r="C717" s="109" t="s">
        <v>11</v>
      </c>
      <c r="D717" s="109" t="s">
        <v>12</v>
      </c>
      <c r="E717" s="109" t="s">
        <v>45</v>
      </c>
      <c r="F717" s="109" t="s">
        <v>61</v>
      </c>
      <c r="G717" s="109" t="s">
        <v>36</v>
      </c>
      <c r="H717" s="110">
        <v>179.93</v>
      </c>
      <c r="I717" s="109">
        <v>1</v>
      </c>
      <c r="J717" s="110">
        <v>179.93</v>
      </c>
      <c r="K717" t="str">
        <f t="shared" si="11"/>
        <v>Selasa</v>
      </c>
    </row>
    <row r="718" spans="1:11" x14ac:dyDescent="0.25">
      <c r="A718" s="207" t="s">
        <v>773</v>
      </c>
      <c r="B718" s="112">
        <v>45852</v>
      </c>
      <c r="C718" s="109" t="s">
        <v>25</v>
      </c>
      <c r="D718" s="109" t="s">
        <v>35</v>
      </c>
      <c r="E718" s="109" t="s">
        <v>41</v>
      </c>
      <c r="F718" s="109" t="s">
        <v>28</v>
      </c>
      <c r="G718" s="109" t="s">
        <v>15</v>
      </c>
      <c r="H718" s="110">
        <v>197.25</v>
      </c>
      <c r="I718" s="109">
        <v>4</v>
      </c>
      <c r="J718" s="110">
        <v>789</v>
      </c>
      <c r="K718" t="str">
        <f t="shared" si="11"/>
        <v>Senin</v>
      </c>
    </row>
    <row r="719" spans="1:11" x14ac:dyDescent="0.25">
      <c r="A719" s="207" t="s">
        <v>774</v>
      </c>
      <c r="B719" s="112">
        <v>45763</v>
      </c>
      <c r="C719" s="109" t="s">
        <v>34</v>
      </c>
      <c r="D719" s="109" t="s">
        <v>31</v>
      </c>
      <c r="E719" s="109" t="s">
        <v>27</v>
      </c>
      <c r="F719" s="109" t="s">
        <v>19</v>
      </c>
      <c r="G719" s="109" t="s">
        <v>20</v>
      </c>
      <c r="H719" s="110">
        <v>161.04</v>
      </c>
      <c r="I719" s="109">
        <v>1</v>
      </c>
      <c r="J719" s="110">
        <v>161.04</v>
      </c>
      <c r="K719" t="str">
        <f t="shared" si="11"/>
        <v>Rabu</v>
      </c>
    </row>
    <row r="720" spans="1:11" x14ac:dyDescent="0.25">
      <c r="A720" s="207" t="s">
        <v>775</v>
      </c>
      <c r="B720" s="112">
        <v>45924</v>
      </c>
      <c r="C720" s="109" t="s">
        <v>25</v>
      </c>
      <c r="D720" s="109" t="s">
        <v>55</v>
      </c>
      <c r="E720" s="109" t="s">
        <v>27</v>
      </c>
      <c r="F720" s="109" t="s">
        <v>14</v>
      </c>
      <c r="G720" s="109" t="s">
        <v>36</v>
      </c>
      <c r="H720" s="110">
        <v>133.75</v>
      </c>
      <c r="I720" s="109">
        <v>9</v>
      </c>
      <c r="J720" s="110">
        <v>1203.75</v>
      </c>
      <c r="K720" t="str">
        <f t="shared" si="11"/>
        <v>Rabu</v>
      </c>
    </row>
    <row r="721" spans="1:11" x14ac:dyDescent="0.25">
      <c r="A721" s="207" t="s">
        <v>776</v>
      </c>
      <c r="B721" s="112">
        <v>45711</v>
      </c>
      <c r="C721" s="109" t="s">
        <v>17</v>
      </c>
      <c r="D721" s="109" t="s">
        <v>55</v>
      </c>
      <c r="E721" s="109" t="s">
        <v>45</v>
      </c>
      <c r="F721" s="109" t="s">
        <v>32</v>
      </c>
      <c r="G721" s="109" t="s">
        <v>15</v>
      </c>
      <c r="H721" s="110">
        <v>120.61</v>
      </c>
      <c r="I721" s="109">
        <v>17</v>
      </c>
      <c r="J721" s="110">
        <v>2050.37</v>
      </c>
      <c r="K721" t="str">
        <f t="shared" si="11"/>
        <v>Minggu</v>
      </c>
    </row>
    <row r="722" spans="1:11" x14ac:dyDescent="0.25">
      <c r="A722" s="207" t="s">
        <v>777</v>
      </c>
      <c r="B722" s="112">
        <v>45712</v>
      </c>
      <c r="C722" s="109" t="s">
        <v>30</v>
      </c>
      <c r="D722" s="109" t="s">
        <v>55</v>
      </c>
      <c r="E722" s="109" t="s">
        <v>23</v>
      </c>
      <c r="F722" s="109" t="s">
        <v>39</v>
      </c>
      <c r="G722" s="109" t="s">
        <v>36</v>
      </c>
      <c r="H722" s="110">
        <v>106.75</v>
      </c>
      <c r="I722" s="109">
        <v>16</v>
      </c>
      <c r="J722" s="110">
        <v>1708</v>
      </c>
      <c r="K722" t="str">
        <f t="shared" si="11"/>
        <v>Senin</v>
      </c>
    </row>
    <row r="723" spans="1:11" x14ac:dyDescent="0.25">
      <c r="A723" s="207" t="s">
        <v>778</v>
      </c>
      <c r="B723" s="112">
        <v>45925</v>
      </c>
      <c r="C723" s="109" t="s">
        <v>34</v>
      </c>
      <c r="D723" s="109" t="s">
        <v>12</v>
      </c>
      <c r="E723" s="109" t="s">
        <v>41</v>
      </c>
      <c r="F723" s="109" t="s">
        <v>32</v>
      </c>
      <c r="G723" s="109" t="s">
        <v>15</v>
      </c>
      <c r="H723" s="110">
        <v>234.5</v>
      </c>
      <c r="I723" s="109">
        <v>7</v>
      </c>
      <c r="J723" s="110">
        <v>1641.5</v>
      </c>
      <c r="K723" t="str">
        <f t="shared" si="11"/>
        <v>Kamis</v>
      </c>
    </row>
    <row r="724" spans="1:11" x14ac:dyDescent="0.25">
      <c r="A724" s="207" t="s">
        <v>779</v>
      </c>
      <c r="B724" s="112">
        <v>45678</v>
      </c>
      <c r="C724" s="109" t="s">
        <v>38</v>
      </c>
      <c r="D724" s="109" t="s">
        <v>26</v>
      </c>
      <c r="E724" s="109" t="s">
        <v>27</v>
      </c>
      <c r="F724" s="109" t="s">
        <v>61</v>
      </c>
      <c r="G724" s="109" t="s">
        <v>36</v>
      </c>
      <c r="H724" s="110">
        <v>212.74</v>
      </c>
      <c r="I724" s="109">
        <v>18</v>
      </c>
      <c r="J724" s="110">
        <v>3829.32</v>
      </c>
      <c r="K724" t="str">
        <f t="shared" si="11"/>
        <v>Selasa</v>
      </c>
    </row>
    <row r="725" spans="1:11" x14ac:dyDescent="0.25">
      <c r="A725" s="207" t="s">
        <v>780</v>
      </c>
      <c r="B725" s="112">
        <v>45778</v>
      </c>
      <c r="C725" s="109" t="s">
        <v>11</v>
      </c>
      <c r="D725" s="109" t="s">
        <v>12</v>
      </c>
      <c r="E725" s="109" t="s">
        <v>45</v>
      </c>
      <c r="F725" s="109" t="s">
        <v>19</v>
      </c>
      <c r="G725" s="109" t="s">
        <v>20</v>
      </c>
      <c r="H725" s="110">
        <v>242.31</v>
      </c>
      <c r="I725" s="109">
        <v>1</v>
      </c>
      <c r="J725" s="110">
        <v>242.31</v>
      </c>
      <c r="K725" t="str">
        <f t="shared" si="11"/>
        <v>Kamis</v>
      </c>
    </row>
    <row r="726" spans="1:11" x14ac:dyDescent="0.25">
      <c r="A726" s="207" t="s">
        <v>781</v>
      </c>
      <c r="B726" s="112">
        <v>46000</v>
      </c>
      <c r="C726" s="109" t="s">
        <v>30</v>
      </c>
      <c r="D726" s="109" t="s">
        <v>22</v>
      </c>
      <c r="E726" s="109" t="s">
        <v>18</v>
      </c>
      <c r="F726" s="109" t="s">
        <v>19</v>
      </c>
      <c r="G726" s="109" t="s">
        <v>20</v>
      </c>
      <c r="H726" s="110">
        <v>57.35</v>
      </c>
      <c r="I726" s="109">
        <v>16</v>
      </c>
      <c r="J726" s="110">
        <v>917.6</v>
      </c>
      <c r="K726" t="str">
        <f t="shared" si="11"/>
        <v>Selasa</v>
      </c>
    </row>
    <row r="727" spans="1:11" x14ac:dyDescent="0.25">
      <c r="A727" s="207" t="s">
        <v>782</v>
      </c>
      <c r="B727" s="112">
        <v>45709</v>
      </c>
      <c r="C727" s="109" t="s">
        <v>17</v>
      </c>
      <c r="D727" s="109" t="s">
        <v>26</v>
      </c>
      <c r="E727" s="109" t="s">
        <v>41</v>
      </c>
      <c r="F727" s="109" t="s">
        <v>32</v>
      </c>
      <c r="G727" s="109" t="s">
        <v>36</v>
      </c>
      <c r="H727" s="110">
        <v>190.79</v>
      </c>
      <c r="I727" s="109">
        <v>9</v>
      </c>
      <c r="J727" s="110">
        <v>1717.11</v>
      </c>
      <c r="K727" t="str">
        <f t="shared" si="11"/>
        <v>Jumat</v>
      </c>
    </row>
    <row r="728" spans="1:11" x14ac:dyDescent="0.25">
      <c r="A728" s="207" t="s">
        <v>783</v>
      </c>
      <c r="B728" s="112">
        <v>45895</v>
      </c>
      <c r="C728" s="109" t="s">
        <v>11</v>
      </c>
      <c r="D728" s="109" t="s">
        <v>26</v>
      </c>
      <c r="E728" s="109" t="s">
        <v>45</v>
      </c>
      <c r="F728" s="109" t="s">
        <v>39</v>
      </c>
      <c r="G728" s="109" t="s">
        <v>36</v>
      </c>
      <c r="H728" s="110">
        <v>236.43</v>
      </c>
      <c r="I728" s="109">
        <v>2</v>
      </c>
      <c r="J728" s="110">
        <v>472.86</v>
      </c>
      <c r="K728" t="str">
        <f t="shared" si="11"/>
        <v>Selasa</v>
      </c>
    </row>
    <row r="729" spans="1:11" x14ac:dyDescent="0.25">
      <c r="A729" s="207" t="s">
        <v>784</v>
      </c>
      <c r="B729" s="112">
        <v>45842</v>
      </c>
      <c r="C729" s="109" t="s">
        <v>38</v>
      </c>
      <c r="D729" s="109" t="s">
        <v>12</v>
      </c>
      <c r="E729" s="109" t="s">
        <v>45</v>
      </c>
      <c r="F729" s="109" t="s">
        <v>19</v>
      </c>
      <c r="G729" s="109" t="s">
        <v>15</v>
      </c>
      <c r="H729" s="110">
        <v>69.87</v>
      </c>
      <c r="I729" s="109">
        <v>11</v>
      </c>
      <c r="J729" s="110">
        <v>768.57</v>
      </c>
      <c r="K729" t="str">
        <f t="shared" si="11"/>
        <v>Jumat</v>
      </c>
    </row>
    <row r="730" spans="1:11" x14ac:dyDescent="0.25">
      <c r="A730" s="207" t="s">
        <v>785</v>
      </c>
      <c r="B730" s="112">
        <v>45662</v>
      </c>
      <c r="C730" s="109" t="s">
        <v>17</v>
      </c>
      <c r="D730" s="109" t="s">
        <v>12</v>
      </c>
      <c r="E730" s="109" t="s">
        <v>23</v>
      </c>
      <c r="F730" s="109" t="s">
        <v>32</v>
      </c>
      <c r="G730" s="109" t="s">
        <v>36</v>
      </c>
      <c r="H730" s="110">
        <v>44.63</v>
      </c>
      <c r="I730" s="109">
        <v>5</v>
      </c>
      <c r="J730" s="110">
        <v>223.15</v>
      </c>
      <c r="K730" t="str">
        <f t="shared" si="11"/>
        <v>Minggu</v>
      </c>
    </row>
    <row r="731" spans="1:11" x14ac:dyDescent="0.25">
      <c r="A731" s="207" t="s">
        <v>786</v>
      </c>
      <c r="B731" s="112">
        <v>45882</v>
      </c>
      <c r="C731" s="109" t="s">
        <v>34</v>
      </c>
      <c r="D731" s="109" t="s">
        <v>12</v>
      </c>
      <c r="E731" s="109" t="s">
        <v>45</v>
      </c>
      <c r="F731" s="109" t="s">
        <v>32</v>
      </c>
      <c r="G731" s="109" t="s">
        <v>36</v>
      </c>
      <c r="H731" s="110">
        <v>193.05</v>
      </c>
      <c r="I731" s="109">
        <v>20</v>
      </c>
      <c r="J731" s="110">
        <v>3861</v>
      </c>
      <c r="K731" t="str">
        <f t="shared" si="11"/>
        <v>Rabu</v>
      </c>
    </row>
    <row r="732" spans="1:11" x14ac:dyDescent="0.25">
      <c r="A732" s="207" t="s">
        <v>787</v>
      </c>
      <c r="B732" s="112">
        <v>45751</v>
      </c>
      <c r="C732" s="109" t="s">
        <v>38</v>
      </c>
      <c r="D732" s="109" t="s">
        <v>31</v>
      </c>
      <c r="E732" s="109" t="s">
        <v>41</v>
      </c>
      <c r="F732" s="109" t="s">
        <v>32</v>
      </c>
      <c r="G732" s="109" t="s">
        <v>36</v>
      </c>
      <c r="H732" s="110">
        <v>156.38</v>
      </c>
      <c r="I732" s="109">
        <v>4</v>
      </c>
      <c r="J732" s="110">
        <v>625.52</v>
      </c>
      <c r="K732" t="str">
        <f t="shared" si="11"/>
        <v>Jumat</v>
      </c>
    </row>
    <row r="733" spans="1:11" x14ac:dyDescent="0.25">
      <c r="A733" s="207" t="s">
        <v>788</v>
      </c>
      <c r="B733" s="112">
        <v>46011</v>
      </c>
      <c r="C733" s="109" t="s">
        <v>38</v>
      </c>
      <c r="D733" s="109" t="s">
        <v>12</v>
      </c>
      <c r="E733" s="109" t="s">
        <v>23</v>
      </c>
      <c r="F733" s="109" t="s">
        <v>19</v>
      </c>
      <c r="G733" s="109" t="s">
        <v>15</v>
      </c>
      <c r="H733" s="110">
        <v>215.2</v>
      </c>
      <c r="I733" s="109">
        <v>16</v>
      </c>
      <c r="J733" s="110">
        <v>3443.2</v>
      </c>
      <c r="K733" t="str">
        <f t="shared" si="11"/>
        <v>Sabtu</v>
      </c>
    </row>
    <row r="734" spans="1:11" x14ac:dyDescent="0.25">
      <c r="A734" s="207" t="s">
        <v>789</v>
      </c>
      <c r="B734" s="112">
        <v>46014</v>
      </c>
      <c r="C734" s="109" t="s">
        <v>30</v>
      </c>
      <c r="D734" s="109" t="s">
        <v>22</v>
      </c>
      <c r="E734" s="109" t="s">
        <v>41</v>
      </c>
      <c r="F734" s="109" t="s">
        <v>42</v>
      </c>
      <c r="G734" s="109" t="s">
        <v>36</v>
      </c>
      <c r="H734" s="110">
        <v>60.75</v>
      </c>
      <c r="I734" s="109">
        <v>2</v>
      </c>
      <c r="J734" s="110">
        <v>121.5</v>
      </c>
      <c r="K734" t="str">
        <f t="shared" si="11"/>
        <v>Selasa</v>
      </c>
    </row>
    <row r="735" spans="1:11" x14ac:dyDescent="0.25">
      <c r="A735" s="207" t="s">
        <v>790</v>
      </c>
      <c r="B735" s="112">
        <v>45949</v>
      </c>
      <c r="C735" s="109" t="s">
        <v>30</v>
      </c>
      <c r="D735" s="109" t="s">
        <v>55</v>
      </c>
      <c r="E735" s="109" t="s">
        <v>41</v>
      </c>
      <c r="F735" s="109" t="s">
        <v>39</v>
      </c>
      <c r="G735" s="109" t="s">
        <v>36</v>
      </c>
      <c r="H735" s="110">
        <v>204.96</v>
      </c>
      <c r="I735" s="109">
        <v>15</v>
      </c>
      <c r="J735" s="110">
        <v>3074.4</v>
      </c>
      <c r="K735" t="str">
        <f t="shared" si="11"/>
        <v>Minggu</v>
      </c>
    </row>
    <row r="736" spans="1:11" x14ac:dyDescent="0.25">
      <c r="A736" s="207" t="s">
        <v>791</v>
      </c>
      <c r="B736" s="112">
        <v>45971</v>
      </c>
      <c r="C736" s="109" t="s">
        <v>17</v>
      </c>
      <c r="D736" s="109" t="s">
        <v>12</v>
      </c>
      <c r="E736" s="109" t="s">
        <v>23</v>
      </c>
      <c r="F736" s="109" t="s">
        <v>61</v>
      </c>
      <c r="G736" s="109" t="s">
        <v>36</v>
      </c>
      <c r="H736" s="110">
        <v>74.36</v>
      </c>
      <c r="I736" s="109">
        <v>1</v>
      </c>
      <c r="J736" s="110">
        <v>74.36</v>
      </c>
      <c r="K736" t="str">
        <f t="shared" si="11"/>
        <v>Senin</v>
      </c>
    </row>
    <row r="737" spans="1:11" x14ac:dyDescent="0.25">
      <c r="A737" s="207" t="s">
        <v>792</v>
      </c>
      <c r="B737" s="112">
        <v>45715</v>
      </c>
      <c r="C737" s="109" t="s">
        <v>38</v>
      </c>
      <c r="D737" s="109" t="s">
        <v>22</v>
      </c>
      <c r="E737" s="109" t="s">
        <v>45</v>
      </c>
      <c r="F737" s="109" t="s">
        <v>32</v>
      </c>
      <c r="G737" s="109" t="s">
        <v>20</v>
      </c>
      <c r="H737" s="110">
        <v>66</v>
      </c>
      <c r="I737" s="109">
        <v>14</v>
      </c>
      <c r="J737" s="110">
        <v>924</v>
      </c>
      <c r="K737" t="str">
        <f t="shared" si="11"/>
        <v>Kamis</v>
      </c>
    </row>
    <row r="738" spans="1:11" x14ac:dyDescent="0.25">
      <c r="A738" s="207" t="s">
        <v>793</v>
      </c>
      <c r="B738" s="112">
        <v>45818</v>
      </c>
      <c r="C738" s="109" t="s">
        <v>17</v>
      </c>
      <c r="D738" s="109" t="s">
        <v>12</v>
      </c>
      <c r="E738" s="109" t="s">
        <v>18</v>
      </c>
      <c r="F738" s="109" t="s">
        <v>39</v>
      </c>
      <c r="G738" s="109" t="s">
        <v>20</v>
      </c>
      <c r="H738" s="110">
        <v>66.14</v>
      </c>
      <c r="I738" s="109">
        <v>1</v>
      </c>
      <c r="J738" s="110">
        <v>66.14</v>
      </c>
      <c r="K738" t="str">
        <f t="shared" si="11"/>
        <v>Selasa</v>
      </c>
    </row>
    <row r="739" spans="1:11" x14ac:dyDescent="0.25">
      <c r="A739" s="207" t="s">
        <v>794</v>
      </c>
      <c r="B739" s="112">
        <v>45953</v>
      </c>
      <c r="C739" s="109" t="s">
        <v>30</v>
      </c>
      <c r="D739" s="109" t="s">
        <v>12</v>
      </c>
      <c r="E739" s="109" t="s">
        <v>13</v>
      </c>
      <c r="F739" s="109" t="s">
        <v>42</v>
      </c>
      <c r="G739" s="109" t="s">
        <v>20</v>
      </c>
      <c r="H739" s="110">
        <v>209.21</v>
      </c>
      <c r="I739" s="109">
        <v>19</v>
      </c>
      <c r="J739" s="110">
        <v>3974.99</v>
      </c>
      <c r="K739" t="str">
        <f t="shared" si="11"/>
        <v>Kamis</v>
      </c>
    </row>
    <row r="740" spans="1:11" x14ac:dyDescent="0.25">
      <c r="A740" s="207" t="s">
        <v>795</v>
      </c>
      <c r="B740" s="112">
        <v>46010</v>
      </c>
      <c r="C740" s="109" t="s">
        <v>11</v>
      </c>
      <c r="D740" s="109" t="s">
        <v>31</v>
      </c>
      <c r="E740" s="109" t="s">
        <v>27</v>
      </c>
      <c r="F740" s="109" t="s">
        <v>28</v>
      </c>
      <c r="G740" s="109" t="s">
        <v>15</v>
      </c>
      <c r="H740" s="110">
        <v>176.34</v>
      </c>
      <c r="I740" s="109">
        <v>20</v>
      </c>
      <c r="J740" s="110">
        <v>3526.8</v>
      </c>
      <c r="K740" t="str">
        <f t="shared" si="11"/>
        <v>Jumat</v>
      </c>
    </row>
    <row r="741" spans="1:11" x14ac:dyDescent="0.25">
      <c r="A741" s="207" t="s">
        <v>796</v>
      </c>
      <c r="B741" s="112">
        <v>45904</v>
      </c>
      <c r="C741" s="109" t="s">
        <v>17</v>
      </c>
      <c r="D741" s="109" t="s">
        <v>12</v>
      </c>
      <c r="E741" s="109" t="s">
        <v>27</v>
      </c>
      <c r="F741" s="109" t="s">
        <v>61</v>
      </c>
      <c r="G741" s="109" t="s">
        <v>15</v>
      </c>
      <c r="H741" s="110">
        <v>145.07</v>
      </c>
      <c r="I741" s="109">
        <v>12</v>
      </c>
      <c r="J741" s="110">
        <v>1740.84</v>
      </c>
      <c r="K741" t="str">
        <f t="shared" si="11"/>
        <v>Kamis</v>
      </c>
    </row>
    <row r="742" spans="1:11" x14ac:dyDescent="0.25">
      <c r="A742" s="207" t="s">
        <v>797</v>
      </c>
      <c r="B742" s="112">
        <v>45943</v>
      </c>
      <c r="C742" s="109" t="s">
        <v>11</v>
      </c>
      <c r="D742" s="109" t="s">
        <v>22</v>
      </c>
      <c r="E742" s="109" t="s">
        <v>27</v>
      </c>
      <c r="F742" s="109" t="s">
        <v>14</v>
      </c>
      <c r="G742" s="109" t="s">
        <v>20</v>
      </c>
      <c r="H742" s="110">
        <v>108.94</v>
      </c>
      <c r="I742" s="109">
        <v>20</v>
      </c>
      <c r="J742" s="110">
        <v>2178.8000000000002</v>
      </c>
      <c r="K742" t="str">
        <f t="shared" si="11"/>
        <v>Senin</v>
      </c>
    </row>
    <row r="743" spans="1:11" x14ac:dyDescent="0.25">
      <c r="A743" s="207" t="s">
        <v>798</v>
      </c>
      <c r="B743" s="112">
        <v>45898</v>
      </c>
      <c r="C743" s="109" t="s">
        <v>30</v>
      </c>
      <c r="D743" s="109" t="s">
        <v>22</v>
      </c>
      <c r="E743" s="109" t="s">
        <v>41</v>
      </c>
      <c r="F743" s="109" t="s">
        <v>32</v>
      </c>
      <c r="G743" s="109" t="s">
        <v>15</v>
      </c>
      <c r="H743" s="110">
        <v>222.98</v>
      </c>
      <c r="I743" s="109">
        <v>16</v>
      </c>
      <c r="J743" s="110">
        <v>3567.68</v>
      </c>
      <c r="K743" t="str">
        <f t="shared" si="11"/>
        <v>Jumat</v>
      </c>
    </row>
    <row r="744" spans="1:11" x14ac:dyDescent="0.25">
      <c r="A744" s="207" t="s">
        <v>799</v>
      </c>
      <c r="B744" s="112">
        <v>45827</v>
      </c>
      <c r="C744" s="109" t="s">
        <v>11</v>
      </c>
      <c r="D744" s="109" t="s">
        <v>55</v>
      </c>
      <c r="E744" s="109" t="s">
        <v>23</v>
      </c>
      <c r="F744" s="109" t="s">
        <v>42</v>
      </c>
      <c r="G744" s="109" t="s">
        <v>20</v>
      </c>
      <c r="H744" s="110">
        <v>116.34</v>
      </c>
      <c r="I744" s="109">
        <v>9</v>
      </c>
      <c r="J744" s="110">
        <v>1047.06</v>
      </c>
      <c r="K744" t="str">
        <f t="shared" si="11"/>
        <v>Kamis</v>
      </c>
    </row>
    <row r="745" spans="1:11" x14ac:dyDescent="0.25">
      <c r="A745" s="207" t="s">
        <v>800</v>
      </c>
      <c r="B745" s="112">
        <v>45851</v>
      </c>
      <c r="C745" s="109" t="s">
        <v>30</v>
      </c>
      <c r="D745" s="109" t="s">
        <v>22</v>
      </c>
      <c r="E745" s="109" t="s">
        <v>41</v>
      </c>
      <c r="F745" s="109" t="s">
        <v>61</v>
      </c>
      <c r="G745" s="109" t="s">
        <v>20</v>
      </c>
      <c r="H745" s="110">
        <v>209.65</v>
      </c>
      <c r="I745" s="109">
        <v>13</v>
      </c>
      <c r="J745" s="110">
        <v>2725.45</v>
      </c>
      <c r="K745" t="str">
        <f t="shared" si="11"/>
        <v>Minggu</v>
      </c>
    </row>
    <row r="746" spans="1:11" x14ac:dyDescent="0.25">
      <c r="A746" s="207" t="s">
        <v>801</v>
      </c>
      <c r="B746" s="112">
        <v>45887</v>
      </c>
      <c r="C746" s="109" t="s">
        <v>38</v>
      </c>
      <c r="D746" s="109" t="s">
        <v>31</v>
      </c>
      <c r="E746" s="109" t="s">
        <v>13</v>
      </c>
      <c r="F746" s="109" t="s">
        <v>19</v>
      </c>
      <c r="G746" s="109" t="s">
        <v>36</v>
      </c>
      <c r="H746" s="110">
        <v>126.61</v>
      </c>
      <c r="I746" s="109">
        <v>3</v>
      </c>
      <c r="J746" s="110">
        <v>379.83</v>
      </c>
      <c r="K746" t="str">
        <f t="shared" si="11"/>
        <v>Senin</v>
      </c>
    </row>
    <row r="747" spans="1:11" x14ac:dyDescent="0.25">
      <c r="A747" s="207" t="s">
        <v>802</v>
      </c>
      <c r="B747" s="112">
        <v>45992</v>
      </c>
      <c r="C747" s="109" t="s">
        <v>11</v>
      </c>
      <c r="D747" s="109" t="s">
        <v>31</v>
      </c>
      <c r="E747" s="109" t="s">
        <v>41</v>
      </c>
      <c r="F747" s="109" t="s">
        <v>19</v>
      </c>
      <c r="G747" s="109" t="s">
        <v>20</v>
      </c>
      <c r="H747" s="110">
        <v>112.93</v>
      </c>
      <c r="I747" s="109">
        <v>1</v>
      </c>
      <c r="J747" s="110">
        <v>112.93</v>
      </c>
      <c r="K747" t="str">
        <f t="shared" si="11"/>
        <v>Senin</v>
      </c>
    </row>
    <row r="748" spans="1:11" x14ac:dyDescent="0.25">
      <c r="A748" s="207" t="s">
        <v>803</v>
      </c>
      <c r="B748" s="112">
        <v>45939</v>
      </c>
      <c r="C748" s="109" t="s">
        <v>11</v>
      </c>
      <c r="D748" s="109" t="s">
        <v>55</v>
      </c>
      <c r="E748" s="109" t="s">
        <v>18</v>
      </c>
      <c r="F748" s="109" t="s">
        <v>28</v>
      </c>
      <c r="G748" s="109" t="s">
        <v>36</v>
      </c>
      <c r="H748" s="110">
        <v>131.79</v>
      </c>
      <c r="I748" s="109">
        <v>1</v>
      </c>
      <c r="J748" s="110">
        <v>131.79</v>
      </c>
      <c r="K748" t="str">
        <f t="shared" si="11"/>
        <v>Kamis</v>
      </c>
    </row>
    <row r="749" spans="1:11" x14ac:dyDescent="0.25">
      <c r="A749" s="207" t="s">
        <v>804</v>
      </c>
      <c r="B749" s="112">
        <v>45918</v>
      </c>
      <c r="C749" s="109" t="s">
        <v>30</v>
      </c>
      <c r="D749" s="109" t="s">
        <v>12</v>
      </c>
      <c r="E749" s="109" t="s">
        <v>27</v>
      </c>
      <c r="F749" s="109" t="s">
        <v>61</v>
      </c>
      <c r="G749" s="109" t="s">
        <v>36</v>
      </c>
      <c r="H749" s="110">
        <v>96.3</v>
      </c>
      <c r="I749" s="109">
        <v>18</v>
      </c>
      <c r="J749" s="110">
        <v>1733.4</v>
      </c>
      <c r="K749" t="str">
        <f t="shared" si="11"/>
        <v>Kamis</v>
      </c>
    </row>
    <row r="750" spans="1:11" x14ac:dyDescent="0.25">
      <c r="A750" s="207" t="s">
        <v>805</v>
      </c>
      <c r="B750" s="112">
        <v>45844</v>
      </c>
      <c r="C750" s="109" t="s">
        <v>30</v>
      </c>
      <c r="D750" s="109" t="s">
        <v>31</v>
      </c>
      <c r="E750" s="109" t="s">
        <v>13</v>
      </c>
      <c r="F750" s="109" t="s">
        <v>42</v>
      </c>
      <c r="G750" s="109" t="s">
        <v>20</v>
      </c>
      <c r="H750" s="110">
        <v>194.47</v>
      </c>
      <c r="I750" s="109">
        <v>2</v>
      </c>
      <c r="J750" s="110">
        <v>388.94</v>
      </c>
      <c r="K750" t="str">
        <f t="shared" si="11"/>
        <v>Minggu</v>
      </c>
    </row>
    <row r="751" spans="1:11" x14ac:dyDescent="0.25">
      <c r="A751" s="207" t="s">
        <v>806</v>
      </c>
      <c r="B751" s="112">
        <v>45965</v>
      </c>
      <c r="C751" s="109" t="s">
        <v>17</v>
      </c>
      <c r="D751" s="109" t="s">
        <v>12</v>
      </c>
      <c r="E751" s="109" t="s">
        <v>13</v>
      </c>
      <c r="F751" s="109" t="s">
        <v>28</v>
      </c>
      <c r="G751" s="109" t="s">
        <v>36</v>
      </c>
      <c r="H751" s="110">
        <v>140.6</v>
      </c>
      <c r="I751" s="109">
        <v>16</v>
      </c>
      <c r="J751" s="110">
        <v>2249.6</v>
      </c>
      <c r="K751" t="str">
        <f t="shared" si="11"/>
        <v>Selasa</v>
      </c>
    </row>
    <row r="752" spans="1:11" x14ac:dyDescent="0.25">
      <c r="A752" s="207" t="s">
        <v>807</v>
      </c>
      <c r="B752" s="112">
        <v>45716</v>
      </c>
      <c r="C752" s="109" t="s">
        <v>17</v>
      </c>
      <c r="D752" s="109" t="s">
        <v>26</v>
      </c>
      <c r="E752" s="109" t="s">
        <v>45</v>
      </c>
      <c r="F752" s="109" t="s">
        <v>32</v>
      </c>
      <c r="G752" s="109" t="s">
        <v>36</v>
      </c>
      <c r="H752" s="110">
        <v>81.09</v>
      </c>
      <c r="I752" s="109">
        <v>4</v>
      </c>
      <c r="J752" s="110">
        <v>324.36</v>
      </c>
      <c r="K752" t="str">
        <f t="shared" si="11"/>
        <v>Jumat</v>
      </c>
    </row>
    <row r="753" spans="1:11" x14ac:dyDescent="0.25">
      <c r="A753" s="207" t="s">
        <v>808</v>
      </c>
      <c r="B753" s="112">
        <v>45982</v>
      </c>
      <c r="C753" s="109" t="s">
        <v>25</v>
      </c>
      <c r="D753" s="109" t="s">
        <v>55</v>
      </c>
      <c r="E753" s="109" t="s">
        <v>13</v>
      </c>
      <c r="F753" s="109" t="s">
        <v>28</v>
      </c>
      <c r="G753" s="109" t="s">
        <v>15</v>
      </c>
      <c r="H753" s="110">
        <v>227.91</v>
      </c>
      <c r="I753" s="109">
        <v>10</v>
      </c>
      <c r="J753" s="110">
        <v>2279.1</v>
      </c>
      <c r="K753" t="str">
        <f t="shared" si="11"/>
        <v>Jumat</v>
      </c>
    </row>
    <row r="754" spans="1:11" x14ac:dyDescent="0.25">
      <c r="A754" s="207" t="s">
        <v>809</v>
      </c>
      <c r="B754" s="112">
        <v>45681</v>
      </c>
      <c r="C754" s="109" t="s">
        <v>38</v>
      </c>
      <c r="D754" s="109" t="s">
        <v>26</v>
      </c>
      <c r="E754" s="109" t="s">
        <v>27</v>
      </c>
      <c r="F754" s="109" t="s">
        <v>28</v>
      </c>
      <c r="G754" s="109" t="s">
        <v>20</v>
      </c>
      <c r="H754" s="110">
        <v>114.46</v>
      </c>
      <c r="I754" s="109">
        <v>6</v>
      </c>
      <c r="J754" s="110">
        <v>686.76</v>
      </c>
      <c r="K754" t="str">
        <f t="shared" si="11"/>
        <v>Jumat</v>
      </c>
    </row>
    <row r="755" spans="1:11" x14ac:dyDescent="0.25">
      <c r="A755" s="207" t="s">
        <v>810</v>
      </c>
      <c r="B755" s="112">
        <v>45867</v>
      </c>
      <c r="C755" s="109" t="s">
        <v>34</v>
      </c>
      <c r="D755" s="109" t="s">
        <v>55</v>
      </c>
      <c r="E755" s="109" t="s">
        <v>23</v>
      </c>
      <c r="F755" s="109" t="s">
        <v>14</v>
      </c>
      <c r="G755" s="109" t="s">
        <v>15</v>
      </c>
      <c r="H755" s="110">
        <v>149.58000000000001</v>
      </c>
      <c r="I755" s="109">
        <v>4</v>
      </c>
      <c r="J755" s="110">
        <v>598.32000000000005</v>
      </c>
      <c r="K755" t="str">
        <f t="shared" si="11"/>
        <v>Selasa</v>
      </c>
    </row>
    <row r="756" spans="1:11" x14ac:dyDescent="0.25">
      <c r="A756" s="207" t="s">
        <v>811</v>
      </c>
      <c r="B756" s="112">
        <v>45859</v>
      </c>
      <c r="C756" s="109" t="s">
        <v>38</v>
      </c>
      <c r="D756" s="109" t="s">
        <v>26</v>
      </c>
      <c r="E756" s="109" t="s">
        <v>27</v>
      </c>
      <c r="F756" s="109" t="s">
        <v>32</v>
      </c>
      <c r="G756" s="109" t="s">
        <v>15</v>
      </c>
      <c r="H756" s="110">
        <v>229.42</v>
      </c>
      <c r="I756" s="109">
        <v>7</v>
      </c>
      <c r="J756" s="110">
        <v>1605.94</v>
      </c>
      <c r="K756" t="str">
        <f t="shared" si="11"/>
        <v>Senin</v>
      </c>
    </row>
    <row r="757" spans="1:11" x14ac:dyDescent="0.25">
      <c r="A757" s="207" t="s">
        <v>812</v>
      </c>
      <c r="B757" s="112">
        <v>45870</v>
      </c>
      <c r="C757" s="109" t="s">
        <v>17</v>
      </c>
      <c r="D757" s="109" t="s">
        <v>12</v>
      </c>
      <c r="E757" s="109" t="s">
        <v>18</v>
      </c>
      <c r="F757" s="109" t="s">
        <v>19</v>
      </c>
      <c r="G757" s="109" t="s">
        <v>36</v>
      </c>
      <c r="H757" s="110">
        <v>167.33</v>
      </c>
      <c r="I757" s="109">
        <v>2</v>
      </c>
      <c r="J757" s="110">
        <v>334.66</v>
      </c>
      <c r="K757" t="str">
        <f t="shared" si="11"/>
        <v>Jumat</v>
      </c>
    </row>
    <row r="758" spans="1:11" x14ac:dyDescent="0.25">
      <c r="A758" s="207" t="s">
        <v>813</v>
      </c>
      <c r="B758" s="112">
        <v>45892</v>
      </c>
      <c r="C758" s="109" t="s">
        <v>25</v>
      </c>
      <c r="D758" s="109" t="s">
        <v>26</v>
      </c>
      <c r="E758" s="109" t="s">
        <v>41</v>
      </c>
      <c r="F758" s="109" t="s">
        <v>19</v>
      </c>
      <c r="G758" s="109" t="s">
        <v>20</v>
      </c>
      <c r="H758" s="110">
        <v>55.72</v>
      </c>
      <c r="I758" s="109">
        <v>19</v>
      </c>
      <c r="J758" s="110">
        <v>1058.68</v>
      </c>
      <c r="K758" t="str">
        <f t="shared" si="11"/>
        <v>Sabtu</v>
      </c>
    </row>
    <row r="759" spans="1:11" x14ac:dyDescent="0.25">
      <c r="A759" s="207" t="s">
        <v>814</v>
      </c>
      <c r="B759" s="112">
        <v>45682</v>
      </c>
      <c r="C759" s="109" t="s">
        <v>38</v>
      </c>
      <c r="D759" s="109" t="s">
        <v>55</v>
      </c>
      <c r="E759" s="109" t="s">
        <v>41</v>
      </c>
      <c r="F759" s="109" t="s">
        <v>42</v>
      </c>
      <c r="G759" s="109" t="s">
        <v>15</v>
      </c>
      <c r="H759" s="110">
        <v>236.76</v>
      </c>
      <c r="I759" s="109">
        <v>18</v>
      </c>
      <c r="J759" s="110">
        <v>4261.68</v>
      </c>
      <c r="K759" t="str">
        <f t="shared" si="11"/>
        <v>Sabtu</v>
      </c>
    </row>
    <row r="760" spans="1:11" x14ac:dyDescent="0.25">
      <c r="A760" s="207" t="s">
        <v>815</v>
      </c>
      <c r="B760" s="112">
        <v>46012</v>
      </c>
      <c r="C760" s="109" t="s">
        <v>30</v>
      </c>
      <c r="D760" s="109" t="s">
        <v>12</v>
      </c>
      <c r="E760" s="109" t="s">
        <v>23</v>
      </c>
      <c r="F760" s="109" t="s">
        <v>19</v>
      </c>
      <c r="G760" s="109" t="s">
        <v>36</v>
      </c>
      <c r="H760" s="110">
        <v>168.1</v>
      </c>
      <c r="I760" s="109">
        <v>19</v>
      </c>
      <c r="J760" s="110">
        <v>3193.9</v>
      </c>
      <c r="K760" t="str">
        <f t="shared" si="11"/>
        <v>Minggu</v>
      </c>
    </row>
    <row r="761" spans="1:11" x14ac:dyDescent="0.25">
      <c r="A761" s="207" t="s">
        <v>816</v>
      </c>
      <c r="B761" s="112">
        <v>45994</v>
      </c>
      <c r="C761" s="109" t="s">
        <v>25</v>
      </c>
      <c r="D761" s="109" t="s">
        <v>35</v>
      </c>
      <c r="E761" s="109" t="s">
        <v>18</v>
      </c>
      <c r="F761" s="109" t="s">
        <v>61</v>
      </c>
      <c r="G761" s="109" t="s">
        <v>36</v>
      </c>
      <c r="H761" s="110">
        <v>103.68</v>
      </c>
      <c r="I761" s="109">
        <v>20</v>
      </c>
      <c r="J761" s="110">
        <v>2073.6</v>
      </c>
      <c r="K761" t="str">
        <f t="shared" si="11"/>
        <v>Rabu</v>
      </c>
    </row>
    <row r="762" spans="1:11" x14ac:dyDescent="0.25">
      <c r="A762" s="207" t="s">
        <v>817</v>
      </c>
      <c r="B762" s="112">
        <v>45969</v>
      </c>
      <c r="C762" s="109" t="s">
        <v>34</v>
      </c>
      <c r="D762" s="109" t="s">
        <v>31</v>
      </c>
      <c r="E762" s="109" t="s">
        <v>13</v>
      </c>
      <c r="F762" s="109" t="s">
        <v>32</v>
      </c>
      <c r="G762" s="109" t="s">
        <v>36</v>
      </c>
      <c r="H762" s="110">
        <v>60.64</v>
      </c>
      <c r="I762" s="109">
        <v>8</v>
      </c>
      <c r="J762" s="110">
        <v>485.12</v>
      </c>
      <c r="K762" t="str">
        <f t="shared" si="11"/>
        <v>Sabtu</v>
      </c>
    </row>
    <row r="763" spans="1:11" x14ac:dyDescent="0.25">
      <c r="A763" s="207" t="s">
        <v>818</v>
      </c>
      <c r="B763" s="112">
        <v>45726</v>
      </c>
      <c r="C763" s="109" t="s">
        <v>38</v>
      </c>
      <c r="D763" s="109" t="s">
        <v>55</v>
      </c>
      <c r="E763" s="109" t="s">
        <v>27</v>
      </c>
      <c r="F763" s="109" t="s">
        <v>28</v>
      </c>
      <c r="G763" s="109" t="s">
        <v>20</v>
      </c>
      <c r="H763" s="110">
        <v>204.69</v>
      </c>
      <c r="I763" s="109">
        <v>5</v>
      </c>
      <c r="J763" s="110">
        <v>1023.45</v>
      </c>
      <c r="K763" t="str">
        <f t="shared" si="11"/>
        <v>Senin</v>
      </c>
    </row>
    <row r="764" spans="1:11" x14ac:dyDescent="0.25">
      <c r="A764" s="207" t="s">
        <v>819</v>
      </c>
      <c r="B764" s="112">
        <v>45811</v>
      </c>
      <c r="C764" s="109" t="s">
        <v>34</v>
      </c>
      <c r="D764" s="109" t="s">
        <v>12</v>
      </c>
      <c r="E764" s="109" t="s">
        <v>27</v>
      </c>
      <c r="F764" s="109" t="s">
        <v>42</v>
      </c>
      <c r="G764" s="109" t="s">
        <v>20</v>
      </c>
      <c r="H764" s="110">
        <v>166.42</v>
      </c>
      <c r="I764" s="109">
        <v>18</v>
      </c>
      <c r="J764" s="110">
        <v>2995.56</v>
      </c>
      <c r="K764" t="str">
        <f t="shared" si="11"/>
        <v>Selasa</v>
      </c>
    </row>
    <row r="765" spans="1:11" x14ac:dyDescent="0.25">
      <c r="A765" s="207" t="s">
        <v>820</v>
      </c>
      <c r="B765" s="112">
        <v>45769</v>
      </c>
      <c r="C765" s="109" t="s">
        <v>30</v>
      </c>
      <c r="D765" s="109" t="s">
        <v>55</v>
      </c>
      <c r="E765" s="109" t="s">
        <v>27</v>
      </c>
      <c r="F765" s="109" t="s">
        <v>32</v>
      </c>
      <c r="G765" s="109" t="s">
        <v>20</v>
      </c>
      <c r="H765" s="110">
        <v>147.36000000000001</v>
      </c>
      <c r="I765" s="109">
        <v>7</v>
      </c>
      <c r="J765" s="110">
        <v>1031.52</v>
      </c>
      <c r="K765" t="str">
        <f t="shared" si="11"/>
        <v>Selasa</v>
      </c>
    </row>
    <row r="766" spans="1:11" x14ac:dyDescent="0.25">
      <c r="A766" s="207" t="s">
        <v>821</v>
      </c>
      <c r="B766" s="112">
        <v>45834</v>
      </c>
      <c r="C766" s="109" t="s">
        <v>17</v>
      </c>
      <c r="D766" s="109" t="s">
        <v>12</v>
      </c>
      <c r="E766" s="109" t="s">
        <v>23</v>
      </c>
      <c r="F766" s="109" t="s">
        <v>42</v>
      </c>
      <c r="G766" s="109" t="s">
        <v>20</v>
      </c>
      <c r="H766" s="110">
        <v>226.66</v>
      </c>
      <c r="I766" s="109">
        <v>5</v>
      </c>
      <c r="J766" s="110">
        <v>1133.3</v>
      </c>
      <c r="K766" t="str">
        <f t="shared" si="11"/>
        <v>Kamis</v>
      </c>
    </row>
    <row r="767" spans="1:11" x14ac:dyDescent="0.25">
      <c r="A767" s="207" t="s">
        <v>822</v>
      </c>
      <c r="B767" s="112">
        <v>46013</v>
      </c>
      <c r="C767" s="109" t="s">
        <v>17</v>
      </c>
      <c r="D767" s="109" t="s">
        <v>22</v>
      </c>
      <c r="E767" s="109" t="s">
        <v>13</v>
      </c>
      <c r="F767" s="109" t="s">
        <v>42</v>
      </c>
      <c r="G767" s="109" t="s">
        <v>36</v>
      </c>
      <c r="H767" s="110">
        <v>203.49</v>
      </c>
      <c r="I767" s="109">
        <v>11</v>
      </c>
      <c r="J767" s="110">
        <v>2238.39</v>
      </c>
      <c r="K767" t="str">
        <f t="shared" si="11"/>
        <v>Senin</v>
      </c>
    </row>
    <row r="768" spans="1:11" x14ac:dyDescent="0.25">
      <c r="A768" s="207" t="s">
        <v>823</v>
      </c>
      <c r="B768" s="112">
        <v>45956</v>
      </c>
      <c r="C768" s="109" t="s">
        <v>17</v>
      </c>
      <c r="D768" s="109" t="s">
        <v>12</v>
      </c>
      <c r="E768" s="109" t="s">
        <v>41</v>
      </c>
      <c r="F768" s="109" t="s">
        <v>28</v>
      </c>
      <c r="G768" s="109" t="s">
        <v>20</v>
      </c>
      <c r="H768" s="110">
        <v>63.37</v>
      </c>
      <c r="I768" s="109">
        <v>19</v>
      </c>
      <c r="J768" s="110">
        <v>1204.03</v>
      </c>
      <c r="K768" t="str">
        <f t="shared" si="11"/>
        <v>Minggu</v>
      </c>
    </row>
    <row r="769" spans="1:11" x14ac:dyDescent="0.25">
      <c r="A769" s="207" t="s">
        <v>824</v>
      </c>
      <c r="B769" s="112">
        <v>45931</v>
      </c>
      <c r="C769" s="109" t="s">
        <v>38</v>
      </c>
      <c r="D769" s="109" t="s">
        <v>22</v>
      </c>
      <c r="E769" s="109" t="s">
        <v>18</v>
      </c>
      <c r="F769" s="109" t="s">
        <v>19</v>
      </c>
      <c r="G769" s="109" t="s">
        <v>15</v>
      </c>
      <c r="H769" s="110">
        <v>98.58</v>
      </c>
      <c r="I769" s="109">
        <v>10</v>
      </c>
      <c r="J769" s="110">
        <v>985.8</v>
      </c>
      <c r="K769" t="str">
        <f t="shared" si="11"/>
        <v>Rabu</v>
      </c>
    </row>
    <row r="770" spans="1:11" x14ac:dyDescent="0.25">
      <c r="A770" s="207" t="s">
        <v>825</v>
      </c>
      <c r="B770" s="112">
        <v>45853</v>
      </c>
      <c r="C770" s="109" t="s">
        <v>11</v>
      </c>
      <c r="D770" s="109" t="s">
        <v>12</v>
      </c>
      <c r="E770" s="109" t="s">
        <v>45</v>
      </c>
      <c r="F770" s="109" t="s">
        <v>14</v>
      </c>
      <c r="G770" s="109" t="s">
        <v>36</v>
      </c>
      <c r="H770" s="110">
        <v>84.67</v>
      </c>
      <c r="I770" s="109">
        <v>5</v>
      </c>
      <c r="J770" s="110">
        <v>423.35</v>
      </c>
      <c r="K770" t="str">
        <f t="shared" si="11"/>
        <v>Selasa</v>
      </c>
    </row>
    <row r="771" spans="1:11" x14ac:dyDescent="0.25">
      <c r="A771" s="207" t="s">
        <v>826</v>
      </c>
      <c r="B771" s="112">
        <v>45740</v>
      </c>
      <c r="C771" s="109" t="s">
        <v>17</v>
      </c>
      <c r="D771" s="109" t="s">
        <v>35</v>
      </c>
      <c r="E771" s="109" t="s">
        <v>23</v>
      </c>
      <c r="F771" s="109" t="s">
        <v>39</v>
      </c>
      <c r="G771" s="109" t="s">
        <v>15</v>
      </c>
      <c r="H771" s="110">
        <v>193.67</v>
      </c>
      <c r="I771" s="109">
        <v>10</v>
      </c>
      <c r="J771" s="110">
        <v>1936.7</v>
      </c>
      <c r="K771" t="str">
        <f t="shared" ref="K771:K834" si="12">TEXT(B771,"dddd")</f>
        <v>Senin</v>
      </c>
    </row>
    <row r="772" spans="1:11" x14ac:dyDescent="0.25">
      <c r="A772" s="207" t="s">
        <v>827</v>
      </c>
      <c r="B772" s="112">
        <v>46011</v>
      </c>
      <c r="C772" s="109" t="s">
        <v>30</v>
      </c>
      <c r="D772" s="109" t="s">
        <v>55</v>
      </c>
      <c r="E772" s="109" t="s">
        <v>45</v>
      </c>
      <c r="F772" s="109" t="s">
        <v>32</v>
      </c>
      <c r="G772" s="109" t="s">
        <v>36</v>
      </c>
      <c r="H772" s="110">
        <v>37.380000000000003</v>
      </c>
      <c r="I772" s="109">
        <v>10</v>
      </c>
      <c r="J772" s="110">
        <v>373.8</v>
      </c>
      <c r="K772" t="str">
        <f t="shared" si="12"/>
        <v>Sabtu</v>
      </c>
    </row>
    <row r="773" spans="1:11" x14ac:dyDescent="0.25">
      <c r="A773" s="207" t="s">
        <v>828</v>
      </c>
      <c r="B773" s="112">
        <v>45710</v>
      </c>
      <c r="C773" s="109" t="s">
        <v>17</v>
      </c>
      <c r="D773" s="109" t="s">
        <v>12</v>
      </c>
      <c r="E773" s="109" t="s">
        <v>18</v>
      </c>
      <c r="F773" s="109" t="s">
        <v>39</v>
      </c>
      <c r="G773" s="109" t="s">
        <v>15</v>
      </c>
      <c r="H773" s="110">
        <v>155.38</v>
      </c>
      <c r="I773" s="109">
        <v>20</v>
      </c>
      <c r="J773" s="110">
        <v>3107.6</v>
      </c>
      <c r="K773" t="str">
        <f t="shared" si="12"/>
        <v>Sabtu</v>
      </c>
    </row>
    <row r="774" spans="1:11" x14ac:dyDescent="0.25">
      <c r="A774" s="207" t="s">
        <v>829</v>
      </c>
      <c r="B774" s="112">
        <v>45989</v>
      </c>
      <c r="C774" s="109" t="s">
        <v>38</v>
      </c>
      <c r="D774" s="109" t="s">
        <v>26</v>
      </c>
      <c r="E774" s="109" t="s">
        <v>18</v>
      </c>
      <c r="F774" s="109" t="s">
        <v>39</v>
      </c>
      <c r="G774" s="109" t="s">
        <v>20</v>
      </c>
      <c r="H774" s="110">
        <v>197.74</v>
      </c>
      <c r="I774" s="109">
        <v>18</v>
      </c>
      <c r="J774" s="110">
        <v>3559.32</v>
      </c>
      <c r="K774" t="str">
        <f t="shared" si="12"/>
        <v>Jumat</v>
      </c>
    </row>
    <row r="775" spans="1:11" x14ac:dyDescent="0.25">
      <c r="A775" s="207" t="s">
        <v>830</v>
      </c>
      <c r="B775" s="112">
        <v>45805</v>
      </c>
      <c r="C775" s="109" t="s">
        <v>38</v>
      </c>
      <c r="D775" s="109" t="s">
        <v>31</v>
      </c>
      <c r="E775" s="109" t="s">
        <v>41</v>
      </c>
      <c r="F775" s="109" t="s">
        <v>39</v>
      </c>
      <c r="G775" s="109" t="s">
        <v>20</v>
      </c>
      <c r="H775" s="110">
        <v>222.89</v>
      </c>
      <c r="I775" s="109">
        <v>2</v>
      </c>
      <c r="J775" s="110">
        <v>445.78</v>
      </c>
      <c r="K775" t="str">
        <f t="shared" si="12"/>
        <v>Rabu</v>
      </c>
    </row>
    <row r="776" spans="1:11" x14ac:dyDescent="0.25">
      <c r="A776" s="207" t="s">
        <v>831</v>
      </c>
      <c r="B776" s="112">
        <v>45818</v>
      </c>
      <c r="C776" s="109" t="s">
        <v>11</v>
      </c>
      <c r="D776" s="109" t="s">
        <v>22</v>
      </c>
      <c r="E776" s="109" t="s">
        <v>27</v>
      </c>
      <c r="F776" s="109" t="s">
        <v>32</v>
      </c>
      <c r="G776" s="109" t="s">
        <v>15</v>
      </c>
      <c r="H776" s="110">
        <v>105.26</v>
      </c>
      <c r="I776" s="109">
        <v>18</v>
      </c>
      <c r="J776" s="110">
        <v>1894.68</v>
      </c>
      <c r="K776" t="str">
        <f t="shared" si="12"/>
        <v>Selasa</v>
      </c>
    </row>
    <row r="777" spans="1:11" x14ac:dyDescent="0.25">
      <c r="A777" s="207" t="s">
        <v>832</v>
      </c>
      <c r="B777" s="112">
        <v>45975</v>
      </c>
      <c r="C777" s="109" t="s">
        <v>30</v>
      </c>
      <c r="D777" s="109" t="s">
        <v>12</v>
      </c>
      <c r="E777" s="109" t="s">
        <v>27</v>
      </c>
      <c r="F777" s="109" t="s">
        <v>28</v>
      </c>
      <c r="G777" s="109" t="s">
        <v>20</v>
      </c>
      <c r="H777" s="110">
        <v>210.68</v>
      </c>
      <c r="I777" s="109">
        <v>15</v>
      </c>
      <c r="J777" s="110">
        <v>3160.2</v>
      </c>
      <c r="K777" t="str">
        <f t="shared" si="12"/>
        <v>Jumat</v>
      </c>
    </row>
    <row r="778" spans="1:11" x14ac:dyDescent="0.25">
      <c r="A778" s="207" t="s">
        <v>833</v>
      </c>
      <c r="B778" s="112">
        <v>45846</v>
      </c>
      <c r="C778" s="109" t="s">
        <v>25</v>
      </c>
      <c r="D778" s="109" t="s">
        <v>12</v>
      </c>
      <c r="E778" s="109" t="s">
        <v>18</v>
      </c>
      <c r="F778" s="109" t="s">
        <v>14</v>
      </c>
      <c r="G778" s="109" t="s">
        <v>20</v>
      </c>
      <c r="H778" s="110">
        <v>54.34</v>
      </c>
      <c r="I778" s="109">
        <v>19</v>
      </c>
      <c r="J778" s="110">
        <v>1032.46</v>
      </c>
      <c r="K778" t="str">
        <f t="shared" si="12"/>
        <v>Selasa</v>
      </c>
    </row>
    <row r="779" spans="1:11" x14ac:dyDescent="0.25">
      <c r="A779" s="207" t="s">
        <v>834</v>
      </c>
      <c r="B779" s="112">
        <v>45757</v>
      </c>
      <c r="C779" s="109" t="s">
        <v>38</v>
      </c>
      <c r="D779" s="109" t="s">
        <v>26</v>
      </c>
      <c r="E779" s="109" t="s">
        <v>27</v>
      </c>
      <c r="F779" s="109" t="s">
        <v>19</v>
      </c>
      <c r="G779" s="109" t="s">
        <v>15</v>
      </c>
      <c r="H779" s="110">
        <v>216.22</v>
      </c>
      <c r="I779" s="109">
        <v>10</v>
      </c>
      <c r="J779" s="110">
        <v>2162.1999999999998</v>
      </c>
      <c r="K779" t="str">
        <f t="shared" si="12"/>
        <v>Kamis</v>
      </c>
    </row>
    <row r="780" spans="1:11" x14ac:dyDescent="0.25">
      <c r="A780" s="207" t="s">
        <v>835</v>
      </c>
      <c r="B780" s="112">
        <v>45746</v>
      </c>
      <c r="C780" s="109" t="s">
        <v>11</v>
      </c>
      <c r="D780" s="109" t="s">
        <v>31</v>
      </c>
      <c r="E780" s="109" t="s">
        <v>45</v>
      </c>
      <c r="F780" s="109" t="s">
        <v>61</v>
      </c>
      <c r="G780" s="109" t="s">
        <v>36</v>
      </c>
      <c r="H780" s="110">
        <v>58.05</v>
      </c>
      <c r="I780" s="109">
        <v>17</v>
      </c>
      <c r="J780" s="110">
        <v>986.85</v>
      </c>
      <c r="K780" t="str">
        <f t="shared" si="12"/>
        <v>Minggu</v>
      </c>
    </row>
    <row r="781" spans="1:11" x14ac:dyDescent="0.25">
      <c r="A781" s="207" t="s">
        <v>836</v>
      </c>
      <c r="B781" s="112">
        <v>45942</v>
      </c>
      <c r="C781" s="109" t="s">
        <v>30</v>
      </c>
      <c r="D781" s="109" t="s">
        <v>26</v>
      </c>
      <c r="E781" s="109" t="s">
        <v>18</v>
      </c>
      <c r="F781" s="109" t="s">
        <v>39</v>
      </c>
      <c r="G781" s="109" t="s">
        <v>36</v>
      </c>
      <c r="H781" s="110">
        <v>117.4</v>
      </c>
      <c r="I781" s="109">
        <v>9</v>
      </c>
      <c r="J781" s="110">
        <v>1056.5999999999999</v>
      </c>
      <c r="K781" t="str">
        <f t="shared" si="12"/>
        <v>Minggu</v>
      </c>
    </row>
    <row r="782" spans="1:11" x14ac:dyDescent="0.25">
      <c r="A782" s="207" t="s">
        <v>837</v>
      </c>
      <c r="B782" s="112">
        <v>45660</v>
      </c>
      <c r="C782" s="109" t="s">
        <v>38</v>
      </c>
      <c r="D782" s="109" t="s">
        <v>12</v>
      </c>
      <c r="E782" s="109" t="s">
        <v>23</v>
      </c>
      <c r="F782" s="109" t="s">
        <v>19</v>
      </c>
      <c r="G782" s="109" t="s">
        <v>15</v>
      </c>
      <c r="H782" s="110">
        <v>205.4</v>
      </c>
      <c r="I782" s="109">
        <v>11</v>
      </c>
      <c r="J782" s="110">
        <v>2259.4</v>
      </c>
      <c r="K782" t="str">
        <f t="shared" si="12"/>
        <v>Jumat</v>
      </c>
    </row>
    <row r="783" spans="1:11" x14ac:dyDescent="0.25">
      <c r="A783" s="207" t="s">
        <v>838</v>
      </c>
      <c r="B783" s="112">
        <v>45823</v>
      </c>
      <c r="C783" s="109" t="s">
        <v>11</v>
      </c>
      <c r="D783" s="109" t="s">
        <v>12</v>
      </c>
      <c r="E783" s="109" t="s">
        <v>18</v>
      </c>
      <c r="F783" s="109" t="s">
        <v>39</v>
      </c>
      <c r="G783" s="109" t="s">
        <v>20</v>
      </c>
      <c r="H783" s="110">
        <v>62.98</v>
      </c>
      <c r="I783" s="109">
        <v>20</v>
      </c>
      <c r="J783" s="110">
        <v>1259.5999999999999</v>
      </c>
      <c r="K783" t="str">
        <f t="shared" si="12"/>
        <v>Minggu</v>
      </c>
    </row>
    <row r="784" spans="1:11" x14ac:dyDescent="0.25">
      <c r="A784" s="207" t="s">
        <v>839</v>
      </c>
      <c r="B784" s="112">
        <v>45812</v>
      </c>
      <c r="C784" s="109" t="s">
        <v>25</v>
      </c>
      <c r="D784" s="109" t="s">
        <v>55</v>
      </c>
      <c r="E784" s="109" t="s">
        <v>13</v>
      </c>
      <c r="F784" s="109" t="s">
        <v>19</v>
      </c>
      <c r="G784" s="109" t="s">
        <v>20</v>
      </c>
      <c r="H784" s="110">
        <v>80.44</v>
      </c>
      <c r="I784" s="109">
        <v>16</v>
      </c>
      <c r="J784" s="110">
        <v>1287.04</v>
      </c>
      <c r="K784" t="str">
        <f t="shared" si="12"/>
        <v>Rabu</v>
      </c>
    </row>
    <row r="785" spans="1:11" x14ac:dyDescent="0.25">
      <c r="A785" s="207" t="s">
        <v>840</v>
      </c>
      <c r="B785" s="112">
        <v>45820</v>
      </c>
      <c r="C785" s="109" t="s">
        <v>30</v>
      </c>
      <c r="D785" s="109" t="s">
        <v>26</v>
      </c>
      <c r="E785" s="109" t="s">
        <v>18</v>
      </c>
      <c r="F785" s="109" t="s">
        <v>19</v>
      </c>
      <c r="G785" s="109" t="s">
        <v>20</v>
      </c>
      <c r="H785" s="110">
        <v>188.9</v>
      </c>
      <c r="I785" s="109">
        <v>17</v>
      </c>
      <c r="J785" s="110">
        <v>3211.3</v>
      </c>
      <c r="K785" t="str">
        <f t="shared" si="12"/>
        <v>Kamis</v>
      </c>
    </row>
    <row r="786" spans="1:11" x14ac:dyDescent="0.25">
      <c r="A786" s="207" t="s">
        <v>841</v>
      </c>
      <c r="B786" s="112">
        <v>45739</v>
      </c>
      <c r="C786" s="109" t="s">
        <v>25</v>
      </c>
      <c r="D786" s="109" t="s">
        <v>55</v>
      </c>
      <c r="E786" s="109" t="s">
        <v>41</v>
      </c>
      <c r="F786" s="109" t="s">
        <v>19</v>
      </c>
      <c r="G786" s="109" t="s">
        <v>36</v>
      </c>
      <c r="H786" s="110">
        <v>188.41</v>
      </c>
      <c r="I786" s="109">
        <v>14</v>
      </c>
      <c r="J786" s="110">
        <v>2637.74</v>
      </c>
      <c r="K786" t="str">
        <f t="shared" si="12"/>
        <v>Minggu</v>
      </c>
    </row>
    <row r="787" spans="1:11" x14ac:dyDescent="0.25">
      <c r="A787" s="207" t="s">
        <v>842</v>
      </c>
      <c r="B787" s="112">
        <v>45771</v>
      </c>
      <c r="C787" s="109" t="s">
        <v>17</v>
      </c>
      <c r="D787" s="109" t="s">
        <v>35</v>
      </c>
      <c r="E787" s="109" t="s">
        <v>13</v>
      </c>
      <c r="F787" s="109" t="s">
        <v>32</v>
      </c>
      <c r="G787" s="109" t="s">
        <v>36</v>
      </c>
      <c r="H787" s="110">
        <v>171.05</v>
      </c>
      <c r="I787" s="109">
        <v>7</v>
      </c>
      <c r="J787" s="110">
        <v>1197.3499999999999</v>
      </c>
      <c r="K787" t="str">
        <f t="shared" si="12"/>
        <v>Kamis</v>
      </c>
    </row>
    <row r="788" spans="1:11" x14ac:dyDescent="0.25">
      <c r="A788" s="207" t="s">
        <v>843</v>
      </c>
      <c r="B788" s="112">
        <v>45769</v>
      </c>
      <c r="C788" s="109" t="s">
        <v>25</v>
      </c>
      <c r="D788" s="109" t="s">
        <v>31</v>
      </c>
      <c r="E788" s="109" t="s">
        <v>18</v>
      </c>
      <c r="F788" s="109" t="s">
        <v>39</v>
      </c>
      <c r="G788" s="109" t="s">
        <v>20</v>
      </c>
      <c r="H788" s="110">
        <v>182.67</v>
      </c>
      <c r="I788" s="109">
        <v>20</v>
      </c>
      <c r="J788" s="110">
        <v>3653.4</v>
      </c>
      <c r="K788" t="str">
        <f t="shared" si="12"/>
        <v>Selasa</v>
      </c>
    </row>
    <row r="789" spans="1:11" x14ac:dyDescent="0.25">
      <c r="A789" s="207" t="s">
        <v>844</v>
      </c>
      <c r="B789" s="112">
        <v>45662</v>
      </c>
      <c r="C789" s="109" t="s">
        <v>17</v>
      </c>
      <c r="D789" s="109" t="s">
        <v>35</v>
      </c>
      <c r="E789" s="109" t="s">
        <v>41</v>
      </c>
      <c r="F789" s="109" t="s">
        <v>14</v>
      </c>
      <c r="G789" s="109" t="s">
        <v>20</v>
      </c>
      <c r="H789" s="110">
        <v>149.4</v>
      </c>
      <c r="I789" s="109">
        <v>4</v>
      </c>
      <c r="J789" s="110">
        <v>597.6</v>
      </c>
      <c r="K789" t="str">
        <f t="shared" si="12"/>
        <v>Minggu</v>
      </c>
    </row>
    <row r="790" spans="1:11" x14ac:dyDescent="0.25">
      <c r="A790" s="207" t="s">
        <v>845</v>
      </c>
      <c r="B790" s="112">
        <v>45972</v>
      </c>
      <c r="C790" s="109" t="s">
        <v>30</v>
      </c>
      <c r="D790" s="109" t="s">
        <v>22</v>
      </c>
      <c r="E790" s="109" t="s">
        <v>27</v>
      </c>
      <c r="F790" s="109" t="s">
        <v>32</v>
      </c>
      <c r="G790" s="109" t="s">
        <v>36</v>
      </c>
      <c r="H790" s="110">
        <v>85.4</v>
      </c>
      <c r="I790" s="109">
        <v>20</v>
      </c>
      <c r="J790" s="110">
        <v>1708</v>
      </c>
      <c r="K790" t="str">
        <f t="shared" si="12"/>
        <v>Selasa</v>
      </c>
    </row>
    <row r="791" spans="1:11" x14ac:dyDescent="0.25">
      <c r="A791" s="207" t="s">
        <v>846</v>
      </c>
      <c r="B791" s="112">
        <v>45716</v>
      </c>
      <c r="C791" s="109" t="s">
        <v>34</v>
      </c>
      <c r="D791" s="109" t="s">
        <v>55</v>
      </c>
      <c r="E791" s="109" t="s">
        <v>27</v>
      </c>
      <c r="F791" s="109" t="s">
        <v>32</v>
      </c>
      <c r="G791" s="109" t="s">
        <v>15</v>
      </c>
      <c r="H791" s="110">
        <v>106.05</v>
      </c>
      <c r="I791" s="109">
        <v>13</v>
      </c>
      <c r="J791" s="110">
        <v>1378.65</v>
      </c>
      <c r="K791" t="str">
        <f t="shared" si="12"/>
        <v>Jumat</v>
      </c>
    </row>
    <row r="792" spans="1:11" x14ac:dyDescent="0.25">
      <c r="A792" s="207" t="s">
        <v>847</v>
      </c>
      <c r="B792" s="112">
        <v>45922</v>
      </c>
      <c r="C792" s="109" t="s">
        <v>25</v>
      </c>
      <c r="D792" s="109" t="s">
        <v>55</v>
      </c>
      <c r="E792" s="109" t="s">
        <v>41</v>
      </c>
      <c r="F792" s="109" t="s">
        <v>61</v>
      </c>
      <c r="G792" s="109" t="s">
        <v>15</v>
      </c>
      <c r="H792" s="110">
        <v>69.95</v>
      </c>
      <c r="I792" s="109">
        <v>12</v>
      </c>
      <c r="J792" s="110">
        <v>839.4</v>
      </c>
      <c r="K792" t="str">
        <f t="shared" si="12"/>
        <v>Senin</v>
      </c>
    </row>
    <row r="793" spans="1:11" x14ac:dyDescent="0.25">
      <c r="A793" s="207" t="s">
        <v>848</v>
      </c>
      <c r="B793" s="112">
        <v>45809</v>
      </c>
      <c r="C793" s="109" t="s">
        <v>34</v>
      </c>
      <c r="D793" s="109" t="s">
        <v>55</v>
      </c>
      <c r="E793" s="109" t="s">
        <v>45</v>
      </c>
      <c r="F793" s="109" t="s">
        <v>19</v>
      </c>
      <c r="G793" s="109" t="s">
        <v>15</v>
      </c>
      <c r="H793" s="110">
        <v>229.86</v>
      </c>
      <c r="I793" s="109">
        <v>7</v>
      </c>
      <c r="J793" s="110">
        <v>1609.02</v>
      </c>
      <c r="K793" t="str">
        <f t="shared" si="12"/>
        <v>Minggu</v>
      </c>
    </row>
    <row r="794" spans="1:11" x14ac:dyDescent="0.25">
      <c r="A794" s="207" t="s">
        <v>849</v>
      </c>
      <c r="B794" s="112">
        <v>45933</v>
      </c>
      <c r="C794" s="109" t="s">
        <v>11</v>
      </c>
      <c r="D794" s="109" t="s">
        <v>12</v>
      </c>
      <c r="E794" s="109" t="s">
        <v>45</v>
      </c>
      <c r="F794" s="109" t="s">
        <v>14</v>
      </c>
      <c r="G794" s="109" t="s">
        <v>20</v>
      </c>
      <c r="H794" s="110">
        <v>158.35</v>
      </c>
      <c r="I794" s="109">
        <v>18</v>
      </c>
      <c r="J794" s="110">
        <v>2850.3</v>
      </c>
      <c r="K794" t="str">
        <f t="shared" si="12"/>
        <v>Jumat</v>
      </c>
    </row>
    <row r="795" spans="1:11" x14ac:dyDescent="0.25">
      <c r="A795" s="207" t="s">
        <v>850</v>
      </c>
      <c r="B795" s="112">
        <v>45980</v>
      </c>
      <c r="C795" s="109" t="s">
        <v>17</v>
      </c>
      <c r="D795" s="109" t="s">
        <v>31</v>
      </c>
      <c r="E795" s="109" t="s">
        <v>45</v>
      </c>
      <c r="F795" s="109" t="s">
        <v>14</v>
      </c>
      <c r="G795" s="109" t="s">
        <v>20</v>
      </c>
      <c r="H795" s="110">
        <v>118.19</v>
      </c>
      <c r="I795" s="109">
        <v>7</v>
      </c>
      <c r="J795" s="110">
        <v>827.33</v>
      </c>
      <c r="K795" t="str">
        <f t="shared" si="12"/>
        <v>Rabu</v>
      </c>
    </row>
    <row r="796" spans="1:11" x14ac:dyDescent="0.25">
      <c r="A796" s="207" t="s">
        <v>851</v>
      </c>
      <c r="B796" s="112">
        <v>46017</v>
      </c>
      <c r="C796" s="109" t="s">
        <v>17</v>
      </c>
      <c r="D796" s="109" t="s">
        <v>22</v>
      </c>
      <c r="E796" s="109" t="s">
        <v>27</v>
      </c>
      <c r="F796" s="109" t="s">
        <v>28</v>
      </c>
      <c r="G796" s="109" t="s">
        <v>15</v>
      </c>
      <c r="H796" s="110">
        <v>131.63999999999999</v>
      </c>
      <c r="I796" s="109">
        <v>14</v>
      </c>
      <c r="J796" s="110">
        <v>1842.96</v>
      </c>
      <c r="K796" t="str">
        <f t="shared" si="12"/>
        <v>Jumat</v>
      </c>
    </row>
    <row r="797" spans="1:11" x14ac:dyDescent="0.25">
      <c r="A797" s="207" t="s">
        <v>852</v>
      </c>
      <c r="B797" s="112">
        <v>45670</v>
      </c>
      <c r="C797" s="109" t="s">
        <v>17</v>
      </c>
      <c r="D797" s="109" t="s">
        <v>35</v>
      </c>
      <c r="E797" s="109" t="s">
        <v>45</v>
      </c>
      <c r="F797" s="109" t="s">
        <v>19</v>
      </c>
      <c r="G797" s="109" t="s">
        <v>15</v>
      </c>
      <c r="H797" s="110">
        <v>238.4</v>
      </c>
      <c r="I797" s="109">
        <v>15</v>
      </c>
      <c r="J797" s="110">
        <v>3576</v>
      </c>
      <c r="K797" t="str">
        <f t="shared" si="12"/>
        <v>Senin</v>
      </c>
    </row>
    <row r="798" spans="1:11" x14ac:dyDescent="0.25">
      <c r="A798" s="207" t="s">
        <v>853</v>
      </c>
      <c r="B798" s="112">
        <v>45685</v>
      </c>
      <c r="C798" s="109" t="s">
        <v>34</v>
      </c>
      <c r="D798" s="109" t="s">
        <v>55</v>
      </c>
      <c r="E798" s="109" t="s">
        <v>45</v>
      </c>
      <c r="F798" s="109" t="s">
        <v>42</v>
      </c>
      <c r="G798" s="109" t="s">
        <v>15</v>
      </c>
      <c r="H798" s="110">
        <v>63.74</v>
      </c>
      <c r="I798" s="109">
        <v>6</v>
      </c>
      <c r="J798" s="110">
        <v>382.44</v>
      </c>
      <c r="K798" t="str">
        <f t="shared" si="12"/>
        <v>Selasa</v>
      </c>
    </row>
    <row r="799" spans="1:11" x14ac:dyDescent="0.25">
      <c r="A799" s="207" t="s">
        <v>854</v>
      </c>
      <c r="B799" s="112">
        <v>45790</v>
      </c>
      <c r="C799" s="109" t="s">
        <v>38</v>
      </c>
      <c r="D799" s="109" t="s">
        <v>31</v>
      </c>
      <c r="E799" s="109" t="s">
        <v>27</v>
      </c>
      <c r="F799" s="109" t="s">
        <v>61</v>
      </c>
      <c r="G799" s="109" t="s">
        <v>36</v>
      </c>
      <c r="H799" s="110">
        <v>158.97</v>
      </c>
      <c r="I799" s="109">
        <v>14</v>
      </c>
      <c r="J799" s="110">
        <v>2225.58</v>
      </c>
      <c r="K799" t="str">
        <f t="shared" si="12"/>
        <v>Selasa</v>
      </c>
    </row>
    <row r="800" spans="1:11" x14ac:dyDescent="0.25">
      <c r="A800" s="207" t="s">
        <v>855</v>
      </c>
      <c r="B800" s="112">
        <v>45819</v>
      </c>
      <c r="C800" s="109" t="s">
        <v>38</v>
      </c>
      <c r="D800" s="109" t="s">
        <v>12</v>
      </c>
      <c r="E800" s="109" t="s">
        <v>45</v>
      </c>
      <c r="F800" s="109" t="s">
        <v>42</v>
      </c>
      <c r="G800" s="109" t="s">
        <v>15</v>
      </c>
      <c r="H800" s="110">
        <v>141.30000000000001</v>
      </c>
      <c r="I800" s="109">
        <v>1</v>
      </c>
      <c r="J800" s="110">
        <v>141.30000000000001</v>
      </c>
      <c r="K800" t="str">
        <f t="shared" si="12"/>
        <v>Rabu</v>
      </c>
    </row>
    <row r="801" spans="1:11" x14ac:dyDescent="0.25">
      <c r="A801" s="207" t="s">
        <v>856</v>
      </c>
      <c r="B801" s="112">
        <v>45986</v>
      </c>
      <c r="C801" s="109" t="s">
        <v>11</v>
      </c>
      <c r="D801" s="109" t="s">
        <v>12</v>
      </c>
      <c r="E801" s="109" t="s">
        <v>18</v>
      </c>
      <c r="F801" s="109" t="s">
        <v>19</v>
      </c>
      <c r="G801" s="109" t="s">
        <v>20</v>
      </c>
      <c r="H801" s="110">
        <v>164.52</v>
      </c>
      <c r="I801" s="109">
        <v>20</v>
      </c>
      <c r="J801" s="110">
        <v>3290.4</v>
      </c>
      <c r="K801" t="str">
        <f t="shared" si="12"/>
        <v>Selasa</v>
      </c>
    </row>
    <row r="802" spans="1:11" x14ac:dyDescent="0.25">
      <c r="A802" s="207" t="s">
        <v>857</v>
      </c>
      <c r="B802" s="112">
        <v>45695</v>
      </c>
      <c r="C802" s="109" t="s">
        <v>25</v>
      </c>
      <c r="D802" s="109" t="s">
        <v>22</v>
      </c>
      <c r="E802" s="109" t="s">
        <v>13</v>
      </c>
      <c r="F802" s="109" t="s">
        <v>39</v>
      </c>
      <c r="G802" s="109" t="s">
        <v>20</v>
      </c>
      <c r="H802" s="110">
        <v>33.979999999999997</v>
      </c>
      <c r="I802" s="109">
        <v>12</v>
      </c>
      <c r="J802" s="110">
        <v>407.76</v>
      </c>
      <c r="K802" t="str">
        <f t="shared" si="12"/>
        <v>Jumat</v>
      </c>
    </row>
    <row r="803" spans="1:11" x14ac:dyDescent="0.25">
      <c r="A803" s="207" t="s">
        <v>858</v>
      </c>
      <c r="B803" s="112">
        <v>45812</v>
      </c>
      <c r="C803" s="109" t="s">
        <v>11</v>
      </c>
      <c r="D803" s="109" t="s">
        <v>35</v>
      </c>
      <c r="E803" s="109" t="s">
        <v>41</v>
      </c>
      <c r="F803" s="109" t="s">
        <v>61</v>
      </c>
      <c r="G803" s="109" t="s">
        <v>36</v>
      </c>
      <c r="H803" s="110">
        <v>221.87</v>
      </c>
      <c r="I803" s="109">
        <v>20</v>
      </c>
      <c r="J803" s="110">
        <v>4437.3999999999996</v>
      </c>
      <c r="K803" t="str">
        <f t="shared" si="12"/>
        <v>Rabu</v>
      </c>
    </row>
    <row r="804" spans="1:11" x14ac:dyDescent="0.25">
      <c r="A804" s="207" t="s">
        <v>859</v>
      </c>
      <c r="B804" s="112">
        <v>45996</v>
      </c>
      <c r="C804" s="109" t="s">
        <v>38</v>
      </c>
      <c r="D804" s="109" t="s">
        <v>26</v>
      </c>
      <c r="E804" s="109" t="s">
        <v>18</v>
      </c>
      <c r="F804" s="109" t="s">
        <v>14</v>
      </c>
      <c r="G804" s="109" t="s">
        <v>15</v>
      </c>
      <c r="H804" s="110">
        <v>235.07</v>
      </c>
      <c r="I804" s="109">
        <v>1</v>
      </c>
      <c r="J804" s="110">
        <v>235.07</v>
      </c>
      <c r="K804" t="str">
        <f t="shared" si="12"/>
        <v>Jumat</v>
      </c>
    </row>
    <row r="805" spans="1:11" x14ac:dyDescent="0.25">
      <c r="A805" s="207" t="s">
        <v>860</v>
      </c>
      <c r="B805" s="112">
        <v>45858</v>
      </c>
      <c r="C805" s="109" t="s">
        <v>34</v>
      </c>
      <c r="D805" s="109" t="s">
        <v>12</v>
      </c>
      <c r="E805" s="109" t="s">
        <v>23</v>
      </c>
      <c r="F805" s="109" t="s">
        <v>32</v>
      </c>
      <c r="G805" s="109" t="s">
        <v>20</v>
      </c>
      <c r="H805" s="110">
        <v>154.33000000000001</v>
      </c>
      <c r="I805" s="109">
        <v>18</v>
      </c>
      <c r="J805" s="110">
        <v>2777.94</v>
      </c>
      <c r="K805" t="str">
        <f t="shared" si="12"/>
        <v>Minggu</v>
      </c>
    </row>
    <row r="806" spans="1:11" x14ac:dyDescent="0.25">
      <c r="A806" s="207" t="s">
        <v>861</v>
      </c>
      <c r="B806" s="112">
        <v>45989</v>
      </c>
      <c r="C806" s="109" t="s">
        <v>11</v>
      </c>
      <c r="D806" s="109" t="s">
        <v>55</v>
      </c>
      <c r="E806" s="109" t="s">
        <v>18</v>
      </c>
      <c r="F806" s="109" t="s">
        <v>14</v>
      </c>
      <c r="G806" s="109" t="s">
        <v>15</v>
      </c>
      <c r="H806" s="110">
        <v>183.26</v>
      </c>
      <c r="I806" s="109">
        <v>12</v>
      </c>
      <c r="J806" s="110">
        <v>2199.12</v>
      </c>
      <c r="K806" t="str">
        <f t="shared" si="12"/>
        <v>Jumat</v>
      </c>
    </row>
    <row r="807" spans="1:11" x14ac:dyDescent="0.25">
      <c r="A807" s="207" t="s">
        <v>862</v>
      </c>
      <c r="B807" s="112">
        <v>45679</v>
      </c>
      <c r="C807" s="109" t="s">
        <v>25</v>
      </c>
      <c r="D807" s="109" t="s">
        <v>55</v>
      </c>
      <c r="E807" s="109" t="s">
        <v>41</v>
      </c>
      <c r="F807" s="109" t="s">
        <v>42</v>
      </c>
      <c r="G807" s="109" t="s">
        <v>20</v>
      </c>
      <c r="H807" s="110">
        <v>232.95</v>
      </c>
      <c r="I807" s="109">
        <v>1</v>
      </c>
      <c r="J807" s="110">
        <v>232.95</v>
      </c>
      <c r="K807" t="str">
        <f t="shared" si="12"/>
        <v>Rabu</v>
      </c>
    </row>
    <row r="808" spans="1:11" x14ac:dyDescent="0.25">
      <c r="A808" s="207" t="s">
        <v>863</v>
      </c>
      <c r="B808" s="112">
        <v>45701</v>
      </c>
      <c r="C808" s="109" t="s">
        <v>30</v>
      </c>
      <c r="D808" s="109" t="s">
        <v>12</v>
      </c>
      <c r="E808" s="109" t="s">
        <v>27</v>
      </c>
      <c r="F808" s="109" t="s">
        <v>28</v>
      </c>
      <c r="G808" s="109" t="s">
        <v>36</v>
      </c>
      <c r="H808" s="110">
        <v>185.59</v>
      </c>
      <c r="I808" s="109">
        <v>10</v>
      </c>
      <c r="J808" s="110">
        <v>1855.9</v>
      </c>
      <c r="K808" t="str">
        <f t="shared" si="12"/>
        <v>Kamis</v>
      </c>
    </row>
    <row r="809" spans="1:11" x14ac:dyDescent="0.25">
      <c r="A809" s="207" t="s">
        <v>864</v>
      </c>
      <c r="B809" s="112">
        <v>45766</v>
      </c>
      <c r="C809" s="109" t="s">
        <v>17</v>
      </c>
      <c r="D809" s="109" t="s">
        <v>55</v>
      </c>
      <c r="E809" s="109" t="s">
        <v>23</v>
      </c>
      <c r="F809" s="109" t="s">
        <v>14</v>
      </c>
      <c r="G809" s="109" t="s">
        <v>15</v>
      </c>
      <c r="H809" s="110">
        <v>63.56</v>
      </c>
      <c r="I809" s="109">
        <v>14</v>
      </c>
      <c r="J809" s="110">
        <v>889.84</v>
      </c>
      <c r="K809" t="str">
        <f t="shared" si="12"/>
        <v>Sabtu</v>
      </c>
    </row>
    <row r="810" spans="1:11" x14ac:dyDescent="0.25">
      <c r="A810" s="207" t="s">
        <v>865</v>
      </c>
      <c r="B810" s="112">
        <v>45771</v>
      </c>
      <c r="C810" s="109" t="s">
        <v>34</v>
      </c>
      <c r="D810" s="109" t="s">
        <v>26</v>
      </c>
      <c r="E810" s="109" t="s">
        <v>45</v>
      </c>
      <c r="F810" s="109" t="s">
        <v>14</v>
      </c>
      <c r="G810" s="109" t="s">
        <v>20</v>
      </c>
      <c r="H810" s="110">
        <v>156.78</v>
      </c>
      <c r="I810" s="109">
        <v>20</v>
      </c>
      <c r="J810" s="110">
        <v>3135.6</v>
      </c>
      <c r="K810" t="str">
        <f t="shared" si="12"/>
        <v>Kamis</v>
      </c>
    </row>
    <row r="811" spans="1:11" x14ac:dyDescent="0.25">
      <c r="A811" s="207" t="s">
        <v>866</v>
      </c>
      <c r="B811" s="112">
        <v>45948</v>
      </c>
      <c r="C811" s="109" t="s">
        <v>25</v>
      </c>
      <c r="D811" s="109" t="s">
        <v>31</v>
      </c>
      <c r="E811" s="109" t="s">
        <v>27</v>
      </c>
      <c r="F811" s="109" t="s">
        <v>42</v>
      </c>
      <c r="G811" s="109" t="s">
        <v>15</v>
      </c>
      <c r="H811" s="110">
        <v>163.47999999999999</v>
      </c>
      <c r="I811" s="109">
        <v>2</v>
      </c>
      <c r="J811" s="110">
        <v>326.95999999999998</v>
      </c>
      <c r="K811" t="str">
        <f t="shared" si="12"/>
        <v>Sabtu</v>
      </c>
    </row>
    <row r="812" spans="1:11" x14ac:dyDescent="0.25">
      <c r="A812" s="207" t="s">
        <v>867</v>
      </c>
      <c r="B812" s="112">
        <v>45806</v>
      </c>
      <c r="C812" s="109" t="s">
        <v>34</v>
      </c>
      <c r="D812" s="109" t="s">
        <v>22</v>
      </c>
      <c r="E812" s="109" t="s">
        <v>23</v>
      </c>
      <c r="F812" s="109" t="s">
        <v>28</v>
      </c>
      <c r="G812" s="109" t="s">
        <v>20</v>
      </c>
      <c r="H812" s="110">
        <v>123.31</v>
      </c>
      <c r="I812" s="109">
        <v>3</v>
      </c>
      <c r="J812" s="110">
        <v>369.93</v>
      </c>
      <c r="K812" t="str">
        <f t="shared" si="12"/>
        <v>Kamis</v>
      </c>
    </row>
    <row r="813" spans="1:11" x14ac:dyDescent="0.25">
      <c r="A813" s="207" t="s">
        <v>868</v>
      </c>
      <c r="B813" s="112">
        <v>45907</v>
      </c>
      <c r="C813" s="109" t="s">
        <v>34</v>
      </c>
      <c r="D813" s="109" t="s">
        <v>26</v>
      </c>
      <c r="E813" s="109" t="s">
        <v>27</v>
      </c>
      <c r="F813" s="109" t="s">
        <v>28</v>
      </c>
      <c r="G813" s="109" t="s">
        <v>15</v>
      </c>
      <c r="H813" s="110">
        <v>192.02</v>
      </c>
      <c r="I813" s="109">
        <v>11</v>
      </c>
      <c r="J813" s="110">
        <v>2112.2199999999998</v>
      </c>
      <c r="K813" t="str">
        <f t="shared" si="12"/>
        <v>Minggu</v>
      </c>
    </row>
    <row r="814" spans="1:11" x14ac:dyDescent="0.25">
      <c r="A814" s="207" t="s">
        <v>869</v>
      </c>
      <c r="B814" s="112">
        <v>45709</v>
      </c>
      <c r="C814" s="109" t="s">
        <v>25</v>
      </c>
      <c r="D814" s="109" t="s">
        <v>22</v>
      </c>
      <c r="E814" s="109" t="s">
        <v>23</v>
      </c>
      <c r="F814" s="109" t="s">
        <v>32</v>
      </c>
      <c r="G814" s="109" t="s">
        <v>36</v>
      </c>
      <c r="H814" s="110">
        <v>235.56</v>
      </c>
      <c r="I814" s="109">
        <v>10</v>
      </c>
      <c r="J814" s="110">
        <v>2355.6</v>
      </c>
      <c r="K814" t="str">
        <f t="shared" si="12"/>
        <v>Jumat</v>
      </c>
    </row>
    <row r="815" spans="1:11" x14ac:dyDescent="0.25">
      <c r="A815" s="207" t="s">
        <v>870</v>
      </c>
      <c r="B815" s="112">
        <v>45888</v>
      </c>
      <c r="C815" s="109" t="s">
        <v>25</v>
      </c>
      <c r="D815" s="109" t="s">
        <v>12</v>
      </c>
      <c r="E815" s="109" t="s">
        <v>13</v>
      </c>
      <c r="F815" s="109" t="s">
        <v>28</v>
      </c>
      <c r="G815" s="109" t="s">
        <v>20</v>
      </c>
      <c r="H815" s="110">
        <v>233.63</v>
      </c>
      <c r="I815" s="109">
        <v>11</v>
      </c>
      <c r="J815" s="110">
        <v>2569.9299999999998</v>
      </c>
      <c r="K815" t="str">
        <f t="shared" si="12"/>
        <v>Selasa</v>
      </c>
    </row>
    <row r="816" spans="1:11" x14ac:dyDescent="0.25">
      <c r="A816" s="207" t="s">
        <v>871</v>
      </c>
      <c r="B816" s="112">
        <v>45736</v>
      </c>
      <c r="C816" s="109" t="s">
        <v>25</v>
      </c>
      <c r="D816" s="109" t="s">
        <v>35</v>
      </c>
      <c r="E816" s="109" t="s">
        <v>13</v>
      </c>
      <c r="F816" s="109" t="s">
        <v>61</v>
      </c>
      <c r="G816" s="109" t="s">
        <v>15</v>
      </c>
      <c r="H816" s="110">
        <v>129.18</v>
      </c>
      <c r="I816" s="109">
        <v>19</v>
      </c>
      <c r="J816" s="110">
        <v>2454.42</v>
      </c>
      <c r="K816" t="str">
        <f t="shared" si="12"/>
        <v>Kamis</v>
      </c>
    </row>
    <row r="817" spans="1:11" x14ac:dyDescent="0.25">
      <c r="A817" s="207" t="s">
        <v>872</v>
      </c>
      <c r="B817" s="112">
        <v>45660</v>
      </c>
      <c r="C817" s="109" t="s">
        <v>30</v>
      </c>
      <c r="D817" s="109" t="s">
        <v>26</v>
      </c>
      <c r="E817" s="109" t="s">
        <v>27</v>
      </c>
      <c r="F817" s="109" t="s">
        <v>28</v>
      </c>
      <c r="G817" s="109" t="s">
        <v>20</v>
      </c>
      <c r="H817" s="110">
        <v>54.91</v>
      </c>
      <c r="I817" s="109">
        <v>11</v>
      </c>
      <c r="J817" s="110">
        <v>604.01</v>
      </c>
      <c r="K817" t="str">
        <f t="shared" si="12"/>
        <v>Jumat</v>
      </c>
    </row>
    <row r="818" spans="1:11" x14ac:dyDescent="0.25">
      <c r="A818" s="207" t="s">
        <v>873</v>
      </c>
      <c r="B818" s="112">
        <v>45881</v>
      </c>
      <c r="C818" s="109" t="s">
        <v>34</v>
      </c>
      <c r="D818" s="109" t="s">
        <v>26</v>
      </c>
      <c r="E818" s="109" t="s">
        <v>27</v>
      </c>
      <c r="F818" s="109" t="s">
        <v>28</v>
      </c>
      <c r="G818" s="109" t="s">
        <v>36</v>
      </c>
      <c r="H818" s="110">
        <v>246.67</v>
      </c>
      <c r="I818" s="109">
        <v>9</v>
      </c>
      <c r="J818" s="110">
        <v>2220.0300000000002</v>
      </c>
      <c r="K818" t="str">
        <f t="shared" si="12"/>
        <v>Selasa</v>
      </c>
    </row>
    <row r="819" spans="1:11" x14ac:dyDescent="0.25">
      <c r="A819" s="207" t="s">
        <v>874</v>
      </c>
      <c r="B819" s="112">
        <v>45903</v>
      </c>
      <c r="C819" s="109" t="s">
        <v>38</v>
      </c>
      <c r="D819" s="109" t="s">
        <v>35</v>
      </c>
      <c r="E819" s="109" t="s">
        <v>13</v>
      </c>
      <c r="F819" s="109" t="s">
        <v>61</v>
      </c>
      <c r="G819" s="109" t="s">
        <v>20</v>
      </c>
      <c r="H819" s="110">
        <v>214.56</v>
      </c>
      <c r="I819" s="109">
        <v>15</v>
      </c>
      <c r="J819" s="110">
        <v>3218.4</v>
      </c>
      <c r="K819" t="str">
        <f t="shared" si="12"/>
        <v>Rabu</v>
      </c>
    </row>
    <row r="820" spans="1:11" x14ac:dyDescent="0.25">
      <c r="A820" s="207" t="s">
        <v>875</v>
      </c>
      <c r="B820" s="112">
        <v>45713</v>
      </c>
      <c r="C820" s="109" t="s">
        <v>17</v>
      </c>
      <c r="D820" s="109" t="s">
        <v>55</v>
      </c>
      <c r="E820" s="109" t="s">
        <v>45</v>
      </c>
      <c r="F820" s="109" t="s">
        <v>39</v>
      </c>
      <c r="G820" s="109" t="s">
        <v>36</v>
      </c>
      <c r="H820" s="110">
        <v>57.43</v>
      </c>
      <c r="I820" s="109">
        <v>6</v>
      </c>
      <c r="J820" s="110">
        <v>344.58</v>
      </c>
      <c r="K820" t="str">
        <f t="shared" si="12"/>
        <v>Selasa</v>
      </c>
    </row>
    <row r="821" spans="1:11" x14ac:dyDescent="0.25">
      <c r="A821" s="207" t="s">
        <v>876</v>
      </c>
      <c r="B821" s="112">
        <v>45729</v>
      </c>
      <c r="C821" s="109" t="s">
        <v>30</v>
      </c>
      <c r="D821" s="109" t="s">
        <v>35</v>
      </c>
      <c r="E821" s="109" t="s">
        <v>27</v>
      </c>
      <c r="F821" s="109" t="s">
        <v>28</v>
      </c>
      <c r="G821" s="109" t="s">
        <v>15</v>
      </c>
      <c r="H821" s="110">
        <v>232.59</v>
      </c>
      <c r="I821" s="109">
        <v>18</v>
      </c>
      <c r="J821" s="110">
        <v>4186.62</v>
      </c>
      <c r="K821" t="str">
        <f t="shared" si="12"/>
        <v>Kamis</v>
      </c>
    </row>
    <row r="822" spans="1:11" x14ac:dyDescent="0.25">
      <c r="A822" s="207" t="s">
        <v>877</v>
      </c>
      <c r="B822" s="112">
        <v>45696</v>
      </c>
      <c r="C822" s="109" t="s">
        <v>25</v>
      </c>
      <c r="D822" s="109" t="s">
        <v>12</v>
      </c>
      <c r="E822" s="109" t="s">
        <v>45</v>
      </c>
      <c r="F822" s="109" t="s">
        <v>39</v>
      </c>
      <c r="G822" s="109" t="s">
        <v>20</v>
      </c>
      <c r="H822" s="110">
        <v>221.38</v>
      </c>
      <c r="I822" s="109">
        <v>1</v>
      </c>
      <c r="J822" s="110">
        <v>221.38</v>
      </c>
      <c r="K822" t="str">
        <f t="shared" si="12"/>
        <v>Sabtu</v>
      </c>
    </row>
    <row r="823" spans="1:11" x14ac:dyDescent="0.25">
      <c r="A823" s="207" t="s">
        <v>878</v>
      </c>
      <c r="B823" s="112">
        <v>45954</v>
      </c>
      <c r="C823" s="109" t="s">
        <v>25</v>
      </c>
      <c r="D823" s="109" t="s">
        <v>26</v>
      </c>
      <c r="E823" s="109" t="s">
        <v>45</v>
      </c>
      <c r="F823" s="109" t="s">
        <v>42</v>
      </c>
      <c r="G823" s="109" t="s">
        <v>36</v>
      </c>
      <c r="H823" s="110">
        <v>144.13999999999999</v>
      </c>
      <c r="I823" s="109">
        <v>13</v>
      </c>
      <c r="J823" s="110">
        <v>1873.82</v>
      </c>
      <c r="K823" t="str">
        <f t="shared" si="12"/>
        <v>Jumat</v>
      </c>
    </row>
    <row r="824" spans="1:11" x14ac:dyDescent="0.25">
      <c r="A824" s="207" t="s">
        <v>879</v>
      </c>
      <c r="B824" s="112">
        <v>45936</v>
      </c>
      <c r="C824" s="109" t="s">
        <v>38</v>
      </c>
      <c r="D824" s="109" t="s">
        <v>12</v>
      </c>
      <c r="E824" s="109" t="s">
        <v>23</v>
      </c>
      <c r="F824" s="109" t="s">
        <v>32</v>
      </c>
      <c r="G824" s="109" t="s">
        <v>36</v>
      </c>
      <c r="H824" s="110">
        <v>160.08000000000001</v>
      </c>
      <c r="I824" s="109">
        <v>18</v>
      </c>
      <c r="J824" s="110">
        <v>2881.44</v>
      </c>
      <c r="K824" t="str">
        <f t="shared" si="12"/>
        <v>Senin</v>
      </c>
    </row>
    <row r="825" spans="1:11" x14ac:dyDescent="0.25">
      <c r="A825" s="207" t="s">
        <v>880</v>
      </c>
      <c r="B825" s="112">
        <v>45772</v>
      </c>
      <c r="C825" s="109" t="s">
        <v>17</v>
      </c>
      <c r="D825" s="109" t="s">
        <v>35</v>
      </c>
      <c r="E825" s="109" t="s">
        <v>23</v>
      </c>
      <c r="F825" s="109" t="s">
        <v>61</v>
      </c>
      <c r="G825" s="109" t="s">
        <v>20</v>
      </c>
      <c r="H825" s="110">
        <v>117.78</v>
      </c>
      <c r="I825" s="109">
        <v>19</v>
      </c>
      <c r="J825" s="110">
        <v>2237.8200000000002</v>
      </c>
      <c r="K825" t="str">
        <f t="shared" si="12"/>
        <v>Jumat</v>
      </c>
    </row>
    <row r="826" spans="1:11" x14ac:dyDescent="0.25">
      <c r="A826" s="207" t="s">
        <v>881</v>
      </c>
      <c r="B826" s="112">
        <v>45919</v>
      </c>
      <c r="C826" s="109" t="s">
        <v>38</v>
      </c>
      <c r="D826" s="109" t="s">
        <v>35</v>
      </c>
      <c r="E826" s="109" t="s">
        <v>18</v>
      </c>
      <c r="F826" s="109" t="s">
        <v>19</v>
      </c>
      <c r="G826" s="109" t="s">
        <v>20</v>
      </c>
      <c r="H826" s="110">
        <v>42.05</v>
      </c>
      <c r="I826" s="109">
        <v>3</v>
      </c>
      <c r="J826" s="110">
        <v>126.15</v>
      </c>
      <c r="K826" t="str">
        <f t="shared" si="12"/>
        <v>Jumat</v>
      </c>
    </row>
    <row r="827" spans="1:11" x14ac:dyDescent="0.25">
      <c r="A827" s="207" t="s">
        <v>882</v>
      </c>
      <c r="B827" s="112">
        <v>45780</v>
      </c>
      <c r="C827" s="109" t="s">
        <v>17</v>
      </c>
      <c r="D827" s="109" t="s">
        <v>26</v>
      </c>
      <c r="E827" s="109" t="s">
        <v>18</v>
      </c>
      <c r="F827" s="109" t="s">
        <v>14</v>
      </c>
      <c r="G827" s="109" t="s">
        <v>36</v>
      </c>
      <c r="H827" s="110">
        <v>103.74</v>
      </c>
      <c r="I827" s="109">
        <v>20</v>
      </c>
      <c r="J827" s="110">
        <v>2074.8000000000002</v>
      </c>
      <c r="K827" t="str">
        <f t="shared" si="12"/>
        <v>Sabtu</v>
      </c>
    </row>
    <row r="828" spans="1:11" x14ac:dyDescent="0.25">
      <c r="A828" s="207" t="s">
        <v>883</v>
      </c>
      <c r="B828" s="112">
        <v>45739</v>
      </c>
      <c r="C828" s="109" t="s">
        <v>25</v>
      </c>
      <c r="D828" s="109" t="s">
        <v>55</v>
      </c>
      <c r="E828" s="109" t="s">
        <v>27</v>
      </c>
      <c r="F828" s="109" t="s">
        <v>39</v>
      </c>
      <c r="G828" s="109" t="s">
        <v>15</v>
      </c>
      <c r="H828" s="110">
        <v>206.63</v>
      </c>
      <c r="I828" s="109">
        <v>6</v>
      </c>
      <c r="J828" s="110">
        <v>1239.78</v>
      </c>
      <c r="K828" t="str">
        <f t="shared" si="12"/>
        <v>Minggu</v>
      </c>
    </row>
    <row r="829" spans="1:11" x14ac:dyDescent="0.25">
      <c r="A829" s="207" t="s">
        <v>884</v>
      </c>
      <c r="B829" s="112">
        <v>45905</v>
      </c>
      <c r="C829" s="109" t="s">
        <v>11</v>
      </c>
      <c r="D829" s="109" t="s">
        <v>26</v>
      </c>
      <c r="E829" s="109" t="s">
        <v>41</v>
      </c>
      <c r="F829" s="109" t="s">
        <v>14</v>
      </c>
      <c r="G829" s="109" t="s">
        <v>15</v>
      </c>
      <c r="H829" s="110">
        <v>31.02</v>
      </c>
      <c r="I829" s="109">
        <v>12</v>
      </c>
      <c r="J829" s="110">
        <v>372.24</v>
      </c>
      <c r="K829" t="str">
        <f t="shared" si="12"/>
        <v>Jumat</v>
      </c>
    </row>
    <row r="830" spans="1:11" x14ac:dyDescent="0.25">
      <c r="A830" s="207" t="s">
        <v>885</v>
      </c>
      <c r="B830" s="112">
        <v>45793</v>
      </c>
      <c r="C830" s="109" t="s">
        <v>30</v>
      </c>
      <c r="D830" s="109" t="s">
        <v>22</v>
      </c>
      <c r="E830" s="109" t="s">
        <v>27</v>
      </c>
      <c r="F830" s="109" t="s">
        <v>14</v>
      </c>
      <c r="G830" s="109" t="s">
        <v>20</v>
      </c>
      <c r="H830" s="110">
        <v>103.37</v>
      </c>
      <c r="I830" s="109">
        <v>12</v>
      </c>
      <c r="J830" s="110">
        <v>1240.44</v>
      </c>
      <c r="K830" t="str">
        <f t="shared" si="12"/>
        <v>Jumat</v>
      </c>
    </row>
    <row r="831" spans="1:11" x14ac:dyDescent="0.25">
      <c r="A831" s="207" t="s">
        <v>886</v>
      </c>
      <c r="B831" s="112">
        <v>45842</v>
      </c>
      <c r="C831" s="109" t="s">
        <v>38</v>
      </c>
      <c r="D831" s="109" t="s">
        <v>31</v>
      </c>
      <c r="E831" s="109" t="s">
        <v>45</v>
      </c>
      <c r="F831" s="109" t="s">
        <v>19</v>
      </c>
      <c r="G831" s="109" t="s">
        <v>20</v>
      </c>
      <c r="H831" s="110">
        <v>117.6</v>
      </c>
      <c r="I831" s="109">
        <v>13</v>
      </c>
      <c r="J831" s="110">
        <v>1528.8</v>
      </c>
      <c r="K831" t="str">
        <f t="shared" si="12"/>
        <v>Jumat</v>
      </c>
    </row>
    <row r="832" spans="1:11" x14ac:dyDescent="0.25">
      <c r="A832" s="207" t="s">
        <v>887</v>
      </c>
      <c r="B832" s="112">
        <v>45823</v>
      </c>
      <c r="C832" s="109" t="s">
        <v>17</v>
      </c>
      <c r="D832" s="109" t="s">
        <v>55</v>
      </c>
      <c r="E832" s="109" t="s">
        <v>27</v>
      </c>
      <c r="F832" s="109" t="s">
        <v>39</v>
      </c>
      <c r="G832" s="109" t="s">
        <v>36</v>
      </c>
      <c r="H832" s="110">
        <v>148.22999999999999</v>
      </c>
      <c r="I832" s="109">
        <v>4</v>
      </c>
      <c r="J832" s="110">
        <v>592.91999999999996</v>
      </c>
      <c r="K832" t="str">
        <f t="shared" si="12"/>
        <v>Minggu</v>
      </c>
    </row>
    <row r="833" spans="1:11" x14ac:dyDescent="0.25">
      <c r="A833" s="207" t="s">
        <v>888</v>
      </c>
      <c r="B833" s="112">
        <v>45792</v>
      </c>
      <c r="C833" s="109" t="s">
        <v>25</v>
      </c>
      <c r="D833" s="109" t="s">
        <v>55</v>
      </c>
      <c r="E833" s="109" t="s">
        <v>23</v>
      </c>
      <c r="F833" s="109" t="s">
        <v>61</v>
      </c>
      <c r="G833" s="109" t="s">
        <v>20</v>
      </c>
      <c r="H833" s="110">
        <v>232.37</v>
      </c>
      <c r="I833" s="109">
        <v>19</v>
      </c>
      <c r="J833" s="110">
        <v>4415.03</v>
      </c>
      <c r="K833" t="str">
        <f t="shared" si="12"/>
        <v>Kamis</v>
      </c>
    </row>
    <row r="834" spans="1:11" x14ac:dyDescent="0.25">
      <c r="A834" s="207" t="s">
        <v>889</v>
      </c>
      <c r="B834" s="112">
        <v>45851</v>
      </c>
      <c r="C834" s="109" t="s">
        <v>25</v>
      </c>
      <c r="D834" s="109" t="s">
        <v>12</v>
      </c>
      <c r="E834" s="109" t="s">
        <v>45</v>
      </c>
      <c r="F834" s="109" t="s">
        <v>42</v>
      </c>
      <c r="G834" s="109" t="s">
        <v>36</v>
      </c>
      <c r="H834" s="110">
        <v>106.2</v>
      </c>
      <c r="I834" s="109">
        <v>12</v>
      </c>
      <c r="J834" s="110">
        <v>1274.4000000000001</v>
      </c>
      <c r="K834" t="str">
        <f t="shared" si="12"/>
        <v>Minggu</v>
      </c>
    </row>
    <row r="835" spans="1:11" x14ac:dyDescent="0.25">
      <c r="A835" s="207" t="s">
        <v>890</v>
      </c>
      <c r="B835" s="112">
        <v>45850</v>
      </c>
      <c r="C835" s="109" t="s">
        <v>25</v>
      </c>
      <c r="D835" s="109" t="s">
        <v>31</v>
      </c>
      <c r="E835" s="109" t="s">
        <v>13</v>
      </c>
      <c r="F835" s="109" t="s">
        <v>39</v>
      </c>
      <c r="G835" s="109" t="s">
        <v>36</v>
      </c>
      <c r="H835" s="110">
        <v>106.33</v>
      </c>
      <c r="I835" s="109">
        <v>8</v>
      </c>
      <c r="J835" s="110">
        <v>850.64</v>
      </c>
      <c r="K835" t="str">
        <f t="shared" ref="K835:K898" si="13">TEXT(B835,"dddd")</f>
        <v>Sabtu</v>
      </c>
    </row>
    <row r="836" spans="1:11" x14ac:dyDescent="0.25">
      <c r="A836" s="207" t="s">
        <v>891</v>
      </c>
      <c r="B836" s="112">
        <v>45907</v>
      </c>
      <c r="C836" s="109" t="s">
        <v>25</v>
      </c>
      <c r="D836" s="109" t="s">
        <v>22</v>
      </c>
      <c r="E836" s="109" t="s">
        <v>18</v>
      </c>
      <c r="F836" s="109" t="s">
        <v>14</v>
      </c>
      <c r="G836" s="109" t="s">
        <v>36</v>
      </c>
      <c r="H836" s="110">
        <v>192.25</v>
      </c>
      <c r="I836" s="109">
        <v>16</v>
      </c>
      <c r="J836" s="110">
        <v>3076</v>
      </c>
      <c r="K836" t="str">
        <f t="shared" si="13"/>
        <v>Minggu</v>
      </c>
    </row>
    <row r="837" spans="1:11" x14ac:dyDescent="0.25">
      <c r="A837" s="207" t="s">
        <v>892</v>
      </c>
      <c r="B837" s="112">
        <v>45742</v>
      </c>
      <c r="C837" s="109" t="s">
        <v>11</v>
      </c>
      <c r="D837" s="109" t="s">
        <v>55</v>
      </c>
      <c r="E837" s="109" t="s">
        <v>27</v>
      </c>
      <c r="F837" s="109" t="s">
        <v>32</v>
      </c>
      <c r="G837" s="109" t="s">
        <v>15</v>
      </c>
      <c r="H837" s="110">
        <v>129.49</v>
      </c>
      <c r="I837" s="109">
        <v>8</v>
      </c>
      <c r="J837" s="110">
        <v>1035.92</v>
      </c>
      <c r="K837" t="str">
        <f t="shared" si="13"/>
        <v>Rabu</v>
      </c>
    </row>
    <row r="838" spans="1:11" x14ac:dyDescent="0.25">
      <c r="A838" s="207" t="s">
        <v>893</v>
      </c>
      <c r="B838" s="112">
        <v>45734</v>
      </c>
      <c r="C838" s="109" t="s">
        <v>30</v>
      </c>
      <c r="D838" s="109" t="s">
        <v>35</v>
      </c>
      <c r="E838" s="109" t="s">
        <v>18</v>
      </c>
      <c r="F838" s="109" t="s">
        <v>28</v>
      </c>
      <c r="G838" s="109" t="s">
        <v>15</v>
      </c>
      <c r="H838" s="110">
        <v>79.41</v>
      </c>
      <c r="I838" s="109">
        <v>6</v>
      </c>
      <c r="J838" s="110">
        <v>476.46</v>
      </c>
      <c r="K838" t="str">
        <f t="shared" si="13"/>
        <v>Selasa</v>
      </c>
    </row>
    <row r="839" spans="1:11" x14ac:dyDescent="0.25">
      <c r="A839" s="207" t="s">
        <v>894</v>
      </c>
      <c r="B839" s="112">
        <v>45996</v>
      </c>
      <c r="C839" s="109" t="s">
        <v>38</v>
      </c>
      <c r="D839" s="109" t="s">
        <v>35</v>
      </c>
      <c r="E839" s="109" t="s">
        <v>27</v>
      </c>
      <c r="F839" s="109" t="s">
        <v>19</v>
      </c>
      <c r="G839" s="109" t="s">
        <v>36</v>
      </c>
      <c r="H839" s="110">
        <v>129.54</v>
      </c>
      <c r="I839" s="109">
        <v>8</v>
      </c>
      <c r="J839" s="110">
        <v>1036.32</v>
      </c>
      <c r="K839" t="str">
        <f t="shared" si="13"/>
        <v>Jumat</v>
      </c>
    </row>
    <row r="840" spans="1:11" x14ac:dyDescent="0.25">
      <c r="A840" s="207" t="s">
        <v>895</v>
      </c>
      <c r="B840" s="112">
        <v>46003</v>
      </c>
      <c r="C840" s="109" t="s">
        <v>38</v>
      </c>
      <c r="D840" s="109" t="s">
        <v>26</v>
      </c>
      <c r="E840" s="109" t="s">
        <v>18</v>
      </c>
      <c r="F840" s="109" t="s">
        <v>14</v>
      </c>
      <c r="G840" s="109" t="s">
        <v>20</v>
      </c>
      <c r="H840" s="110">
        <v>60.99</v>
      </c>
      <c r="I840" s="109">
        <v>16</v>
      </c>
      <c r="J840" s="110">
        <v>975.84</v>
      </c>
      <c r="K840" t="str">
        <f t="shared" si="13"/>
        <v>Jumat</v>
      </c>
    </row>
    <row r="841" spans="1:11" x14ac:dyDescent="0.25">
      <c r="A841" s="207" t="s">
        <v>896</v>
      </c>
      <c r="B841" s="112">
        <v>45868</v>
      </c>
      <c r="C841" s="109" t="s">
        <v>30</v>
      </c>
      <c r="D841" s="109" t="s">
        <v>22</v>
      </c>
      <c r="E841" s="109" t="s">
        <v>23</v>
      </c>
      <c r="F841" s="109" t="s">
        <v>42</v>
      </c>
      <c r="G841" s="109" t="s">
        <v>20</v>
      </c>
      <c r="H841" s="110">
        <v>68.81</v>
      </c>
      <c r="I841" s="109">
        <v>1</v>
      </c>
      <c r="J841" s="110">
        <v>68.81</v>
      </c>
      <c r="K841" t="str">
        <f t="shared" si="13"/>
        <v>Rabu</v>
      </c>
    </row>
    <row r="842" spans="1:11" x14ac:dyDescent="0.25">
      <c r="A842" s="207" t="s">
        <v>897</v>
      </c>
      <c r="B842" s="112">
        <v>45740</v>
      </c>
      <c r="C842" s="109" t="s">
        <v>17</v>
      </c>
      <c r="D842" s="109" t="s">
        <v>55</v>
      </c>
      <c r="E842" s="109" t="s">
        <v>45</v>
      </c>
      <c r="F842" s="109" t="s">
        <v>42</v>
      </c>
      <c r="G842" s="109" t="s">
        <v>15</v>
      </c>
      <c r="H842" s="110">
        <v>139.63999999999999</v>
      </c>
      <c r="I842" s="109">
        <v>5</v>
      </c>
      <c r="J842" s="110">
        <v>698.2</v>
      </c>
      <c r="K842" t="str">
        <f t="shared" si="13"/>
        <v>Senin</v>
      </c>
    </row>
    <row r="843" spans="1:11" x14ac:dyDescent="0.25">
      <c r="A843" s="207" t="s">
        <v>898</v>
      </c>
      <c r="B843" s="112">
        <v>45686</v>
      </c>
      <c r="C843" s="109" t="s">
        <v>34</v>
      </c>
      <c r="D843" s="109" t="s">
        <v>26</v>
      </c>
      <c r="E843" s="109" t="s">
        <v>18</v>
      </c>
      <c r="F843" s="109" t="s">
        <v>61</v>
      </c>
      <c r="G843" s="109" t="s">
        <v>20</v>
      </c>
      <c r="H843" s="110">
        <v>122.16</v>
      </c>
      <c r="I843" s="109">
        <v>6</v>
      </c>
      <c r="J843" s="110">
        <v>732.96</v>
      </c>
      <c r="K843" t="str">
        <f t="shared" si="13"/>
        <v>Rabu</v>
      </c>
    </row>
    <row r="844" spans="1:11" x14ac:dyDescent="0.25">
      <c r="A844" s="207" t="s">
        <v>899</v>
      </c>
      <c r="B844" s="112">
        <v>45946</v>
      </c>
      <c r="C844" s="109" t="s">
        <v>17</v>
      </c>
      <c r="D844" s="109" t="s">
        <v>12</v>
      </c>
      <c r="E844" s="109" t="s">
        <v>27</v>
      </c>
      <c r="F844" s="109" t="s">
        <v>39</v>
      </c>
      <c r="G844" s="109" t="s">
        <v>36</v>
      </c>
      <c r="H844" s="110">
        <v>231.27</v>
      </c>
      <c r="I844" s="109">
        <v>1</v>
      </c>
      <c r="J844" s="110">
        <v>231.27</v>
      </c>
      <c r="K844" t="str">
        <f t="shared" si="13"/>
        <v>Kamis</v>
      </c>
    </row>
    <row r="845" spans="1:11" x14ac:dyDescent="0.25">
      <c r="A845" s="207" t="s">
        <v>900</v>
      </c>
      <c r="B845" s="112">
        <v>45701</v>
      </c>
      <c r="C845" s="109" t="s">
        <v>38</v>
      </c>
      <c r="D845" s="109" t="s">
        <v>55</v>
      </c>
      <c r="E845" s="109" t="s">
        <v>41</v>
      </c>
      <c r="F845" s="109" t="s">
        <v>39</v>
      </c>
      <c r="G845" s="109" t="s">
        <v>36</v>
      </c>
      <c r="H845" s="110">
        <v>109.73</v>
      </c>
      <c r="I845" s="109">
        <v>7</v>
      </c>
      <c r="J845" s="110">
        <v>768.11</v>
      </c>
      <c r="K845" t="str">
        <f t="shared" si="13"/>
        <v>Kamis</v>
      </c>
    </row>
    <row r="846" spans="1:11" x14ac:dyDescent="0.25">
      <c r="A846" s="207" t="s">
        <v>901</v>
      </c>
      <c r="B846" s="112">
        <v>45745</v>
      </c>
      <c r="C846" s="109" t="s">
        <v>38</v>
      </c>
      <c r="D846" s="109" t="s">
        <v>55</v>
      </c>
      <c r="E846" s="109" t="s">
        <v>23</v>
      </c>
      <c r="F846" s="109" t="s">
        <v>39</v>
      </c>
      <c r="G846" s="109" t="s">
        <v>20</v>
      </c>
      <c r="H846" s="110">
        <v>157.72999999999999</v>
      </c>
      <c r="I846" s="109">
        <v>8</v>
      </c>
      <c r="J846" s="110">
        <v>1261.8399999999999</v>
      </c>
      <c r="K846" t="str">
        <f t="shared" si="13"/>
        <v>Sabtu</v>
      </c>
    </row>
    <row r="847" spans="1:11" x14ac:dyDescent="0.25">
      <c r="A847" s="207" t="s">
        <v>902</v>
      </c>
      <c r="B847" s="112">
        <v>45751</v>
      </c>
      <c r="C847" s="109" t="s">
        <v>17</v>
      </c>
      <c r="D847" s="109" t="s">
        <v>55</v>
      </c>
      <c r="E847" s="109" t="s">
        <v>13</v>
      </c>
      <c r="F847" s="109" t="s">
        <v>14</v>
      </c>
      <c r="G847" s="109" t="s">
        <v>20</v>
      </c>
      <c r="H847" s="110">
        <v>169.1</v>
      </c>
      <c r="I847" s="109">
        <v>20</v>
      </c>
      <c r="J847" s="110">
        <v>3382</v>
      </c>
      <c r="K847" t="str">
        <f t="shared" si="13"/>
        <v>Jumat</v>
      </c>
    </row>
    <row r="848" spans="1:11" x14ac:dyDescent="0.25">
      <c r="A848" s="207" t="s">
        <v>903</v>
      </c>
      <c r="B848" s="112">
        <v>46009</v>
      </c>
      <c r="C848" s="109" t="s">
        <v>38</v>
      </c>
      <c r="D848" s="109" t="s">
        <v>55</v>
      </c>
      <c r="E848" s="109" t="s">
        <v>18</v>
      </c>
      <c r="F848" s="109" t="s">
        <v>19</v>
      </c>
      <c r="G848" s="109" t="s">
        <v>15</v>
      </c>
      <c r="H848" s="110">
        <v>32.880000000000003</v>
      </c>
      <c r="I848" s="109">
        <v>11</v>
      </c>
      <c r="J848" s="110">
        <v>361.68</v>
      </c>
      <c r="K848" t="str">
        <f t="shared" si="13"/>
        <v>Kamis</v>
      </c>
    </row>
    <row r="849" spans="1:11" x14ac:dyDescent="0.25">
      <c r="A849" s="207" t="s">
        <v>904</v>
      </c>
      <c r="B849" s="112">
        <v>45851</v>
      </c>
      <c r="C849" s="109" t="s">
        <v>30</v>
      </c>
      <c r="D849" s="109" t="s">
        <v>22</v>
      </c>
      <c r="E849" s="109" t="s">
        <v>45</v>
      </c>
      <c r="F849" s="109" t="s">
        <v>14</v>
      </c>
      <c r="G849" s="109" t="s">
        <v>20</v>
      </c>
      <c r="H849" s="110">
        <v>175.98</v>
      </c>
      <c r="I849" s="109">
        <v>13</v>
      </c>
      <c r="J849" s="110">
        <v>2287.7399999999998</v>
      </c>
      <c r="K849" t="str">
        <f t="shared" si="13"/>
        <v>Minggu</v>
      </c>
    </row>
    <row r="850" spans="1:11" x14ac:dyDescent="0.25">
      <c r="A850" s="207" t="s">
        <v>905</v>
      </c>
      <c r="B850" s="112">
        <v>45916</v>
      </c>
      <c r="C850" s="109" t="s">
        <v>30</v>
      </c>
      <c r="D850" s="109" t="s">
        <v>55</v>
      </c>
      <c r="E850" s="109" t="s">
        <v>45</v>
      </c>
      <c r="F850" s="109" t="s">
        <v>14</v>
      </c>
      <c r="G850" s="109" t="s">
        <v>36</v>
      </c>
      <c r="H850" s="110">
        <v>69.17</v>
      </c>
      <c r="I850" s="109">
        <v>14</v>
      </c>
      <c r="J850" s="110">
        <v>968.38</v>
      </c>
      <c r="K850" t="str">
        <f t="shared" si="13"/>
        <v>Selasa</v>
      </c>
    </row>
    <row r="851" spans="1:11" x14ac:dyDescent="0.25">
      <c r="A851" s="207" t="s">
        <v>906</v>
      </c>
      <c r="B851" s="112">
        <v>45972</v>
      </c>
      <c r="C851" s="109" t="s">
        <v>11</v>
      </c>
      <c r="D851" s="109" t="s">
        <v>55</v>
      </c>
      <c r="E851" s="109" t="s">
        <v>18</v>
      </c>
      <c r="F851" s="109" t="s">
        <v>39</v>
      </c>
      <c r="G851" s="109" t="s">
        <v>15</v>
      </c>
      <c r="H851" s="110">
        <v>241.44</v>
      </c>
      <c r="I851" s="109">
        <v>20</v>
      </c>
      <c r="J851" s="110">
        <v>4828.8</v>
      </c>
      <c r="K851" t="str">
        <f t="shared" si="13"/>
        <v>Selasa</v>
      </c>
    </row>
    <row r="852" spans="1:11" x14ac:dyDescent="0.25">
      <c r="A852" s="207" t="s">
        <v>907</v>
      </c>
      <c r="B852" s="112">
        <v>45705</v>
      </c>
      <c r="C852" s="109" t="s">
        <v>17</v>
      </c>
      <c r="D852" s="109" t="s">
        <v>26</v>
      </c>
      <c r="E852" s="109" t="s">
        <v>18</v>
      </c>
      <c r="F852" s="109" t="s">
        <v>42</v>
      </c>
      <c r="G852" s="109" t="s">
        <v>15</v>
      </c>
      <c r="H852" s="110">
        <v>62.71</v>
      </c>
      <c r="I852" s="109">
        <v>16</v>
      </c>
      <c r="J852" s="110">
        <v>1003.36</v>
      </c>
      <c r="K852" t="str">
        <f t="shared" si="13"/>
        <v>Senin</v>
      </c>
    </row>
    <row r="853" spans="1:11" x14ac:dyDescent="0.25">
      <c r="A853" s="207" t="s">
        <v>908</v>
      </c>
      <c r="B853" s="112">
        <v>46005</v>
      </c>
      <c r="C853" s="109" t="s">
        <v>25</v>
      </c>
      <c r="D853" s="109" t="s">
        <v>31</v>
      </c>
      <c r="E853" s="109" t="s">
        <v>13</v>
      </c>
      <c r="F853" s="109" t="s">
        <v>39</v>
      </c>
      <c r="G853" s="109" t="s">
        <v>15</v>
      </c>
      <c r="H853" s="110">
        <v>121.22</v>
      </c>
      <c r="I853" s="109">
        <v>14</v>
      </c>
      <c r="J853" s="110">
        <v>1697.08</v>
      </c>
      <c r="K853" t="str">
        <f t="shared" si="13"/>
        <v>Minggu</v>
      </c>
    </row>
    <row r="854" spans="1:11" x14ac:dyDescent="0.25">
      <c r="A854" s="207" t="s">
        <v>909</v>
      </c>
      <c r="B854" s="112">
        <v>46015</v>
      </c>
      <c r="C854" s="109" t="s">
        <v>38</v>
      </c>
      <c r="D854" s="109" t="s">
        <v>26</v>
      </c>
      <c r="E854" s="109" t="s">
        <v>41</v>
      </c>
      <c r="F854" s="109" t="s">
        <v>39</v>
      </c>
      <c r="G854" s="109" t="s">
        <v>36</v>
      </c>
      <c r="H854" s="110">
        <v>48.78</v>
      </c>
      <c r="I854" s="109">
        <v>17</v>
      </c>
      <c r="J854" s="110">
        <v>829.26</v>
      </c>
      <c r="K854" t="str">
        <f t="shared" si="13"/>
        <v>Rabu</v>
      </c>
    </row>
    <row r="855" spans="1:11" x14ac:dyDescent="0.25">
      <c r="A855" s="207" t="s">
        <v>910</v>
      </c>
      <c r="B855" s="112">
        <v>45837</v>
      </c>
      <c r="C855" s="109" t="s">
        <v>17</v>
      </c>
      <c r="D855" s="109" t="s">
        <v>12</v>
      </c>
      <c r="E855" s="109" t="s">
        <v>18</v>
      </c>
      <c r="F855" s="109" t="s">
        <v>19</v>
      </c>
      <c r="G855" s="109" t="s">
        <v>36</v>
      </c>
      <c r="H855" s="110">
        <v>249.31</v>
      </c>
      <c r="I855" s="109">
        <v>19</v>
      </c>
      <c r="J855" s="110">
        <v>4736.8900000000003</v>
      </c>
      <c r="K855" t="str">
        <f t="shared" si="13"/>
        <v>Minggu</v>
      </c>
    </row>
    <row r="856" spans="1:11" x14ac:dyDescent="0.25">
      <c r="A856" s="207" t="s">
        <v>911</v>
      </c>
      <c r="B856" s="112">
        <v>45726</v>
      </c>
      <c r="C856" s="109" t="s">
        <v>38</v>
      </c>
      <c r="D856" s="109" t="s">
        <v>26</v>
      </c>
      <c r="E856" s="109" t="s">
        <v>45</v>
      </c>
      <c r="F856" s="109" t="s">
        <v>32</v>
      </c>
      <c r="G856" s="109" t="s">
        <v>20</v>
      </c>
      <c r="H856" s="110">
        <v>140.47999999999999</v>
      </c>
      <c r="I856" s="109">
        <v>9</v>
      </c>
      <c r="J856" s="110">
        <v>1264.32</v>
      </c>
      <c r="K856" t="str">
        <f t="shared" si="13"/>
        <v>Senin</v>
      </c>
    </row>
    <row r="857" spans="1:11" x14ac:dyDescent="0.25">
      <c r="A857" s="207" t="s">
        <v>912</v>
      </c>
      <c r="B857" s="112">
        <v>45936</v>
      </c>
      <c r="C857" s="109" t="s">
        <v>34</v>
      </c>
      <c r="D857" s="109" t="s">
        <v>26</v>
      </c>
      <c r="E857" s="109" t="s">
        <v>45</v>
      </c>
      <c r="F857" s="109" t="s">
        <v>28</v>
      </c>
      <c r="G857" s="109" t="s">
        <v>20</v>
      </c>
      <c r="H857" s="110">
        <v>160.97999999999999</v>
      </c>
      <c r="I857" s="109">
        <v>14</v>
      </c>
      <c r="J857" s="110">
        <v>2253.7199999999998</v>
      </c>
      <c r="K857" t="str">
        <f t="shared" si="13"/>
        <v>Senin</v>
      </c>
    </row>
    <row r="858" spans="1:11" x14ac:dyDescent="0.25">
      <c r="A858" s="207" t="s">
        <v>913</v>
      </c>
      <c r="B858" s="112">
        <v>45661</v>
      </c>
      <c r="C858" s="109" t="s">
        <v>25</v>
      </c>
      <c r="D858" s="109" t="s">
        <v>22</v>
      </c>
      <c r="E858" s="109" t="s">
        <v>18</v>
      </c>
      <c r="F858" s="109" t="s">
        <v>19</v>
      </c>
      <c r="G858" s="109" t="s">
        <v>36</v>
      </c>
      <c r="H858" s="110">
        <v>44.76</v>
      </c>
      <c r="I858" s="109">
        <v>19</v>
      </c>
      <c r="J858" s="110">
        <v>850.44</v>
      </c>
      <c r="K858" t="str">
        <f t="shared" si="13"/>
        <v>Sabtu</v>
      </c>
    </row>
    <row r="859" spans="1:11" x14ac:dyDescent="0.25">
      <c r="A859" s="207" t="s">
        <v>914</v>
      </c>
      <c r="B859" s="112">
        <v>45993</v>
      </c>
      <c r="C859" s="109" t="s">
        <v>17</v>
      </c>
      <c r="D859" s="109" t="s">
        <v>35</v>
      </c>
      <c r="E859" s="109" t="s">
        <v>41</v>
      </c>
      <c r="F859" s="109" t="s">
        <v>32</v>
      </c>
      <c r="G859" s="109" t="s">
        <v>15</v>
      </c>
      <c r="H859" s="110">
        <v>194.99</v>
      </c>
      <c r="I859" s="109">
        <v>7</v>
      </c>
      <c r="J859" s="110">
        <v>1364.93</v>
      </c>
      <c r="K859" t="str">
        <f t="shared" si="13"/>
        <v>Selasa</v>
      </c>
    </row>
    <row r="860" spans="1:11" x14ac:dyDescent="0.25">
      <c r="A860" s="207" t="s">
        <v>915</v>
      </c>
      <c r="B860" s="112">
        <v>45737</v>
      </c>
      <c r="C860" s="109" t="s">
        <v>17</v>
      </c>
      <c r="D860" s="109" t="s">
        <v>55</v>
      </c>
      <c r="E860" s="109" t="s">
        <v>13</v>
      </c>
      <c r="F860" s="109" t="s">
        <v>32</v>
      </c>
      <c r="G860" s="109" t="s">
        <v>20</v>
      </c>
      <c r="H860" s="110">
        <v>76.180000000000007</v>
      </c>
      <c r="I860" s="109">
        <v>14</v>
      </c>
      <c r="J860" s="110">
        <v>1066.52</v>
      </c>
      <c r="K860" t="str">
        <f t="shared" si="13"/>
        <v>Jumat</v>
      </c>
    </row>
    <row r="861" spans="1:11" x14ac:dyDescent="0.25">
      <c r="A861" s="207" t="s">
        <v>916</v>
      </c>
      <c r="B861" s="112">
        <v>45874</v>
      </c>
      <c r="C861" s="109" t="s">
        <v>34</v>
      </c>
      <c r="D861" s="109" t="s">
        <v>55</v>
      </c>
      <c r="E861" s="109" t="s">
        <v>13</v>
      </c>
      <c r="F861" s="109" t="s">
        <v>28</v>
      </c>
      <c r="G861" s="109" t="s">
        <v>36</v>
      </c>
      <c r="H861" s="110">
        <v>227.57</v>
      </c>
      <c r="I861" s="109">
        <v>19</v>
      </c>
      <c r="J861" s="110">
        <v>4323.83</v>
      </c>
      <c r="K861" t="str">
        <f t="shared" si="13"/>
        <v>Selasa</v>
      </c>
    </row>
    <row r="862" spans="1:11" x14ac:dyDescent="0.25">
      <c r="A862" s="207" t="s">
        <v>917</v>
      </c>
      <c r="B862" s="112">
        <v>45762</v>
      </c>
      <c r="C862" s="109" t="s">
        <v>25</v>
      </c>
      <c r="D862" s="109" t="s">
        <v>55</v>
      </c>
      <c r="E862" s="109" t="s">
        <v>41</v>
      </c>
      <c r="F862" s="109" t="s">
        <v>14</v>
      </c>
      <c r="G862" s="109" t="s">
        <v>36</v>
      </c>
      <c r="H862" s="110">
        <v>75.13</v>
      </c>
      <c r="I862" s="109">
        <v>14</v>
      </c>
      <c r="J862" s="110">
        <v>1051.82</v>
      </c>
      <c r="K862" t="str">
        <f t="shared" si="13"/>
        <v>Selasa</v>
      </c>
    </row>
    <row r="863" spans="1:11" x14ac:dyDescent="0.25">
      <c r="A863" s="207" t="s">
        <v>918</v>
      </c>
      <c r="B863" s="112">
        <v>45944</v>
      </c>
      <c r="C863" s="109" t="s">
        <v>38</v>
      </c>
      <c r="D863" s="109" t="s">
        <v>35</v>
      </c>
      <c r="E863" s="109" t="s">
        <v>13</v>
      </c>
      <c r="F863" s="109" t="s">
        <v>42</v>
      </c>
      <c r="G863" s="109" t="s">
        <v>36</v>
      </c>
      <c r="H863" s="110">
        <v>71.95</v>
      </c>
      <c r="I863" s="109">
        <v>18</v>
      </c>
      <c r="J863" s="110">
        <v>1295.0999999999999</v>
      </c>
      <c r="K863" t="str">
        <f t="shared" si="13"/>
        <v>Selasa</v>
      </c>
    </row>
    <row r="864" spans="1:11" x14ac:dyDescent="0.25">
      <c r="A864" s="207" t="s">
        <v>919</v>
      </c>
      <c r="B864" s="112">
        <v>46019</v>
      </c>
      <c r="C864" s="109" t="s">
        <v>17</v>
      </c>
      <c r="D864" s="109" t="s">
        <v>26</v>
      </c>
      <c r="E864" s="109" t="s">
        <v>27</v>
      </c>
      <c r="F864" s="109" t="s">
        <v>19</v>
      </c>
      <c r="G864" s="109" t="s">
        <v>20</v>
      </c>
      <c r="H864" s="110">
        <v>38.04</v>
      </c>
      <c r="I864" s="109">
        <v>13</v>
      </c>
      <c r="J864" s="110">
        <v>494.52</v>
      </c>
      <c r="K864" t="str">
        <f t="shared" si="13"/>
        <v>Minggu</v>
      </c>
    </row>
    <row r="865" spans="1:11" x14ac:dyDescent="0.25">
      <c r="A865" s="207" t="s">
        <v>920</v>
      </c>
      <c r="B865" s="112">
        <v>45775</v>
      </c>
      <c r="C865" s="109" t="s">
        <v>17</v>
      </c>
      <c r="D865" s="109" t="s">
        <v>26</v>
      </c>
      <c r="E865" s="109" t="s">
        <v>45</v>
      </c>
      <c r="F865" s="109" t="s">
        <v>14</v>
      </c>
      <c r="G865" s="109" t="s">
        <v>20</v>
      </c>
      <c r="H865" s="110">
        <v>133.85</v>
      </c>
      <c r="I865" s="109">
        <v>15</v>
      </c>
      <c r="J865" s="110">
        <v>2007.75</v>
      </c>
      <c r="K865" t="str">
        <f t="shared" si="13"/>
        <v>Senin</v>
      </c>
    </row>
    <row r="866" spans="1:11" x14ac:dyDescent="0.25">
      <c r="A866" s="207" t="s">
        <v>921</v>
      </c>
      <c r="B866" s="112">
        <v>45863</v>
      </c>
      <c r="C866" s="109" t="s">
        <v>25</v>
      </c>
      <c r="D866" s="109" t="s">
        <v>55</v>
      </c>
      <c r="E866" s="109" t="s">
        <v>27</v>
      </c>
      <c r="F866" s="109" t="s">
        <v>28</v>
      </c>
      <c r="G866" s="109" t="s">
        <v>20</v>
      </c>
      <c r="H866" s="110">
        <v>154.27000000000001</v>
      </c>
      <c r="I866" s="109">
        <v>11</v>
      </c>
      <c r="J866" s="110">
        <v>1696.97</v>
      </c>
      <c r="K866" t="str">
        <f t="shared" si="13"/>
        <v>Jumat</v>
      </c>
    </row>
    <row r="867" spans="1:11" x14ac:dyDescent="0.25">
      <c r="A867" s="207" t="s">
        <v>922</v>
      </c>
      <c r="B867" s="112">
        <v>45684</v>
      </c>
      <c r="C867" s="109" t="s">
        <v>38</v>
      </c>
      <c r="D867" s="109" t="s">
        <v>12</v>
      </c>
      <c r="E867" s="109" t="s">
        <v>45</v>
      </c>
      <c r="F867" s="109" t="s">
        <v>39</v>
      </c>
      <c r="G867" s="109" t="s">
        <v>15</v>
      </c>
      <c r="H867" s="110">
        <v>44.46</v>
      </c>
      <c r="I867" s="109">
        <v>6</v>
      </c>
      <c r="J867" s="110">
        <v>266.76</v>
      </c>
      <c r="K867" t="str">
        <f t="shared" si="13"/>
        <v>Senin</v>
      </c>
    </row>
    <row r="868" spans="1:11" x14ac:dyDescent="0.25">
      <c r="A868" s="207" t="s">
        <v>923</v>
      </c>
      <c r="B868" s="112">
        <v>45732</v>
      </c>
      <c r="C868" s="109" t="s">
        <v>25</v>
      </c>
      <c r="D868" s="109" t="s">
        <v>31</v>
      </c>
      <c r="E868" s="109" t="s">
        <v>45</v>
      </c>
      <c r="F868" s="109" t="s">
        <v>19</v>
      </c>
      <c r="G868" s="109" t="s">
        <v>36</v>
      </c>
      <c r="H868" s="110">
        <v>200.62</v>
      </c>
      <c r="I868" s="109">
        <v>16</v>
      </c>
      <c r="J868" s="110">
        <v>3209.92</v>
      </c>
      <c r="K868" t="str">
        <f t="shared" si="13"/>
        <v>Minggu</v>
      </c>
    </row>
    <row r="869" spans="1:11" x14ac:dyDescent="0.25">
      <c r="A869" s="207" t="s">
        <v>924</v>
      </c>
      <c r="B869" s="112">
        <v>45771</v>
      </c>
      <c r="C869" s="109" t="s">
        <v>11</v>
      </c>
      <c r="D869" s="109" t="s">
        <v>55</v>
      </c>
      <c r="E869" s="109" t="s">
        <v>45</v>
      </c>
      <c r="F869" s="109" t="s">
        <v>28</v>
      </c>
      <c r="G869" s="109" t="s">
        <v>36</v>
      </c>
      <c r="H869" s="110">
        <v>129.72</v>
      </c>
      <c r="I869" s="109">
        <v>12</v>
      </c>
      <c r="J869" s="110">
        <v>1556.64</v>
      </c>
      <c r="K869" t="str">
        <f t="shared" si="13"/>
        <v>Kamis</v>
      </c>
    </row>
    <row r="870" spans="1:11" x14ac:dyDescent="0.25">
      <c r="A870" s="207" t="s">
        <v>925</v>
      </c>
      <c r="B870" s="112">
        <v>45863</v>
      </c>
      <c r="C870" s="109" t="s">
        <v>17</v>
      </c>
      <c r="D870" s="109" t="s">
        <v>55</v>
      </c>
      <c r="E870" s="109" t="s">
        <v>13</v>
      </c>
      <c r="F870" s="109" t="s">
        <v>28</v>
      </c>
      <c r="G870" s="109" t="s">
        <v>20</v>
      </c>
      <c r="H870" s="110">
        <v>145.37</v>
      </c>
      <c r="I870" s="109">
        <v>20</v>
      </c>
      <c r="J870" s="110">
        <v>2907.4</v>
      </c>
      <c r="K870" t="str">
        <f t="shared" si="13"/>
        <v>Jumat</v>
      </c>
    </row>
    <row r="871" spans="1:11" x14ac:dyDescent="0.25">
      <c r="A871" s="207" t="s">
        <v>926</v>
      </c>
      <c r="B871" s="112">
        <v>45687</v>
      </c>
      <c r="C871" s="109" t="s">
        <v>17</v>
      </c>
      <c r="D871" s="109" t="s">
        <v>31</v>
      </c>
      <c r="E871" s="109" t="s">
        <v>41</v>
      </c>
      <c r="F871" s="109" t="s">
        <v>19</v>
      </c>
      <c r="G871" s="109" t="s">
        <v>15</v>
      </c>
      <c r="H871" s="110">
        <v>126.97</v>
      </c>
      <c r="I871" s="109">
        <v>6</v>
      </c>
      <c r="J871" s="110">
        <v>761.82</v>
      </c>
      <c r="K871" t="str">
        <f t="shared" si="13"/>
        <v>Kamis</v>
      </c>
    </row>
    <row r="872" spans="1:11" x14ac:dyDescent="0.25">
      <c r="A872" s="207" t="s">
        <v>927</v>
      </c>
      <c r="B872" s="112">
        <v>45994</v>
      </c>
      <c r="C872" s="109" t="s">
        <v>34</v>
      </c>
      <c r="D872" s="109" t="s">
        <v>26</v>
      </c>
      <c r="E872" s="109" t="s">
        <v>45</v>
      </c>
      <c r="F872" s="109" t="s">
        <v>39</v>
      </c>
      <c r="G872" s="109" t="s">
        <v>20</v>
      </c>
      <c r="H872" s="110">
        <v>118.17</v>
      </c>
      <c r="I872" s="109">
        <v>17</v>
      </c>
      <c r="J872" s="110">
        <v>2008.89</v>
      </c>
      <c r="K872" t="str">
        <f t="shared" si="13"/>
        <v>Rabu</v>
      </c>
    </row>
    <row r="873" spans="1:11" x14ac:dyDescent="0.25">
      <c r="A873" s="207" t="s">
        <v>928</v>
      </c>
      <c r="B873" s="112">
        <v>45919</v>
      </c>
      <c r="C873" s="109" t="s">
        <v>17</v>
      </c>
      <c r="D873" s="109" t="s">
        <v>26</v>
      </c>
      <c r="E873" s="109" t="s">
        <v>18</v>
      </c>
      <c r="F873" s="109" t="s">
        <v>14</v>
      </c>
      <c r="G873" s="109" t="s">
        <v>20</v>
      </c>
      <c r="H873" s="110">
        <v>153.12</v>
      </c>
      <c r="I873" s="109">
        <v>17</v>
      </c>
      <c r="J873" s="110">
        <v>2603.04</v>
      </c>
      <c r="K873" t="str">
        <f t="shared" si="13"/>
        <v>Jumat</v>
      </c>
    </row>
    <row r="874" spans="1:11" x14ac:dyDescent="0.25">
      <c r="A874" s="207" t="s">
        <v>929</v>
      </c>
      <c r="B874" s="112">
        <v>45676</v>
      </c>
      <c r="C874" s="109" t="s">
        <v>30</v>
      </c>
      <c r="D874" s="109" t="s">
        <v>12</v>
      </c>
      <c r="E874" s="109" t="s">
        <v>45</v>
      </c>
      <c r="F874" s="109" t="s">
        <v>14</v>
      </c>
      <c r="G874" s="109" t="s">
        <v>15</v>
      </c>
      <c r="H874" s="110">
        <v>64.150000000000006</v>
      </c>
      <c r="I874" s="109">
        <v>12</v>
      </c>
      <c r="J874" s="110">
        <v>769.8</v>
      </c>
      <c r="K874" t="str">
        <f t="shared" si="13"/>
        <v>Minggu</v>
      </c>
    </row>
    <row r="875" spans="1:11" x14ac:dyDescent="0.25">
      <c r="A875" s="207" t="s">
        <v>930</v>
      </c>
      <c r="B875" s="112">
        <v>45799</v>
      </c>
      <c r="C875" s="109" t="s">
        <v>34</v>
      </c>
      <c r="D875" s="109" t="s">
        <v>12</v>
      </c>
      <c r="E875" s="109" t="s">
        <v>41</v>
      </c>
      <c r="F875" s="109" t="s">
        <v>61</v>
      </c>
      <c r="G875" s="109" t="s">
        <v>20</v>
      </c>
      <c r="H875" s="110">
        <v>70.02</v>
      </c>
      <c r="I875" s="109">
        <v>13</v>
      </c>
      <c r="J875" s="110">
        <v>910.26</v>
      </c>
      <c r="K875" t="str">
        <f t="shared" si="13"/>
        <v>Kamis</v>
      </c>
    </row>
    <row r="876" spans="1:11" x14ac:dyDescent="0.25">
      <c r="A876" s="207" t="s">
        <v>931</v>
      </c>
      <c r="B876" s="112">
        <v>45760</v>
      </c>
      <c r="C876" s="109" t="s">
        <v>11</v>
      </c>
      <c r="D876" s="109" t="s">
        <v>12</v>
      </c>
      <c r="E876" s="109" t="s">
        <v>27</v>
      </c>
      <c r="F876" s="109" t="s">
        <v>19</v>
      </c>
      <c r="G876" s="109" t="s">
        <v>15</v>
      </c>
      <c r="H876" s="110">
        <v>219.59</v>
      </c>
      <c r="I876" s="109">
        <v>17</v>
      </c>
      <c r="J876" s="110">
        <v>3733.03</v>
      </c>
      <c r="K876" t="str">
        <f t="shared" si="13"/>
        <v>Minggu</v>
      </c>
    </row>
    <row r="877" spans="1:11" x14ac:dyDescent="0.25">
      <c r="A877" s="207" t="s">
        <v>932</v>
      </c>
      <c r="B877" s="112">
        <v>45939</v>
      </c>
      <c r="C877" s="109" t="s">
        <v>17</v>
      </c>
      <c r="D877" s="109" t="s">
        <v>55</v>
      </c>
      <c r="E877" s="109" t="s">
        <v>18</v>
      </c>
      <c r="F877" s="109" t="s">
        <v>32</v>
      </c>
      <c r="G877" s="109" t="s">
        <v>36</v>
      </c>
      <c r="H877" s="110">
        <v>238.15</v>
      </c>
      <c r="I877" s="109">
        <v>10</v>
      </c>
      <c r="J877" s="110">
        <v>2381.5</v>
      </c>
      <c r="K877" t="str">
        <f t="shared" si="13"/>
        <v>Kamis</v>
      </c>
    </row>
    <row r="878" spans="1:11" x14ac:dyDescent="0.25">
      <c r="A878" s="207" t="s">
        <v>933</v>
      </c>
      <c r="B878" s="112">
        <v>45799</v>
      </c>
      <c r="C878" s="109" t="s">
        <v>25</v>
      </c>
      <c r="D878" s="109" t="s">
        <v>26</v>
      </c>
      <c r="E878" s="109" t="s">
        <v>41</v>
      </c>
      <c r="F878" s="109" t="s">
        <v>61</v>
      </c>
      <c r="G878" s="109" t="s">
        <v>20</v>
      </c>
      <c r="H878" s="110">
        <v>112.13</v>
      </c>
      <c r="I878" s="109">
        <v>8</v>
      </c>
      <c r="J878" s="110">
        <v>897.04</v>
      </c>
      <c r="K878" t="str">
        <f t="shared" si="13"/>
        <v>Kamis</v>
      </c>
    </row>
    <row r="879" spans="1:11" x14ac:dyDescent="0.25">
      <c r="A879" s="207" t="s">
        <v>934</v>
      </c>
      <c r="B879" s="112">
        <v>45660</v>
      </c>
      <c r="C879" s="109" t="s">
        <v>30</v>
      </c>
      <c r="D879" s="109" t="s">
        <v>31</v>
      </c>
      <c r="E879" s="109" t="s">
        <v>18</v>
      </c>
      <c r="F879" s="109" t="s">
        <v>19</v>
      </c>
      <c r="G879" s="109" t="s">
        <v>20</v>
      </c>
      <c r="H879" s="110">
        <v>89.56</v>
      </c>
      <c r="I879" s="109">
        <v>9</v>
      </c>
      <c r="J879" s="110">
        <v>806.04</v>
      </c>
      <c r="K879" t="str">
        <f t="shared" si="13"/>
        <v>Jumat</v>
      </c>
    </row>
    <row r="880" spans="1:11" x14ac:dyDescent="0.25">
      <c r="A880" s="207" t="s">
        <v>935</v>
      </c>
      <c r="B880" s="112">
        <v>45695</v>
      </c>
      <c r="C880" s="109" t="s">
        <v>34</v>
      </c>
      <c r="D880" s="109" t="s">
        <v>35</v>
      </c>
      <c r="E880" s="109" t="s">
        <v>45</v>
      </c>
      <c r="F880" s="109" t="s">
        <v>39</v>
      </c>
      <c r="G880" s="109" t="s">
        <v>20</v>
      </c>
      <c r="H880" s="110">
        <v>171.68</v>
      </c>
      <c r="I880" s="109">
        <v>17</v>
      </c>
      <c r="J880" s="110">
        <v>2918.56</v>
      </c>
      <c r="K880" t="str">
        <f t="shared" si="13"/>
        <v>Jumat</v>
      </c>
    </row>
    <row r="881" spans="1:11" x14ac:dyDescent="0.25">
      <c r="A881" s="207" t="s">
        <v>936</v>
      </c>
      <c r="B881" s="112">
        <v>45789</v>
      </c>
      <c r="C881" s="109" t="s">
        <v>25</v>
      </c>
      <c r="D881" s="109" t="s">
        <v>35</v>
      </c>
      <c r="E881" s="109" t="s">
        <v>27</v>
      </c>
      <c r="F881" s="109" t="s">
        <v>61</v>
      </c>
      <c r="G881" s="109" t="s">
        <v>36</v>
      </c>
      <c r="H881" s="110">
        <v>119.92</v>
      </c>
      <c r="I881" s="109">
        <v>18</v>
      </c>
      <c r="J881" s="110">
        <v>2158.56</v>
      </c>
      <c r="K881" t="str">
        <f t="shared" si="13"/>
        <v>Senin</v>
      </c>
    </row>
    <row r="882" spans="1:11" x14ac:dyDescent="0.25">
      <c r="A882" s="207" t="s">
        <v>937</v>
      </c>
      <c r="B882" s="112">
        <v>45946</v>
      </c>
      <c r="C882" s="109" t="s">
        <v>30</v>
      </c>
      <c r="D882" s="109" t="s">
        <v>35</v>
      </c>
      <c r="E882" s="109" t="s">
        <v>41</v>
      </c>
      <c r="F882" s="109" t="s">
        <v>28</v>
      </c>
      <c r="G882" s="109" t="s">
        <v>36</v>
      </c>
      <c r="H882" s="110">
        <v>35.58</v>
      </c>
      <c r="I882" s="109">
        <v>16</v>
      </c>
      <c r="J882" s="110">
        <v>569.28</v>
      </c>
      <c r="K882" t="str">
        <f t="shared" si="13"/>
        <v>Kamis</v>
      </c>
    </row>
    <row r="883" spans="1:11" x14ac:dyDescent="0.25">
      <c r="A883" s="207" t="s">
        <v>938</v>
      </c>
      <c r="B883" s="112">
        <v>45958</v>
      </c>
      <c r="C883" s="109" t="s">
        <v>38</v>
      </c>
      <c r="D883" s="109" t="s">
        <v>22</v>
      </c>
      <c r="E883" s="109" t="s">
        <v>13</v>
      </c>
      <c r="F883" s="109" t="s">
        <v>19</v>
      </c>
      <c r="G883" s="109" t="s">
        <v>36</v>
      </c>
      <c r="H883" s="110">
        <v>64.349999999999994</v>
      </c>
      <c r="I883" s="109">
        <v>1</v>
      </c>
      <c r="J883" s="110">
        <v>64.349999999999994</v>
      </c>
      <c r="K883" t="str">
        <f t="shared" si="13"/>
        <v>Selasa</v>
      </c>
    </row>
    <row r="884" spans="1:11" x14ac:dyDescent="0.25">
      <c r="A884" s="207" t="s">
        <v>939</v>
      </c>
      <c r="B884" s="112">
        <v>45982</v>
      </c>
      <c r="C884" s="109" t="s">
        <v>17</v>
      </c>
      <c r="D884" s="109" t="s">
        <v>12</v>
      </c>
      <c r="E884" s="109" t="s">
        <v>23</v>
      </c>
      <c r="F884" s="109" t="s">
        <v>39</v>
      </c>
      <c r="G884" s="109" t="s">
        <v>36</v>
      </c>
      <c r="H884" s="110">
        <v>187.51</v>
      </c>
      <c r="I884" s="109">
        <v>8</v>
      </c>
      <c r="J884" s="110">
        <v>1500.08</v>
      </c>
      <c r="K884" t="str">
        <f t="shared" si="13"/>
        <v>Jumat</v>
      </c>
    </row>
    <row r="885" spans="1:11" x14ac:dyDescent="0.25">
      <c r="A885" s="207" t="s">
        <v>940</v>
      </c>
      <c r="B885" s="112">
        <v>45869</v>
      </c>
      <c r="C885" s="109" t="s">
        <v>25</v>
      </c>
      <c r="D885" s="109" t="s">
        <v>55</v>
      </c>
      <c r="E885" s="109" t="s">
        <v>45</v>
      </c>
      <c r="F885" s="109" t="s">
        <v>28</v>
      </c>
      <c r="G885" s="109" t="s">
        <v>36</v>
      </c>
      <c r="H885" s="110">
        <v>174.96</v>
      </c>
      <c r="I885" s="109">
        <v>12</v>
      </c>
      <c r="J885" s="110">
        <v>2099.52</v>
      </c>
      <c r="K885" t="str">
        <f t="shared" si="13"/>
        <v>Kamis</v>
      </c>
    </row>
    <row r="886" spans="1:11" x14ac:dyDescent="0.25">
      <c r="A886" s="207" t="s">
        <v>941</v>
      </c>
      <c r="B886" s="112">
        <v>45785</v>
      </c>
      <c r="C886" s="109" t="s">
        <v>11</v>
      </c>
      <c r="D886" s="109" t="s">
        <v>31</v>
      </c>
      <c r="E886" s="109" t="s">
        <v>27</v>
      </c>
      <c r="F886" s="109" t="s">
        <v>28</v>
      </c>
      <c r="G886" s="109" t="s">
        <v>36</v>
      </c>
      <c r="H886" s="110">
        <v>35.96</v>
      </c>
      <c r="I886" s="109">
        <v>10</v>
      </c>
      <c r="J886" s="110">
        <v>359.6</v>
      </c>
      <c r="K886" t="str">
        <f t="shared" si="13"/>
        <v>Kamis</v>
      </c>
    </row>
    <row r="887" spans="1:11" x14ac:dyDescent="0.25">
      <c r="A887" s="207" t="s">
        <v>942</v>
      </c>
      <c r="B887" s="112">
        <v>45696</v>
      </c>
      <c r="C887" s="109" t="s">
        <v>30</v>
      </c>
      <c r="D887" s="109" t="s">
        <v>31</v>
      </c>
      <c r="E887" s="109" t="s">
        <v>13</v>
      </c>
      <c r="F887" s="109" t="s">
        <v>32</v>
      </c>
      <c r="G887" s="109" t="s">
        <v>15</v>
      </c>
      <c r="H887" s="110">
        <v>78.83</v>
      </c>
      <c r="I887" s="109">
        <v>18</v>
      </c>
      <c r="J887" s="110">
        <v>1418.94</v>
      </c>
      <c r="K887" t="str">
        <f t="shared" si="13"/>
        <v>Sabtu</v>
      </c>
    </row>
    <row r="888" spans="1:11" x14ac:dyDescent="0.25">
      <c r="A888" s="207" t="s">
        <v>943</v>
      </c>
      <c r="B888" s="112">
        <v>45951</v>
      </c>
      <c r="C888" s="109" t="s">
        <v>30</v>
      </c>
      <c r="D888" s="109" t="s">
        <v>12</v>
      </c>
      <c r="E888" s="109" t="s">
        <v>27</v>
      </c>
      <c r="F888" s="109" t="s">
        <v>14</v>
      </c>
      <c r="G888" s="109" t="s">
        <v>36</v>
      </c>
      <c r="H888" s="110">
        <v>80.84</v>
      </c>
      <c r="I888" s="109">
        <v>9</v>
      </c>
      <c r="J888" s="110">
        <v>727.56</v>
      </c>
      <c r="K888" t="str">
        <f t="shared" si="13"/>
        <v>Selasa</v>
      </c>
    </row>
    <row r="889" spans="1:11" x14ac:dyDescent="0.25">
      <c r="A889" s="207" t="s">
        <v>944</v>
      </c>
      <c r="B889" s="112">
        <v>45760</v>
      </c>
      <c r="C889" s="109" t="s">
        <v>17</v>
      </c>
      <c r="D889" s="109" t="s">
        <v>26</v>
      </c>
      <c r="E889" s="109" t="s">
        <v>13</v>
      </c>
      <c r="F889" s="109" t="s">
        <v>14</v>
      </c>
      <c r="G889" s="109" t="s">
        <v>15</v>
      </c>
      <c r="H889" s="110">
        <v>177.82</v>
      </c>
      <c r="I889" s="109">
        <v>8</v>
      </c>
      <c r="J889" s="110">
        <v>1422.56</v>
      </c>
      <c r="K889" t="str">
        <f t="shared" si="13"/>
        <v>Minggu</v>
      </c>
    </row>
    <row r="890" spans="1:11" x14ac:dyDescent="0.25">
      <c r="A890" s="207" t="s">
        <v>945</v>
      </c>
      <c r="B890" s="112">
        <v>45761</v>
      </c>
      <c r="C890" s="109" t="s">
        <v>25</v>
      </c>
      <c r="D890" s="109" t="s">
        <v>35</v>
      </c>
      <c r="E890" s="109" t="s">
        <v>23</v>
      </c>
      <c r="F890" s="109" t="s">
        <v>39</v>
      </c>
      <c r="G890" s="109" t="s">
        <v>15</v>
      </c>
      <c r="H890" s="110">
        <v>34.340000000000003</v>
      </c>
      <c r="I890" s="109">
        <v>8</v>
      </c>
      <c r="J890" s="110">
        <v>274.72000000000003</v>
      </c>
      <c r="K890" t="str">
        <f t="shared" si="13"/>
        <v>Senin</v>
      </c>
    </row>
    <row r="891" spans="1:11" x14ac:dyDescent="0.25">
      <c r="A891" s="207" t="s">
        <v>946</v>
      </c>
      <c r="B891" s="112">
        <v>45719</v>
      </c>
      <c r="C891" s="109" t="s">
        <v>17</v>
      </c>
      <c r="D891" s="109" t="s">
        <v>12</v>
      </c>
      <c r="E891" s="109" t="s">
        <v>41</v>
      </c>
      <c r="F891" s="109" t="s">
        <v>42</v>
      </c>
      <c r="G891" s="109" t="s">
        <v>15</v>
      </c>
      <c r="H891" s="110">
        <v>52.9</v>
      </c>
      <c r="I891" s="109">
        <v>3</v>
      </c>
      <c r="J891" s="110">
        <v>158.69999999999999</v>
      </c>
      <c r="K891" t="str">
        <f t="shared" si="13"/>
        <v>Senin</v>
      </c>
    </row>
    <row r="892" spans="1:11" x14ac:dyDescent="0.25">
      <c r="A892" s="207" t="s">
        <v>947</v>
      </c>
      <c r="B892" s="112">
        <v>45935</v>
      </c>
      <c r="C892" s="109" t="s">
        <v>38</v>
      </c>
      <c r="D892" s="109" t="s">
        <v>35</v>
      </c>
      <c r="E892" s="109" t="s">
        <v>18</v>
      </c>
      <c r="F892" s="109" t="s">
        <v>32</v>
      </c>
      <c r="G892" s="109" t="s">
        <v>36</v>
      </c>
      <c r="H892" s="110">
        <v>205.98</v>
      </c>
      <c r="I892" s="109">
        <v>2</v>
      </c>
      <c r="J892" s="110">
        <v>411.96</v>
      </c>
      <c r="K892" t="str">
        <f t="shared" si="13"/>
        <v>Minggu</v>
      </c>
    </row>
    <row r="893" spans="1:11" x14ac:dyDescent="0.25">
      <c r="A893" s="207" t="s">
        <v>948</v>
      </c>
      <c r="B893" s="112">
        <v>45952</v>
      </c>
      <c r="C893" s="109" t="s">
        <v>38</v>
      </c>
      <c r="D893" s="109" t="s">
        <v>26</v>
      </c>
      <c r="E893" s="109" t="s">
        <v>18</v>
      </c>
      <c r="F893" s="109" t="s">
        <v>32</v>
      </c>
      <c r="G893" s="109" t="s">
        <v>36</v>
      </c>
      <c r="H893" s="110">
        <v>69.28</v>
      </c>
      <c r="I893" s="109">
        <v>9</v>
      </c>
      <c r="J893" s="110">
        <v>623.52</v>
      </c>
      <c r="K893" t="str">
        <f t="shared" si="13"/>
        <v>Rabu</v>
      </c>
    </row>
    <row r="894" spans="1:11" x14ac:dyDescent="0.25">
      <c r="A894" s="207" t="s">
        <v>949</v>
      </c>
      <c r="B894" s="112">
        <v>45771</v>
      </c>
      <c r="C894" s="109" t="s">
        <v>30</v>
      </c>
      <c r="D894" s="109" t="s">
        <v>22</v>
      </c>
      <c r="E894" s="109" t="s">
        <v>18</v>
      </c>
      <c r="F894" s="109" t="s">
        <v>39</v>
      </c>
      <c r="G894" s="109" t="s">
        <v>36</v>
      </c>
      <c r="H894" s="110">
        <v>173.6</v>
      </c>
      <c r="I894" s="109">
        <v>19</v>
      </c>
      <c r="J894" s="110">
        <v>3298.4</v>
      </c>
      <c r="K894" t="str">
        <f t="shared" si="13"/>
        <v>Kamis</v>
      </c>
    </row>
    <row r="895" spans="1:11" x14ac:dyDescent="0.25">
      <c r="A895" s="207" t="s">
        <v>950</v>
      </c>
      <c r="B895" s="112">
        <v>45902</v>
      </c>
      <c r="C895" s="109" t="s">
        <v>11</v>
      </c>
      <c r="D895" s="109" t="s">
        <v>55</v>
      </c>
      <c r="E895" s="109" t="s">
        <v>13</v>
      </c>
      <c r="F895" s="109" t="s">
        <v>61</v>
      </c>
      <c r="G895" s="109" t="s">
        <v>20</v>
      </c>
      <c r="H895" s="110">
        <v>82.4</v>
      </c>
      <c r="I895" s="109">
        <v>18</v>
      </c>
      <c r="J895" s="110">
        <v>1483.2</v>
      </c>
      <c r="K895" t="str">
        <f t="shared" si="13"/>
        <v>Selasa</v>
      </c>
    </row>
    <row r="896" spans="1:11" x14ac:dyDescent="0.25">
      <c r="A896" s="207" t="s">
        <v>951</v>
      </c>
      <c r="B896" s="112">
        <v>45747</v>
      </c>
      <c r="C896" s="109" t="s">
        <v>11</v>
      </c>
      <c r="D896" s="109" t="s">
        <v>12</v>
      </c>
      <c r="E896" s="109" t="s">
        <v>18</v>
      </c>
      <c r="F896" s="109" t="s">
        <v>61</v>
      </c>
      <c r="G896" s="109" t="s">
        <v>36</v>
      </c>
      <c r="H896" s="110">
        <v>51.88</v>
      </c>
      <c r="I896" s="109">
        <v>15</v>
      </c>
      <c r="J896" s="110">
        <v>778.2</v>
      </c>
      <c r="K896" t="str">
        <f t="shared" si="13"/>
        <v>Senin</v>
      </c>
    </row>
    <row r="897" spans="1:11" x14ac:dyDescent="0.25">
      <c r="A897" s="207" t="s">
        <v>952</v>
      </c>
      <c r="B897" s="112">
        <v>46010</v>
      </c>
      <c r="C897" s="109" t="s">
        <v>11</v>
      </c>
      <c r="D897" s="109" t="s">
        <v>12</v>
      </c>
      <c r="E897" s="109" t="s">
        <v>23</v>
      </c>
      <c r="F897" s="109" t="s">
        <v>61</v>
      </c>
      <c r="G897" s="109" t="s">
        <v>20</v>
      </c>
      <c r="H897" s="110">
        <v>83.5</v>
      </c>
      <c r="I897" s="109">
        <v>1</v>
      </c>
      <c r="J897" s="110">
        <v>83.5</v>
      </c>
      <c r="K897" t="str">
        <f t="shared" si="13"/>
        <v>Jumat</v>
      </c>
    </row>
    <row r="898" spans="1:11" x14ac:dyDescent="0.25">
      <c r="A898" s="207" t="s">
        <v>953</v>
      </c>
      <c r="B898" s="112">
        <v>45709</v>
      </c>
      <c r="C898" s="109" t="s">
        <v>34</v>
      </c>
      <c r="D898" s="109" t="s">
        <v>55</v>
      </c>
      <c r="E898" s="109" t="s">
        <v>13</v>
      </c>
      <c r="F898" s="109" t="s">
        <v>14</v>
      </c>
      <c r="G898" s="109" t="s">
        <v>20</v>
      </c>
      <c r="H898" s="110">
        <v>188.9</v>
      </c>
      <c r="I898" s="109">
        <v>11</v>
      </c>
      <c r="J898" s="110">
        <v>2077.9</v>
      </c>
      <c r="K898" t="str">
        <f t="shared" si="13"/>
        <v>Jumat</v>
      </c>
    </row>
    <row r="899" spans="1:11" x14ac:dyDescent="0.25">
      <c r="A899" s="207" t="s">
        <v>954</v>
      </c>
      <c r="B899" s="112">
        <v>45792</v>
      </c>
      <c r="C899" s="109" t="s">
        <v>34</v>
      </c>
      <c r="D899" s="109" t="s">
        <v>31</v>
      </c>
      <c r="E899" s="109" t="s">
        <v>18</v>
      </c>
      <c r="F899" s="109" t="s">
        <v>32</v>
      </c>
      <c r="G899" s="109" t="s">
        <v>36</v>
      </c>
      <c r="H899" s="110">
        <v>218.25</v>
      </c>
      <c r="I899" s="109">
        <v>8</v>
      </c>
      <c r="J899" s="110">
        <v>1746</v>
      </c>
      <c r="K899" t="str">
        <f t="shared" ref="K899:K962" si="14">TEXT(B899,"dddd")</f>
        <v>Kamis</v>
      </c>
    </row>
    <row r="900" spans="1:11" x14ac:dyDescent="0.25">
      <c r="A900" s="207" t="s">
        <v>955</v>
      </c>
      <c r="B900" s="112">
        <v>45752</v>
      </c>
      <c r="C900" s="109" t="s">
        <v>38</v>
      </c>
      <c r="D900" s="109" t="s">
        <v>26</v>
      </c>
      <c r="E900" s="109" t="s">
        <v>41</v>
      </c>
      <c r="F900" s="109" t="s">
        <v>28</v>
      </c>
      <c r="G900" s="109" t="s">
        <v>36</v>
      </c>
      <c r="H900" s="110">
        <v>212.65</v>
      </c>
      <c r="I900" s="109">
        <v>16</v>
      </c>
      <c r="J900" s="110">
        <v>3402.4</v>
      </c>
      <c r="K900" t="str">
        <f t="shared" si="14"/>
        <v>Sabtu</v>
      </c>
    </row>
    <row r="901" spans="1:11" x14ac:dyDescent="0.25">
      <c r="A901" s="207" t="s">
        <v>956</v>
      </c>
      <c r="B901" s="112">
        <v>45844</v>
      </c>
      <c r="C901" s="109" t="s">
        <v>34</v>
      </c>
      <c r="D901" s="109" t="s">
        <v>31</v>
      </c>
      <c r="E901" s="109" t="s">
        <v>23</v>
      </c>
      <c r="F901" s="109" t="s">
        <v>42</v>
      </c>
      <c r="G901" s="109" t="s">
        <v>15</v>
      </c>
      <c r="H901" s="110">
        <v>117.38</v>
      </c>
      <c r="I901" s="109">
        <v>13</v>
      </c>
      <c r="J901" s="110">
        <v>1525.94</v>
      </c>
      <c r="K901" t="str">
        <f t="shared" si="14"/>
        <v>Minggu</v>
      </c>
    </row>
    <row r="902" spans="1:11" x14ac:dyDescent="0.25">
      <c r="A902" s="207" t="s">
        <v>957</v>
      </c>
      <c r="B902" s="112">
        <v>45952</v>
      </c>
      <c r="C902" s="109" t="s">
        <v>11</v>
      </c>
      <c r="D902" s="109" t="s">
        <v>12</v>
      </c>
      <c r="E902" s="109" t="s">
        <v>13</v>
      </c>
      <c r="F902" s="109" t="s">
        <v>39</v>
      </c>
      <c r="G902" s="109" t="s">
        <v>15</v>
      </c>
      <c r="H902" s="110">
        <v>176.98</v>
      </c>
      <c r="I902" s="109">
        <v>8</v>
      </c>
      <c r="J902" s="110">
        <v>1415.84</v>
      </c>
      <c r="K902" t="str">
        <f t="shared" si="14"/>
        <v>Rabu</v>
      </c>
    </row>
    <row r="903" spans="1:11" x14ac:dyDescent="0.25">
      <c r="A903" s="207" t="s">
        <v>958</v>
      </c>
      <c r="B903" s="112">
        <v>45942</v>
      </c>
      <c r="C903" s="109" t="s">
        <v>38</v>
      </c>
      <c r="D903" s="109" t="s">
        <v>26</v>
      </c>
      <c r="E903" s="109" t="s">
        <v>23</v>
      </c>
      <c r="F903" s="109" t="s">
        <v>39</v>
      </c>
      <c r="G903" s="109" t="s">
        <v>20</v>
      </c>
      <c r="H903" s="110">
        <v>75.099999999999994</v>
      </c>
      <c r="I903" s="109">
        <v>14</v>
      </c>
      <c r="J903" s="110">
        <v>1051.4000000000001</v>
      </c>
      <c r="K903" t="str">
        <f t="shared" si="14"/>
        <v>Minggu</v>
      </c>
    </row>
    <row r="904" spans="1:11" x14ac:dyDescent="0.25">
      <c r="A904" s="207" t="s">
        <v>959</v>
      </c>
      <c r="B904" s="112">
        <v>45734</v>
      </c>
      <c r="C904" s="109" t="s">
        <v>11</v>
      </c>
      <c r="D904" s="109" t="s">
        <v>26</v>
      </c>
      <c r="E904" s="109" t="s">
        <v>41</v>
      </c>
      <c r="F904" s="109" t="s">
        <v>61</v>
      </c>
      <c r="G904" s="109" t="s">
        <v>15</v>
      </c>
      <c r="H904" s="110">
        <v>94.49</v>
      </c>
      <c r="I904" s="109">
        <v>16</v>
      </c>
      <c r="J904" s="110">
        <v>1511.84</v>
      </c>
      <c r="K904" t="str">
        <f t="shared" si="14"/>
        <v>Selasa</v>
      </c>
    </row>
    <row r="905" spans="1:11" x14ac:dyDescent="0.25">
      <c r="A905" s="207" t="s">
        <v>960</v>
      </c>
      <c r="B905" s="112">
        <v>45980</v>
      </c>
      <c r="C905" s="109" t="s">
        <v>25</v>
      </c>
      <c r="D905" s="109" t="s">
        <v>12</v>
      </c>
      <c r="E905" s="109" t="s">
        <v>13</v>
      </c>
      <c r="F905" s="109" t="s">
        <v>39</v>
      </c>
      <c r="G905" s="109" t="s">
        <v>36</v>
      </c>
      <c r="H905" s="110">
        <v>227.19</v>
      </c>
      <c r="I905" s="109">
        <v>17</v>
      </c>
      <c r="J905" s="110">
        <v>3862.23</v>
      </c>
      <c r="K905" t="str">
        <f t="shared" si="14"/>
        <v>Rabu</v>
      </c>
    </row>
    <row r="906" spans="1:11" x14ac:dyDescent="0.25">
      <c r="A906" s="207" t="s">
        <v>961</v>
      </c>
      <c r="B906" s="112">
        <v>45811</v>
      </c>
      <c r="C906" s="109" t="s">
        <v>25</v>
      </c>
      <c r="D906" s="109" t="s">
        <v>55</v>
      </c>
      <c r="E906" s="109" t="s">
        <v>45</v>
      </c>
      <c r="F906" s="109" t="s">
        <v>61</v>
      </c>
      <c r="G906" s="109" t="s">
        <v>15</v>
      </c>
      <c r="H906" s="110">
        <v>32.86</v>
      </c>
      <c r="I906" s="109">
        <v>9</v>
      </c>
      <c r="J906" s="110">
        <v>295.74</v>
      </c>
      <c r="K906" t="str">
        <f t="shared" si="14"/>
        <v>Selasa</v>
      </c>
    </row>
    <row r="907" spans="1:11" x14ac:dyDescent="0.25">
      <c r="A907" s="207" t="s">
        <v>962</v>
      </c>
      <c r="B907" s="112">
        <v>46011</v>
      </c>
      <c r="C907" s="109" t="s">
        <v>11</v>
      </c>
      <c r="D907" s="109" t="s">
        <v>26</v>
      </c>
      <c r="E907" s="109" t="s">
        <v>13</v>
      </c>
      <c r="F907" s="109" t="s">
        <v>61</v>
      </c>
      <c r="G907" s="109" t="s">
        <v>20</v>
      </c>
      <c r="H907" s="110">
        <v>48.81</v>
      </c>
      <c r="I907" s="109">
        <v>6</v>
      </c>
      <c r="J907" s="110">
        <v>292.86</v>
      </c>
      <c r="K907" t="str">
        <f t="shared" si="14"/>
        <v>Sabtu</v>
      </c>
    </row>
    <row r="908" spans="1:11" x14ac:dyDescent="0.25">
      <c r="A908" s="207" t="s">
        <v>963</v>
      </c>
      <c r="B908" s="112">
        <v>45707</v>
      </c>
      <c r="C908" s="109" t="s">
        <v>17</v>
      </c>
      <c r="D908" s="109" t="s">
        <v>35</v>
      </c>
      <c r="E908" s="109" t="s">
        <v>13</v>
      </c>
      <c r="F908" s="109" t="s">
        <v>32</v>
      </c>
      <c r="G908" s="109" t="s">
        <v>36</v>
      </c>
      <c r="H908" s="110">
        <v>75.73</v>
      </c>
      <c r="I908" s="109">
        <v>15</v>
      </c>
      <c r="J908" s="110">
        <v>1135.95</v>
      </c>
      <c r="K908" t="str">
        <f t="shared" si="14"/>
        <v>Rabu</v>
      </c>
    </row>
    <row r="909" spans="1:11" x14ac:dyDescent="0.25">
      <c r="A909" s="207" t="s">
        <v>964</v>
      </c>
      <c r="B909" s="112">
        <v>45944</v>
      </c>
      <c r="C909" s="109" t="s">
        <v>34</v>
      </c>
      <c r="D909" s="109" t="s">
        <v>35</v>
      </c>
      <c r="E909" s="109" t="s">
        <v>45</v>
      </c>
      <c r="F909" s="109" t="s">
        <v>61</v>
      </c>
      <c r="G909" s="109" t="s">
        <v>15</v>
      </c>
      <c r="H909" s="110">
        <v>35.840000000000003</v>
      </c>
      <c r="I909" s="109">
        <v>18</v>
      </c>
      <c r="J909" s="110">
        <v>645.12</v>
      </c>
      <c r="K909" t="str">
        <f t="shared" si="14"/>
        <v>Selasa</v>
      </c>
    </row>
    <row r="910" spans="1:11" x14ac:dyDescent="0.25">
      <c r="A910" s="207" t="s">
        <v>965</v>
      </c>
      <c r="B910" s="112">
        <v>45837</v>
      </c>
      <c r="C910" s="109" t="s">
        <v>30</v>
      </c>
      <c r="D910" s="109" t="s">
        <v>55</v>
      </c>
      <c r="E910" s="109" t="s">
        <v>18</v>
      </c>
      <c r="F910" s="109" t="s">
        <v>28</v>
      </c>
      <c r="G910" s="109" t="s">
        <v>20</v>
      </c>
      <c r="H910" s="110">
        <v>69.92</v>
      </c>
      <c r="I910" s="109">
        <v>20</v>
      </c>
      <c r="J910" s="110">
        <v>1398.4</v>
      </c>
      <c r="K910" t="str">
        <f t="shared" si="14"/>
        <v>Minggu</v>
      </c>
    </row>
    <row r="911" spans="1:11" x14ac:dyDescent="0.25">
      <c r="A911" s="207" t="s">
        <v>966</v>
      </c>
      <c r="B911" s="112">
        <v>45933</v>
      </c>
      <c r="C911" s="109" t="s">
        <v>34</v>
      </c>
      <c r="D911" s="109" t="s">
        <v>35</v>
      </c>
      <c r="E911" s="109" t="s">
        <v>13</v>
      </c>
      <c r="F911" s="109" t="s">
        <v>28</v>
      </c>
      <c r="G911" s="109" t="s">
        <v>20</v>
      </c>
      <c r="H911" s="110">
        <v>158.27000000000001</v>
      </c>
      <c r="I911" s="109">
        <v>6</v>
      </c>
      <c r="J911" s="110">
        <v>949.62</v>
      </c>
      <c r="K911" t="str">
        <f t="shared" si="14"/>
        <v>Jumat</v>
      </c>
    </row>
    <row r="912" spans="1:11" x14ac:dyDescent="0.25">
      <c r="A912" s="207" t="s">
        <v>967</v>
      </c>
      <c r="B912" s="112">
        <v>45907</v>
      </c>
      <c r="C912" s="109" t="s">
        <v>11</v>
      </c>
      <c r="D912" s="109" t="s">
        <v>31</v>
      </c>
      <c r="E912" s="109" t="s">
        <v>18</v>
      </c>
      <c r="F912" s="109" t="s">
        <v>32</v>
      </c>
      <c r="G912" s="109" t="s">
        <v>36</v>
      </c>
      <c r="H912" s="110">
        <v>122.71</v>
      </c>
      <c r="I912" s="109">
        <v>15</v>
      </c>
      <c r="J912" s="110">
        <v>1840.65</v>
      </c>
      <c r="K912" t="str">
        <f t="shared" si="14"/>
        <v>Minggu</v>
      </c>
    </row>
    <row r="913" spans="1:11" x14ac:dyDescent="0.25">
      <c r="A913" s="207" t="s">
        <v>968</v>
      </c>
      <c r="B913" s="112">
        <v>45981</v>
      </c>
      <c r="C913" s="109" t="s">
        <v>30</v>
      </c>
      <c r="D913" s="109" t="s">
        <v>12</v>
      </c>
      <c r="E913" s="109" t="s">
        <v>13</v>
      </c>
      <c r="F913" s="109" t="s">
        <v>61</v>
      </c>
      <c r="G913" s="109" t="s">
        <v>20</v>
      </c>
      <c r="H913" s="110">
        <v>226.39</v>
      </c>
      <c r="I913" s="109">
        <v>5</v>
      </c>
      <c r="J913" s="110">
        <v>1131.95</v>
      </c>
      <c r="K913" t="str">
        <f t="shared" si="14"/>
        <v>Kamis</v>
      </c>
    </row>
    <row r="914" spans="1:11" x14ac:dyDescent="0.25">
      <c r="A914" s="207" t="s">
        <v>969</v>
      </c>
      <c r="B914" s="112">
        <v>45971</v>
      </c>
      <c r="C914" s="109" t="s">
        <v>38</v>
      </c>
      <c r="D914" s="109" t="s">
        <v>22</v>
      </c>
      <c r="E914" s="109" t="s">
        <v>45</v>
      </c>
      <c r="F914" s="109" t="s">
        <v>14</v>
      </c>
      <c r="G914" s="109" t="s">
        <v>36</v>
      </c>
      <c r="H914" s="110">
        <v>209.84</v>
      </c>
      <c r="I914" s="109">
        <v>19</v>
      </c>
      <c r="J914" s="110">
        <v>3986.96</v>
      </c>
      <c r="K914" t="str">
        <f t="shared" si="14"/>
        <v>Senin</v>
      </c>
    </row>
    <row r="915" spans="1:11" x14ac:dyDescent="0.25">
      <c r="A915" s="207" t="s">
        <v>970</v>
      </c>
      <c r="B915" s="112">
        <v>45774</v>
      </c>
      <c r="C915" s="109" t="s">
        <v>34</v>
      </c>
      <c r="D915" s="109" t="s">
        <v>12</v>
      </c>
      <c r="E915" s="109" t="s">
        <v>13</v>
      </c>
      <c r="F915" s="109" t="s">
        <v>28</v>
      </c>
      <c r="G915" s="109" t="s">
        <v>36</v>
      </c>
      <c r="H915" s="110">
        <v>105.2</v>
      </c>
      <c r="I915" s="109">
        <v>11</v>
      </c>
      <c r="J915" s="110">
        <v>1157.2</v>
      </c>
      <c r="K915" t="str">
        <f t="shared" si="14"/>
        <v>Minggu</v>
      </c>
    </row>
    <row r="916" spans="1:11" x14ac:dyDescent="0.25">
      <c r="A916" s="207" t="s">
        <v>971</v>
      </c>
      <c r="B916" s="112">
        <v>45967</v>
      </c>
      <c r="C916" s="109" t="s">
        <v>34</v>
      </c>
      <c r="D916" s="109" t="s">
        <v>31</v>
      </c>
      <c r="E916" s="109" t="s">
        <v>13</v>
      </c>
      <c r="F916" s="109" t="s">
        <v>28</v>
      </c>
      <c r="G916" s="109" t="s">
        <v>20</v>
      </c>
      <c r="H916" s="110">
        <v>87.07</v>
      </c>
      <c r="I916" s="109">
        <v>13</v>
      </c>
      <c r="J916" s="110">
        <v>1131.9100000000001</v>
      </c>
      <c r="K916" t="str">
        <f t="shared" si="14"/>
        <v>Kamis</v>
      </c>
    </row>
    <row r="917" spans="1:11" x14ac:dyDescent="0.25">
      <c r="A917" s="207" t="s">
        <v>972</v>
      </c>
      <c r="B917" s="112">
        <v>45924</v>
      </c>
      <c r="C917" s="109" t="s">
        <v>38</v>
      </c>
      <c r="D917" s="109" t="s">
        <v>26</v>
      </c>
      <c r="E917" s="109" t="s">
        <v>23</v>
      </c>
      <c r="F917" s="109" t="s">
        <v>39</v>
      </c>
      <c r="G917" s="109" t="s">
        <v>15</v>
      </c>
      <c r="H917" s="110">
        <v>113.53</v>
      </c>
      <c r="I917" s="109">
        <v>15</v>
      </c>
      <c r="J917" s="110">
        <v>1702.95</v>
      </c>
      <c r="K917" t="str">
        <f t="shared" si="14"/>
        <v>Rabu</v>
      </c>
    </row>
    <row r="918" spans="1:11" x14ac:dyDescent="0.25">
      <c r="A918" s="207" t="s">
        <v>973</v>
      </c>
      <c r="B918" s="112">
        <v>45722</v>
      </c>
      <c r="C918" s="109" t="s">
        <v>17</v>
      </c>
      <c r="D918" s="109" t="s">
        <v>35</v>
      </c>
      <c r="E918" s="109" t="s">
        <v>27</v>
      </c>
      <c r="F918" s="109" t="s">
        <v>28</v>
      </c>
      <c r="G918" s="109" t="s">
        <v>20</v>
      </c>
      <c r="H918" s="110">
        <v>159.86000000000001</v>
      </c>
      <c r="I918" s="109">
        <v>8</v>
      </c>
      <c r="J918" s="110">
        <v>1278.8800000000001</v>
      </c>
      <c r="K918" t="str">
        <f t="shared" si="14"/>
        <v>Kamis</v>
      </c>
    </row>
    <row r="919" spans="1:11" x14ac:dyDescent="0.25">
      <c r="A919" s="207" t="s">
        <v>974</v>
      </c>
      <c r="B919" s="112">
        <v>45698</v>
      </c>
      <c r="C919" s="109" t="s">
        <v>30</v>
      </c>
      <c r="D919" s="109" t="s">
        <v>31</v>
      </c>
      <c r="E919" s="109" t="s">
        <v>45</v>
      </c>
      <c r="F919" s="109" t="s">
        <v>19</v>
      </c>
      <c r="G919" s="109" t="s">
        <v>15</v>
      </c>
      <c r="H919" s="110">
        <v>88.97</v>
      </c>
      <c r="I919" s="109">
        <v>7</v>
      </c>
      <c r="J919" s="110">
        <v>622.79</v>
      </c>
      <c r="K919" t="str">
        <f t="shared" si="14"/>
        <v>Senin</v>
      </c>
    </row>
    <row r="920" spans="1:11" x14ac:dyDescent="0.25">
      <c r="A920" s="207" t="s">
        <v>975</v>
      </c>
      <c r="B920" s="112">
        <v>45900</v>
      </c>
      <c r="C920" s="109" t="s">
        <v>11</v>
      </c>
      <c r="D920" s="109" t="s">
        <v>22</v>
      </c>
      <c r="E920" s="109" t="s">
        <v>41</v>
      </c>
      <c r="F920" s="109" t="s">
        <v>42</v>
      </c>
      <c r="G920" s="109" t="s">
        <v>15</v>
      </c>
      <c r="H920" s="110">
        <v>167.31</v>
      </c>
      <c r="I920" s="109">
        <v>18</v>
      </c>
      <c r="J920" s="110">
        <v>3011.58</v>
      </c>
      <c r="K920" t="str">
        <f t="shared" si="14"/>
        <v>Minggu</v>
      </c>
    </row>
    <row r="921" spans="1:11" x14ac:dyDescent="0.25">
      <c r="A921" s="207" t="s">
        <v>976</v>
      </c>
      <c r="B921" s="112">
        <v>45711</v>
      </c>
      <c r="C921" s="109" t="s">
        <v>25</v>
      </c>
      <c r="D921" s="109" t="s">
        <v>26</v>
      </c>
      <c r="E921" s="109" t="s">
        <v>45</v>
      </c>
      <c r="F921" s="109" t="s">
        <v>28</v>
      </c>
      <c r="G921" s="109" t="s">
        <v>36</v>
      </c>
      <c r="H921" s="110">
        <v>120.07</v>
      </c>
      <c r="I921" s="109">
        <v>9</v>
      </c>
      <c r="J921" s="110">
        <v>1080.6300000000001</v>
      </c>
      <c r="K921" t="str">
        <f t="shared" si="14"/>
        <v>Minggu</v>
      </c>
    </row>
    <row r="922" spans="1:11" x14ac:dyDescent="0.25">
      <c r="A922" s="207" t="s">
        <v>977</v>
      </c>
      <c r="B922" s="112">
        <v>45816</v>
      </c>
      <c r="C922" s="109" t="s">
        <v>30</v>
      </c>
      <c r="D922" s="109" t="s">
        <v>12</v>
      </c>
      <c r="E922" s="109" t="s">
        <v>13</v>
      </c>
      <c r="F922" s="109" t="s">
        <v>61</v>
      </c>
      <c r="G922" s="109" t="s">
        <v>20</v>
      </c>
      <c r="H922" s="110">
        <v>151.44999999999999</v>
      </c>
      <c r="I922" s="109">
        <v>8</v>
      </c>
      <c r="J922" s="110">
        <v>1211.5999999999999</v>
      </c>
      <c r="K922" t="str">
        <f t="shared" si="14"/>
        <v>Minggu</v>
      </c>
    </row>
    <row r="923" spans="1:11" x14ac:dyDescent="0.25">
      <c r="A923" s="207" t="s">
        <v>978</v>
      </c>
      <c r="B923" s="112">
        <v>45722</v>
      </c>
      <c r="C923" s="109" t="s">
        <v>25</v>
      </c>
      <c r="D923" s="109" t="s">
        <v>26</v>
      </c>
      <c r="E923" s="109" t="s">
        <v>45</v>
      </c>
      <c r="F923" s="109" t="s">
        <v>19</v>
      </c>
      <c r="G923" s="109" t="s">
        <v>20</v>
      </c>
      <c r="H923" s="110">
        <v>125.95</v>
      </c>
      <c r="I923" s="109">
        <v>5</v>
      </c>
      <c r="J923" s="110">
        <v>629.75</v>
      </c>
      <c r="K923" t="str">
        <f t="shared" si="14"/>
        <v>Kamis</v>
      </c>
    </row>
    <row r="924" spans="1:11" x14ac:dyDescent="0.25">
      <c r="A924" s="207" t="s">
        <v>979</v>
      </c>
      <c r="B924" s="112">
        <v>45840</v>
      </c>
      <c r="C924" s="109" t="s">
        <v>38</v>
      </c>
      <c r="D924" s="109" t="s">
        <v>31</v>
      </c>
      <c r="E924" s="109" t="s">
        <v>18</v>
      </c>
      <c r="F924" s="109" t="s">
        <v>32</v>
      </c>
      <c r="G924" s="109" t="s">
        <v>20</v>
      </c>
      <c r="H924" s="110">
        <v>94.78</v>
      </c>
      <c r="I924" s="109">
        <v>11</v>
      </c>
      <c r="J924" s="110">
        <v>1042.58</v>
      </c>
      <c r="K924" t="str">
        <f t="shared" si="14"/>
        <v>Rabu</v>
      </c>
    </row>
    <row r="925" spans="1:11" x14ac:dyDescent="0.25">
      <c r="A925" s="207" t="s">
        <v>980</v>
      </c>
      <c r="B925" s="112">
        <v>45885</v>
      </c>
      <c r="C925" s="109" t="s">
        <v>17</v>
      </c>
      <c r="D925" s="109" t="s">
        <v>55</v>
      </c>
      <c r="E925" s="109" t="s">
        <v>23</v>
      </c>
      <c r="F925" s="109" t="s">
        <v>42</v>
      </c>
      <c r="G925" s="109" t="s">
        <v>20</v>
      </c>
      <c r="H925" s="110">
        <v>238.66</v>
      </c>
      <c r="I925" s="109">
        <v>5</v>
      </c>
      <c r="J925" s="110">
        <v>1193.3</v>
      </c>
      <c r="K925" t="str">
        <f t="shared" si="14"/>
        <v>Sabtu</v>
      </c>
    </row>
    <row r="926" spans="1:11" x14ac:dyDescent="0.25">
      <c r="A926" s="207" t="s">
        <v>981</v>
      </c>
      <c r="B926" s="112">
        <v>45891</v>
      </c>
      <c r="C926" s="109" t="s">
        <v>38</v>
      </c>
      <c r="D926" s="109" t="s">
        <v>55</v>
      </c>
      <c r="E926" s="109" t="s">
        <v>27</v>
      </c>
      <c r="F926" s="109" t="s">
        <v>28</v>
      </c>
      <c r="G926" s="109" t="s">
        <v>20</v>
      </c>
      <c r="H926" s="110">
        <v>197.99</v>
      </c>
      <c r="I926" s="109">
        <v>19</v>
      </c>
      <c r="J926" s="110">
        <v>3761.81</v>
      </c>
      <c r="K926" t="str">
        <f t="shared" si="14"/>
        <v>Jumat</v>
      </c>
    </row>
    <row r="927" spans="1:11" x14ac:dyDescent="0.25">
      <c r="A927" s="207" t="s">
        <v>982</v>
      </c>
      <c r="B927" s="112">
        <v>45816</v>
      </c>
      <c r="C927" s="109" t="s">
        <v>38</v>
      </c>
      <c r="D927" s="109" t="s">
        <v>55</v>
      </c>
      <c r="E927" s="109" t="s">
        <v>23</v>
      </c>
      <c r="F927" s="109" t="s">
        <v>39</v>
      </c>
      <c r="G927" s="109" t="s">
        <v>15</v>
      </c>
      <c r="H927" s="110">
        <v>60.82</v>
      </c>
      <c r="I927" s="109">
        <v>12</v>
      </c>
      <c r="J927" s="110">
        <v>729.84</v>
      </c>
      <c r="K927" t="str">
        <f t="shared" si="14"/>
        <v>Minggu</v>
      </c>
    </row>
    <row r="928" spans="1:11" x14ac:dyDescent="0.25">
      <c r="A928" s="207" t="s">
        <v>983</v>
      </c>
      <c r="B928" s="112">
        <v>45884</v>
      </c>
      <c r="C928" s="109" t="s">
        <v>34</v>
      </c>
      <c r="D928" s="109" t="s">
        <v>31</v>
      </c>
      <c r="E928" s="109" t="s">
        <v>13</v>
      </c>
      <c r="F928" s="109" t="s">
        <v>14</v>
      </c>
      <c r="G928" s="109" t="s">
        <v>36</v>
      </c>
      <c r="H928" s="110">
        <v>221.06</v>
      </c>
      <c r="I928" s="109">
        <v>10</v>
      </c>
      <c r="J928" s="110">
        <v>2210.6</v>
      </c>
      <c r="K928" t="str">
        <f t="shared" si="14"/>
        <v>Jumat</v>
      </c>
    </row>
    <row r="929" spans="1:11" x14ac:dyDescent="0.25">
      <c r="A929" s="207" t="s">
        <v>984</v>
      </c>
      <c r="B929" s="112">
        <v>45663</v>
      </c>
      <c r="C929" s="109" t="s">
        <v>25</v>
      </c>
      <c r="D929" s="109" t="s">
        <v>26</v>
      </c>
      <c r="E929" s="109" t="s">
        <v>13</v>
      </c>
      <c r="F929" s="109" t="s">
        <v>32</v>
      </c>
      <c r="G929" s="109" t="s">
        <v>36</v>
      </c>
      <c r="H929" s="110">
        <v>137.22999999999999</v>
      </c>
      <c r="I929" s="109">
        <v>1</v>
      </c>
      <c r="J929" s="110">
        <v>137.22999999999999</v>
      </c>
      <c r="K929" t="str">
        <f t="shared" si="14"/>
        <v>Senin</v>
      </c>
    </row>
    <row r="930" spans="1:11" x14ac:dyDescent="0.25">
      <c r="A930" s="207" t="s">
        <v>985</v>
      </c>
      <c r="B930" s="112">
        <v>45931</v>
      </c>
      <c r="C930" s="109" t="s">
        <v>17</v>
      </c>
      <c r="D930" s="109" t="s">
        <v>31</v>
      </c>
      <c r="E930" s="109" t="s">
        <v>41</v>
      </c>
      <c r="F930" s="109" t="s">
        <v>32</v>
      </c>
      <c r="G930" s="109" t="s">
        <v>15</v>
      </c>
      <c r="H930" s="110">
        <v>226.8</v>
      </c>
      <c r="I930" s="109">
        <v>1</v>
      </c>
      <c r="J930" s="110">
        <v>226.8</v>
      </c>
      <c r="K930" t="str">
        <f t="shared" si="14"/>
        <v>Rabu</v>
      </c>
    </row>
    <row r="931" spans="1:11" x14ac:dyDescent="0.25">
      <c r="A931" s="207" t="s">
        <v>986</v>
      </c>
      <c r="B931" s="112">
        <v>45878</v>
      </c>
      <c r="C931" s="109" t="s">
        <v>25</v>
      </c>
      <c r="D931" s="109" t="s">
        <v>26</v>
      </c>
      <c r="E931" s="109" t="s">
        <v>45</v>
      </c>
      <c r="F931" s="109" t="s">
        <v>42</v>
      </c>
      <c r="G931" s="109" t="s">
        <v>36</v>
      </c>
      <c r="H931" s="110">
        <v>205.97</v>
      </c>
      <c r="I931" s="109">
        <v>10</v>
      </c>
      <c r="J931" s="110">
        <v>2059.6999999999998</v>
      </c>
      <c r="K931" t="str">
        <f t="shared" si="14"/>
        <v>Sabtu</v>
      </c>
    </row>
    <row r="932" spans="1:11" x14ac:dyDescent="0.25">
      <c r="A932" s="207" t="s">
        <v>987</v>
      </c>
      <c r="B932" s="112">
        <v>45754</v>
      </c>
      <c r="C932" s="109" t="s">
        <v>25</v>
      </c>
      <c r="D932" s="109" t="s">
        <v>31</v>
      </c>
      <c r="E932" s="109" t="s">
        <v>41</v>
      </c>
      <c r="F932" s="109" t="s">
        <v>14</v>
      </c>
      <c r="G932" s="109" t="s">
        <v>15</v>
      </c>
      <c r="H932" s="110">
        <v>123.55</v>
      </c>
      <c r="I932" s="109">
        <v>14</v>
      </c>
      <c r="J932" s="110">
        <v>1729.7</v>
      </c>
      <c r="K932" t="str">
        <f t="shared" si="14"/>
        <v>Senin</v>
      </c>
    </row>
    <row r="933" spans="1:11" x14ac:dyDescent="0.25">
      <c r="A933" s="207" t="s">
        <v>988</v>
      </c>
      <c r="B933" s="112">
        <v>45988</v>
      </c>
      <c r="C933" s="109" t="s">
        <v>38</v>
      </c>
      <c r="D933" s="109" t="s">
        <v>26</v>
      </c>
      <c r="E933" s="109" t="s">
        <v>13</v>
      </c>
      <c r="F933" s="109" t="s">
        <v>19</v>
      </c>
      <c r="G933" s="109" t="s">
        <v>36</v>
      </c>
      <c r="H933" s="110">
        <v>34.94</v>
      </c>
      <c r="I933" s="109">
        <v>13</v>
      </c>
      <c r="J933" s="110">
        <v>454.22</v>
      </c>
      <c r="K933" t="str">
        <f t="shared" si="14"/>
        <v>Kamis</v>
      </c>
    </row>
    <row r="934" spans="1:11" x14ac:dyDescent="0.25">
      <c r="A934" s="207" t="s">
        <v>989</v>
      </c>
      <c r="B934" s="112">
        <v>45978</v>
      </c>
      <c r="C934" s="109" t="s">
        <v>25</v>
      </c>
      <c r="D934" s="109" t="s">
        <v>55</v>
      </c>
      <c r="E934" s="109" t="s">
        <v>27</v>
      </c>
      <c r="F934" s="109" t="s">
        <v>28</v>
      </c>
      <c r="G934" s="109" t="s">
        <v>36</v>
      </c>
      <c r="H934" s="110">
        <v>89.11</v>
      </c>
      <c r="I934" s="109">
        <v>8</v>
      </c>
      <c r="J934" s="110">
        <v>712.88</v>
      </c>
      <c r="K934" t="str">
        <f t="shared" si="14"/>
        <v>Senin</v>
      </c>
    </row>
    <row r="935" spans="1:11" x14ac:dyDescent="0.25">
      <c r="A935" s="207" t="s">
        <v>990</v>
      </c>
      <c r="B935" s="112">
        <v>45803</v>
      </c>
      <c r="C935" s="109" t="s">
        <v>34</v>
      </c>
      <c r="D935" s="109" t="s">
        <v>31</v>
      </c>
      <c r="E935" s="109" t="s">
        <v>23</v>
      </c>
      <c r="F935" s="109" t="s">
        <v>39</v>
      </c>
      <c r="G935" s="109" t="s">
        <v>15</v>
      </c>
      <c r="H935" s="110">
        <v>149.16</v>
      </c>
      <c r="I935" s="109">
        <v>18</v>
      </c>
      <c r="J935" s="110">
        <v>2684.88</v>
      </c>
      <c r="K935" t="str">
        <f t="shared" si="14"/>
        <v>Senin</v>
      </c>
    </row>
    <row r="936" spans="1:11" x14ac:dyDescent="0.25">
      <c r="A936" s="207" t="s">
        <v>991</v>
      </c>
      <c r="B936" s="112">
        <v>45751</v>
      </c>
      <c r="C936" s="109" t="s">
        <v>34</v>
      </c>
      <c r="D936" s="109" t="s">
        <v>22</v>
      </c>
      <c r="E936" s="109" t="s">
        <v>27</v>
      </c>
      <c r="F936" s="109" t="s">
        <v>61</v>
      </c>
      <c r="G936" s="109" t="s">
        <v>20</v>
      </c>
      <c r="H936" s="110">
        <v>169.37</v>
      </c>
      <c r="I936" s="109">
        <v>5</v>
      </c>
      <c r="J936" s="110">
        <v>846.85</v>
      </c>
      <c r="K936" t="str">
        <f t="shared" si="14"/>
        <v>Jumat</v>
      </c>
    </row>
    <row r="937" spans="1:11" x14ac:dyDescent="0.25">
      <c r="A937" s="207" t="s">
        <v>992</v>
      </c>
      <c r="B937" s="112">
        <v>45889</v>
      </c>
      <c r="C937" s="109" t="s">
        <v>17</v>
      </c>
      <c r="D937" s="109" t="s">
        <v>55</v>
      </c>
      <c r="E937" s="109" t="s">
        <v>41</v>
      </c>
      <c r="F937" s="109" t="s">
        <v>14</v>
      </c>
      <c r="G937" s="109" t="s">
        <v>36</v>
      </c>
      <c r="H937" s="110">
        <v>86.74</v>
      </c>
      <c r="I937" s="109">
        <v>9</v>
      </c>
      <c r="J937" s="110">
        <v>780.66</v>
      </c>
      <c r="K937" t="str">
        <f t="shared" si="14"/>
        <v>Rabu</v>
      </c>
    </row>
    <row r="938" spans="1:11" x14ac:dyDescent="0.25">
      <c r="A938" s="207" t="s">
        <v>993</v>
      </c>
      <c r="B938" s="112">
        <v>45667</v>
      </c>
      <c r="C938" s="109" t="s">
        <v>11</v>
      </c>
      <c r="D938" s="109" t="s">
        <v>55</v>
      </c>
      <c r="E938" s="109" t="s">
        <v>45</v>
      </c>
      <c r="F938" s="109" t="s">
        <v>14</v>
      </c>
      <c r="G938" s="109" t="s">
        <v>15</v>
      </c>
      <c r="H938" s="110">
        <v>60.66</v>
      </c>
      <c r="I938" s="109">
        <v>5</v>
      </c>
      <c r="J938" s="110">
        <v>303.3</v>
      </c>
      <c r="K938" t="str">
        <f t="shared" si="14"/>
        <v>Jumat</v>
      </c>
    </row>
    <row r="939" spans="1:11" x14ac:dyDescent="0.25">
      <c r="A939" s="207" t="s">
        <v>994</v>
      </c>
      <c r="B939" s="112">
        <v>45802</v>
      </c>
      <c r="C939" s="109" t="s">
        <v>30</v>
      </c>
      <c r="D939" s="109" t="s">
        <v>12</v>
      </c>
      <c r="E939" s="109" t="s">
        <v>41</v>
      </c>
      <c r="F939" s="109" t="s">
        <v>28</v>
      </c>
      <c r="G939" s="109" t="s">
        <v>15</v>
      </c>
      <c r="H939" s="110">
        <v>213.68</v>
      </c>
      <c r="I939" s="109">
        <v>9</v>
      </c>
      <c r="J939" s="110">
        <v>1923.12</v>
      </c>
      <c r="K939" t="str">
        <f t="shared" si="14"/>
        <v>Minggu</v>
      </c>
    </row>
    <row r="940" spans="1:11" x14ac:dyDescent="0.25">
      <c r="A940" s="207" t="s">
        <v>995</v>
      </c>
      <c r="B940" s="112">
        <v>45777</v>
      </c>
      <c r="C940" s="109" t="s">
        <v>30</v>
      </c>
      <c r="D940" s="109" t="s">
        <v>22</v>
      </c>
      <c r="E940" s="109" t="s">
        <v>41</v>
      </c>
      <c r="F940" s="109" t="s">
        <v>14</v>
      </c>
      <c r="G940" s="109" t="s">
        <v>36</v>
      </c>
      <c r="H940" s="110">
        <v>246.57</v>
      </c>
      <c r="I940" s="109">
        <v>3</v>
      </c>
      <c r="J940" s="110">
        <v>739.71</v>
      </c>
      <c r="K940" t="str">
        <f t="shared" si="14"/>
        <v>Rabu</v>
      </c>
    </row>
    <row r="941" spans="1:11" x14ac:dyDescent="0.25">
      <c r="A941" s="207" t="s">
        <v>996</v>
      </c>
      <c r="B941" s="112">
        <v>45873</v>
      </c>
      <c r="C941" s="109" t="s">
        <v>38</v>
      </c>
      <c r="D941" s="109" t="s">
        <v>35</v>
      </c>
      <c r="E941" s="109" t="s">
        <v>41</v>
      </c>
      <c r="F941" s="109" t="s">
        <v>28</v>
      </c>
      <c r="G941" s="109" t="s">
        <v>15</v>
      </c>
      <c r="H941" s="110">
        <v>145.65</v>
      </c>
      <c r="I941" s="109">
        <v>10</v>
      </c>
      <c r="J941" s="110">
        <v>1456.5</v>
      </c>
      <c r="K941" t="str">
        <f t="shared" si="14"/>
        <v>Senin</v>
      </c>
    </row>
    <row r="942" spans="1:11" x14ac:dyDescent="0.25">
      <c r="A942" s="207" t="s">
        <v>997</v>
      </c>
      <c r="B942" s="112">
        <v>45827</v>
      </c>
      <c r="C942" s="109" t="s">
        <v>30</v>
      </c>
      <c r="D942" s="109" t="s">
        <v>22</v>
      </c>
      <c r="E942" s="109" t="s">
        <v>13</v>
      </c>
      <c r="F942" s="109" t="s">
        <v>39</v>
      </c>
      <c r="G942" s="109" t="s">
        <v>36</v>
      </c>
      <c r="H942" s="110">
        <v>67.77</v>
      </c>
      <c r="I942" s="109">
        <v>3</v>
      </c>
      <c r="J942" s="110">
        <v>203.31</v>
      </c>
      <c r="K942" t="str">
        <f t="shared" si="14"/>
        <v>Kamis</v>
      </c>
    </row>
    <row r="943" spans="1:11" x14ac:dyDescent="0.25">
      <c r="A943" s="207" t="s">
        <v>998</v>
      </c>
      <c r="B943" s="112">
        <v>45694</v>
      </c>
      <c r="C943" s="109" t="s">
        <v>38</v>
      </c>
      <c r="D943" s="109" t="s">
        <v>26</v>
      </c>
      <c r="E943" s="109" t="s">
        <v>23</v>
      </c>
      <c r="F943" s="109" t="s">
        <v>39</v>
      </c>
      <c r="G943" s="109" t="s">
        <v>36</v>
      </c>
      <c r="H943" s="110">
        <v>89.91</v>
      </c>
      <c r="I943" s="109">
        <v>18</v>
      </c>
      <c r="J943" s="110">
        <v>1618.38</v>
      </c>
      <c r="K943" t="str">
        <f t="shared" si="14"/>
        <v>Kamis</v>
      </c>
    </row>
    <row r="944" spans="1:11" x14ac:dyDescent="0.25">
      <c r="A944" s="207" t="s">
        <v>999</v>
      </c>
      <c r="B944" s="112">
        <v>45853</v>
      </c>
      <c r="C944" s="109" t="s">
        <v>11</v>
      </c>
      <c r="D944" s="109" t="s">
        <v>12</v>
      </c>
      <c r="E944" s="109" t="s">
        <v>23</v>
      </c>
      <c r="F944" s="109" t="s">
        <v>61</v>
      </c>
      <c r="G944" s="109" t="s">
        <v>36</v>
      </c>
      <c r="H944" s="110">
        <v>34.049999999999997</v>
      </c>
      <c r="I944" s="109">
        <v>1</v>
      </c>
      <c r="J944" s="110">
        <v>34.049999999999997</v>
      </c>
      <c r="K944" t="str">
        <f t="shared" si="14"/>
        <v>Selasa</v>
      </c>
    </row>
    <row r="945" spans="1:11" x14ac:dyDescent="0.25">
      <c r="A945" s="207" t="s">
        <v>1000</v>
      </c>
      <c r="B945" s="112">
        <v>45784</v>
      </c>
      <c r="C945" s="109" t="s">
        <v>30</v>
      </c>
      <c r="D945" s="109" t="s">
        <v>31</v>
      </c>
      <c r="E945" s="109" t="s">
        <v>27</v>
      </c>
      <c r="F945" s="109" t="s">
        <v>39</v>
      </c>
      <c r="G945" s="109" t="s">
        <v>15</v>
      </c>
      <c r="H945" s="110">
        <v>231.15</v>
      </c>
      <c r="I945" s="109">
        <v>2</v>
      </c>
      <c r="J945" s="110">
        <v>462.3</v>
      </c>
      <c r="K945" t="str">
        <f t="shared" si="14"/>
        <v>Rabu</v>
      </c>
    </row>
    <row r="946" spans="1:11" x14ac:dyDescent="0.25">
      <c r="A946" s="207" t="s">
        <v>1001</v>
      </c>
      <c r="B946" s="112">
        <v>45924</v>
      </c>
      <c r="C946" s="109" t="s">
        <v>38</v>
      </c>
      <c r="D946" s="109" t="s">
        <v>31</v>
      </c>
      <c r="E946" s="109" t="s">
        <v>27</v>
      </c>
      <c r="F946" s="109" t="s">
        <v>32</v>
      </c>
      <c r="G946" s="109" t="s">
        <v>36</v>
      </c>
      <c r="H946" s="110">
        <v>55.91</v>
      </c>
      <c r="I946" s="109">
        <v>7</v>
      </c>
      <c r="J946" s="110">
        <v>391.37</v>
      </c>
      <c r="K946" t="str">
        <f t="shared" si="14"/>
        <v>Rabu</v>
      </c>
    </row>
    <row r="947" spans="1:11" x14ac:dyDescent="0.25">
      <c r="A947" s="207" t="s">
        <v>1002</v>
      </c>
      <c r="B947" s="112">
        <v>45739</v>
      </c>
      <c r="C947" s="109" t="s">
        <v>17</v>
      </c>
      <c r="D947" s="109" t="s">
        <v>55</v>
      </c>
      <c r="E947" s="109" t="s">
        <v>18</v>
      </c>
      <c r="F947" s="109" t="s">
        <v>19</v>
      </c>
      <c r="G947" s="109" t="s">
        <v>36</v>
      </c>
      <c r="H947" s="110">
        <v>156.83000000000001</v>
      </c>
      <c r="I947" s="109">
        <v>2</v>
      </c>
      <c r="J947" s="110">
        <v>313.66000000000003</v>
      </c>
      <c r="K947" t="str">
        <f t="shared" si="14"/>
        <v>Minggu</v>
      </c>
    </row>
    <row r="948" spans="1:11" x14ac:dyDescent="0.25">
      <c r="A948" s="207" t="s">
        <v>1003</v>
      </c>
      <c r="B948" s="112">
        <v>45904</v>
      </c>
      <c r="C948" s="109" t="s">
        <v>30</v>
      </c>
      <c r="D948" s="109" t="s">
        <v>35</v>
      </c>
      <c r="E948" s="109" t="s">
        <v>45</v>
      </c>
      <c r="F948" s="109" t="s">
        <v>39</v>
      </c>
      <c r="G948" s="109" t="s">
        <v>20</v>
      </c>
      <c r="H948" s="110">
        <v>90.29</v>
      </c>
      <c r="I948" s="109">
        <v>10</v>
      </c>
      <c r="J948" s="110">
        <v>902.9</v>
      </c>
      <c r="K948" t="str">
        <f t="shared" si="14"/>
        <v>Kamis</v>
      </c>
    </row>
    <row r="949" spans="1:11" x14ac:dyDescent="0.25">
      <c r="A949" s="207" t="s">
        <v>1004</v>
      </c>
      <c r="B949" s="112">
        <v>45769</v>
      </c>
      <c r="C949" s="109" t="s">
        <v>30</v>
      </c>
      <c r="D949" s="109" t="s">
        <v>12</v>
      </c>
      <c r="E949" s="109" t="s">
        <v>41</v>
      </c>
      <c r="F949" s="109" t="s">
        <v>32</v>
      </c>
      <c r="G949" s="109" t="s">
        <v>15</v>
      </c>
      <c r="H949" s="110">
        <v>151.91999999999999</v>
      </c>
      <c r="I949" s="109">
        <v>4</v>
      </c>
      <c r="J949" s="110">
        <v>607.67999999999995</v>
      </c>
      <c r="K949" t="str">
        <f t="shared" si="14"/>
        <v>Selasa</v>
      </c>
    </row>
    <row r="950" spans="1:11" x14ac:dyDescent="0.25">
      <c r="A950" s="207" t="s">
        <v>1005</v>
      </c>
      <c r="B950" s="112">
        <v>45743</v>
      </c>
      <c r="C950" s="109" t="s">
        <v>25</v>
      </c>
      <c r="D950" s="109" t="s">
        <v>22</v>
      </c>
      <c r="E950" s="109" t="s">
        <v>41</v>
      </c>
      <c r="F950" s="109" t="s">
        <v>39</v>
      </c>
      <c r="G950" s="109" t="s">
        <v>15</v>
      </c>
      <c r="H950" s="110">
        <v>173.31</v>
      </c>
      <c r="I950" s="109">
        <v>9</v>
      </c>
      <c r="J950" s="110">
        <v>1559.79</v>
      </c>
      <c r="K950" t="str">
        <f t="shared" si="14"/>
        <v>Kamis</v>
      </c>
    </row>
    <row r="951" spans="1:11" x14ac:dyDescent="0.25">
      <c r="A951" s="207" t="s">
        <v>1006</v>
      </c>
      <c r="B951" s="112">
        <v>45662</v>
      </c>
      <c r="C951" s="109" t="s">
        <v>25</v>
      </c>
      <c r="D951" s="109" t="s">
        <v>12</v>
      </c>
      <c r="E951" s="109" t="s">
        <v>41</v>
      </c>
      <c r="F951" s="109" t="s">
        <v>28</v>
      </c>
      <c r="G951" s="109" t="s">
        <v>20</v>
      </c>
      <c r="H951" s="110">
        <v>212.54</v>
      </c>
      <c r="I951" s="109">
        <v>2</v>
      </c>
      <c r="J951" s="110">
        <v>425.08</v>
      </c>
      <c r="K951" t="str">
        <f t="shared" si="14"/>
        <v>Minggu</v>
      </c>
    </row>
    <row r="952" spans="1:11" x14ac:dyDescent="0.25">
      <c r="A952" s="207" t="s">
        <v>1007</v>
      </c>
      <c r="B952" s="112">
        <v>45737</v>
      </c>
      <c r="C952" s="109" t="s">
        <v>11</v>
      </c>
      <c r="D952" s="109" t="s">
        <v>26</v>
      </c>
      <c r="E952" s="109" t="s">
        <v>23</v>
      </c>
      <c r="F952" s="109" t="s">
        <v>61</v>
      </c>
      <c r="G952" s="109" t="s">
        <v>15</v>
      </c>
      <c r="H952" s="110">
        <v>75.41</v>
      </c>
      <c r="I952" s="109">
        <v>12</v>
      </c>
      <c r="J952" s="110">
        <v>904.92</v>
      </c>
      <c r="K952" t="str">
        <f t="shared" si="14"/>
        <v>Jumat</v>
      </c>
    </row>
    <row r="953" spans="1:11" x14ac:dyDescent="0.25">
      <c r="A953" s="207" t="s">
        <v>1008</v>
      </c>
      <c r="B953" s="112">
        <v>46009</v>
      </c>
      <c r="C953" s="109" t="s">
        <v>34</v>
      </c>
      <c r="D953" s="109" t="s">
        <v>12</v>
      </c>
      <c r="E953" s="109" t="s">
        <v>45</v>
      </c>
      <c r="F953" s="109" t="s">
        <v>19</v>
      </c>
      <c r="G953" s="109" t="s">
        <v>36</v>
      </c>
      <c r="H953" s="110">
        <v>32.42</v>
      </c>
      <c r="I953" s="109">
        <v>20</v>
      </c>
      <c r="J953" s="110">
        <v>648.4</v>
      </c>
      <c r="K953" t="str">
        <f t="shared" si="14"/>
        <v>Kamis</v>
      </c>
    </row>
    <row r="954" spans="1:11" x14ac:dyDescent="0.25">
      <c r="A954" s="207" t="s">
        <v>1009</v>
      </c>
      <c r="B954" s="112">
        <v>45988</v>
      </c>
      <c r="C954" s="109" t="s">
        <v>17</v>
      </c>
      <c r="D954" s="109" t="s">
        <v>55</v>
      </c>
      <c r="E954" s="109" t="s">
        <v>45</v>
      </c>
      <c r="F954" s="109" t="s">
        <v>14</v>
      </c>
      <c r="G954" s="109" t="s">
        <v>36</v>
      </c>
      <c r="H954" s="110">
        <v>60.11</v>
      </c>
      <c r="I954" s="109">
        <v>5</v>
      </c>
      <c r="J954" s="110">
        <v>300.55</v>
      </c>
      <c r="K954" t="str">
        <f t="shared" si="14"/>
        <v>Kamis</v>
      </c>
    </row>
    <row r="955" spans="1:11" x14ac:dyDescent="0.25">
      <c r="A955" s="207" t="s">
        <v>1010</v>
      </c>
      <c r="B955" s="112">
        <v>45777</v>
      </c>
      <c r="C955" s="109" t="s">
        <v>25</v>
      </c>
      <c r="D955" s="109" t="s">
        <v>12</v>
      </c>
      <c r="E955" s="109" t="s">
        <v>13</v>
      </c>
      <c r="F955" s="109" t="s">
        <v>39</v>
      </c>
      <c r="G955" s="109" t="s">
        <v>36</v>
      </c>
      <c r="H955" s="110">
        <v>228</v>
      </c>
      <c r="I955" s="109">
        <v>11</v>
      </c>
      <c r="J955" s="110">
        <v>2508</v>
      </c>
      <c r="K955" t="str">
        <f t="shared" si="14"/>
        <v>Rabu</v>
      </c>
    </row>
    <row r="956" spans="1:11" x14ac:dyDescent="0.25">
      <c r="A956" s="207" t="s">
        <v>1011</v>
      </c>
      <c r="B956" s="112">
        <v>45756</v>
      </c>
      <c r="C956" s="109" t="s">
        <v>17</v>
      </c>
      <c r="D956" s="109" t="s">
        <v>31</v>
      </c>
      <c r="E956" s="109" t="s">
        <v>13</v>
      </c>
      <c r="F956" s="109" t="s">
        <v>28</v>
      </c>
      <c r="G956" s="109" t="s">
        <v>15</v>
      </c>
      <c r="H956" s="110">
        <v>222.26</v>
      </c>
      <c r="I956" s="109">
        <v>1</v>
      </c>
      <c r="J956" s="110">
        <v>222.26</v>
      </c>
      <c r="K956" t="str">
        <f t="shared" si="14"/>
        <v>Rabu</v>
      </c>
    </row>
    <row r="957" spans="1:11" x14ac:dyDescent="0.25">
      <c r="A957" s="207" t="s">
        <v>1012</v>
      </c>
      <c r="B957" s="112">
        <v>45786</v>
      </c>
      <c r="C957" s="109" t="s">
        <v>38</v>
      </c>
      <c r="D957" s="109" t="s">
        <v>12</v>
      </c>
      <c r="E957" s="109" t="s">
        <v>41</v>
      </c>
      <c r="F957" s="109" t="s">
        <v>42</v>
      </c>
      <c r="G957" s="109" t="s">
        <v>36</v>
      </c>
      <c r="H957" s="110">
        <v>161.43</v>
      </c>
      <c r="I957" s="109">
        <v>2</v>
      </c>
      <c r="J957" s="110">
        <v>322.86</v>
      </c>
      <c r="K957" t="str">
        <f t="shared" si="14"/>
        <v>Jumat</v>
      </c>
    </row>
    <row r="958" spans="1:11" x14ac:dyDescent="0.25">
      <c r="A958" s="207" t="s">
        <v>1013</v>
      </c>
      <c r="B958" s="112">
        <v>45935</v>
      </c>
      <c r="C958" s="109" t="s">
        <v>30</v>
      </c>
      <c r="D958" s="109" t="s">
        <v>55</v>
      </c>
      <c r="E958" s="109" t="s">
        <v>23</v>
      </c>
      <c r="F958" s="109" t="s">
        <v>42</v>
      </c>
      <c r="G958" s="109" t="s">
        <v>36</v>
      </c>
      <c r="H958" s="110">
        <v>162.11000000000001</v>
      </c>
      <c r="I958" s="109">
        <v>16</v>
      </c>
      <c r="J958" s="110">
        <v>2593.7600000000002</v>
      </c>
      <c r="K958" t="str">
        <f t="shared" si="14"/>
        <v>Minggu</v>
      </c>
    </row>
    <row r="959" spans="1:11" x14ac:dyDescent="0.25">
      <c r="A959" s="207" t="s">
        <v>1014</v>
      </c>
      <c r="B959" s="112">
        <v>45823</v>
      </c>
      <c r="C959" s="109" t="s">
        <v>34</v>
      </c>
      <c r="D959" s="109" t="s">
        <v>55</v>
      </c>
      <c r="E959" s="109" t="s">
        <v>18</v>
      </c>
      <c r="F959" s="109" t="s">
        <v>14</v>
      </c>
      <c r="G959" s="109" t="s">
        <v>15</v>
      </c>
      <c r="H959" s="110">
        <v>176.31</v>
      </c>
      <c r="I959" s="109">
        <v>15</v>
      </c>
      <c r="J959" s="110">
        <v>2644.65</v>
      </c>
      <c r="K959" t="str">
        <f t="shared" si="14"/>
        <v>Minggu</v>
      </c>
    </row>
    <row r="960" spans="1:11" x14ac:dyDescent="0.25">
      <c r="A960" s="207" t="s">
        <v>1015</v>
      </c>
      <c r="B960" s="112">
        <v>45929</v>
      </c>
      <c r="C960" s="109" t="s">
        <v>38</v>
      </c>
      <c r="D960" s="109" t="s">
        <v>35</v>
      </c>
      <c r="E960" s="109" t="s">
        <v>13</v>
      </c>
      <c r="F960" s="109" t="s">
        <v>42</v>
      </c>
      <c r="G960" s="109" t="s">
        <v>36</v>
      </c>
      <c r="H960" s="110">
        <v>68.58</v>
      </c>
      <c r="I960" s="109">
        <v>5</v>
      </c>
      <c r="J960" s="110">
        <v>342.9</v>
      </c>
      <c r="K960" t="str">
        <f t="shared" si="14"/>
        <v>Senin</v>
      </c>
    </row>
    <row r="961" spans="1:11" x14ac:dyDescent="0.25">
      <c r="A961" s="207" t="s">
        <v>1016</v>
      </c>
      <c r="B961" s="112">
        <v>45890</v>
      </c>
      <c r="C961" s="109" t="s">
        <v>17</v>
      </c>
      <c r="D961" s="109" t="s">
        <v>55</v>
      </c>
      <c r="E961" s="109" t="s">
        <v>41</v>
      </c>
      <c r="F961" s="109" t="s">
        <v>28</v>
      </c>
      <c r="G961" s="109" t="s">
        <v>15</v>
      </c>
      <c r="H961" s="110">
        <v>231.17</v>
      </c>
      <c r="I961" s="109">
        <v>1</v>
      </c>
      <c r="J961" s="110">
        <v>231.17</v>
      </c>
      <c r="K961" t="str">
        <f t="shared" si="14"/>
        <v>Kamis</v>
      </c>
    </row>
    <row r="962" spans="1:11" x14ac:dyDescent="0.25">
      <c r="A962" s="207" t="s">
        <v>1017</v>
      </c>
      <c r="B962" s="112">
        <v>45667</v>
      </c>
      <c r="C962" s="109" t="s">
        <v>34</v>
      </c>
      <c r="D962" s="109" t="s">
        <v>55</v>
      </c>
      <c r="E962" s="109" t="s">
        <v>23</v>
      </c>
      <c r="F962" s="109" t="s">
        <v>32</v>
      </c>
      <c r="G962" s="109" t="s">
        <v>20</v>
      </c>
      <c r="H962" s="110">
        <v>122.13</v>
      </c>
      <c r="I962" s="109">
        <v>20</v>
      </c>
      <c r="J962" s="110">
        <v>2442.6</v>
      </c>
      <c r="K962" t="str">
        <f t="shared" si="14"/>
        <v>Jumat</v>
      </c>
    </row>
    <row r="963" spans="1:11" x14ac:dyDescent="0.25">
      <c r="A963" s="207" t="s">
        <v>1018</v>
      </c>
      <c r="B963" s="112">
        <v>45690</v>
      </c>
      <c r="C963" s="109" t="s">
        <v>38</v>
      </c>
      <c r="D963" s="109" t="s">
        <v>26</v>
      </c>
      <c r="E963" s="109" t="s">
        <v>18</v>
      </c>
      <c r="F963" s="109" t="s">
        <v>28</v>
      </c>
      <c r="G963" s="109" t="s">
        <v>36</v>
      </c>
      <c r="H963" s="110">
        <v>114.29</v>
      </c>
      <c r="I963" s="109">
        <v>18</v>
      </c>
      <c r="J963" s="110">
        <v>2057.2199999999998</v>
      </c>
      <c r="K963" t="str">
        <f t="shared" ref="K963:K1007" si="15">TEXT(B963,"dddd")</f>
        <v>Minggu</v>
      </c>
    </row>
    <row r="964" spans="1:11" x14ac:dyDescent="0.25">
      <c r="A964" s="207" t="s">
        <v>1019</v>
      </c>
      <c r="B964" s="112">
        <v>45940</v>
      </c>
      <c r="C964" s="109" t="s">
        <v>25</v>
      </c>
      <c r="D964" s="109" t="s">
        <v>35</v>
      </c>
      <c r="E964" s="109" t="s">
        <v>13</v>
      </c>
      <c r="F964" s="109" t="s">
        <v>61</v>
      </c>
      <c r="G964" s="109" t="s">
        <v>20</v>
      </c>
      <c r="H964" s="110">
        <v>144.16</v>
      </c>
      <c r="I964" s="109">
        <v>5</v>
      </c>
      <c r="J964" s="110">
        <v>720.8</v>
      </c>
      <c r="K964" t="str">
        <f t="shared" si="15"/>
        <v>Jumat</v>
      </c>
    </row>
    <row r="965" spans="1:11" x14ac:dyDescent="0.25">
      <c r="A965" s="207" t="s">
        <v>1020</v>
      </c>
      <c r="B965" s="112">
        <v>45822</v>
      </c>
      <c r="C965" s="109" t="s">
        <v>11</v>
      </c>
      <c r="D965" s="109" t="s">
        <v>55</v>
      </c>
      <c r="E965" s="109" t="s">
        <v>27</v>
      </c>
      <c r="F965" s="109" t="s">
        <v>19</v>
      </c>
      <c r="G965" s="109" t="s">
        <v>15</v>
      </c>
      <c r="H965" s="110">
        <v>40.33</v>
      </c>
      <c r="I965" s="109">
        <v>4</v>
      </c>
      <c r="J965" s="110">
        <v>161.32</v>
      </c>
      <c r="K965" t="str">
        <f t="shared" si="15"/>
        <v>Sabtu</v>
      </c>
    </row>
    <row r="966" spans="1:11" x14ac:dyDescent="0.25">
      <c r="A966" s="207" t="s">
        <v>1021</v>
      </c>
      <c r="B966" s="112">
        <v>45724</v>
      </c>
      <c r="C966" s="109" t="s">
        <v>11</v>
      </c>
      <c r="D966" s="109" t="s">
        <v>26</v>
      </c>
      <c r="E966" s="109" t="s">
        <v>45</v>
      </c>
      <c r="F966" s="109" t="s">
        <v>61</v>
      </c>
      <c r="G966" s="109" t="s">
        <v>15</v>
      </c>
      <c r="H966" s="110">
        <v>66.58</v>
      </c>
      <c r="I966" s="109">
        <v>6</v>
      </c>
      <c r="J966" s="110">
        <v>399.48</v>
      </c>
      <c r="K966" t="str">
        <f t="shared" si="15"/>
        <v>Sabtu</v>
      </c>
    </row>
    <row r="967" spans="1:11" x14ac:dyDescent="0.25">
      <c r="A967" s="207" t="s">
        <v>1022</v>
      </c>
      <c r="B967" s="112">
        <v>45708</v>
      </c>
      <c r="C967" s="109" t="s">
        <v>25</v>
      </c>
      <c r="D967" s="109" t="s">
        <v>12</v>
      </c>
      <c r="E967" s="109" t="s">
        <v>41</v>
      </c>
      <c r="F967" s="109" t="s">
        <v>28</v>
      </c>
      <c r="G967" s="109" t="s">
        <v>36</v>
      </c>
      <c r="H967" s="110">
        <v>192.37</v>
      </c>
      <c r="I967" s="109">
        <v>2</v>
      </c>
      <c r="J967" s="110">
        <v>384.74</v>
      </c>
      <c r="K967" t="str">
        <f t="shared" si="15"/>
        <v>Kamis</v>
      </c>
    </row>
    <row r="968" spans="1:11" x14ac:dyDescent="0.25">
      <c r="A968" s="207" t="s">
        <v>1023</v>
      </c>
      <c r="B968" s="112">
        <v>45927</v>
      </c>
      <c r="C968" s="109" t="s">
        <v>17</v>
      </c>
      <c r="D968" s="109" t="s">
        <v>55</v>
      </c>
      <c r="E968" s="109" t="s">
        <v>13</v>
      </c>
      <c r="F968" s="109" t="s">
        <v>19</v>
      </c>
      <c r="G968" s="109" t="s">
        <v>36</v>
      </c>
      <c r="H968" s="110">
        <v>48.22</v>
      </c>
      <c r="I968" s="109">
        <v>20</v>
      </c>
      <c r="J968" s="110">
        <v>964.4</v>
      </c>
      <c r="K968" t="str">
        <f t="shared" si="15"/>
        <v>Sabtu</v>
      </c>
    </row>
    <row r="969" spans="1:11" x14ac:dyDescent="0.25">
      <c r="A969" s="207" t="s">
        <v>1024</v>
      </c>
      <c r="B969" s="112">
        <v>45771</v>
      </c>
      <c r="C969" s="109" t="s">
        <v>17</v>
      </c>
      <c r="D969" s="109" t="s">
        <v>22</v>
      </c>
      <c r="E969" s="109" t="s">
        <v>45</v>
      </c>
      <c r="F969" s="109" t="s">
        <v>14</v>
      </c>
      <c r="G969" s="109" t="s">
        <v>20</v>
      </c>
      <c r="H969" s="110">
        <v>162.69</v>
      </c>
      <c r="I969" s="109">
        <v>20</v>
      </c>
      <c r="J969" s="110">
        <v>3253.8</v>
      </c>
      <c r="K969" t="str">
        <f t="shared" si="15"/>
        <v>Kamis</v>
      </c>
    </row>
    <row r="970" spans="1:11" x14ac:dyDescent="0.25">
      <c r="A970" s="207" t="s">
        <v>1025</v>
      </c>
      <c r="B970" s="112">
        <v>45909</v>
      </c>
      <c r="C970" s="109" t="s">
        <v>38</v>
      </c>
      <c r="D970" s="109" t="s">
        <v>12</v>
      </c>
      <c r="E970" s="109" t="s">
        <v>45</v>
      </c>
      <c r="F970" s="109" t="s">
        <v>32</v>
      </c>
      <c r="G970" s="109" t="s">
        <v>20</v>
      </c>
      <c r="H970" s="110">
        <v>83.98</v>
      </c>
      <c r="I970" s="109">
        <v>3</v>
      </c>
      <c r="J970" s="110">
        <v>251.94</v>
      </c>
      <c r="K970" t="str">
        <f t="shared" si="15"/>
        <v>Selasa</v>
      </c>
    </row>
    <row r="971" spans="1:11" x14ac:dyDescent="0.25">
      <c r="A971" s="207" t="s">
        <v>1026</v>
      </c>
      <c r="B971" s="112">
        <v>45870</v>
      </c>
      <c r="C971" s="109" t="s">
        <v>17</v>
      </c>
      <c r="D971" s="109" t="s">
        <v>22</v>
      </c>
      <c r="E971" s="109" t="s">
        <v>18</v>
      </c>
      <c r="F971" s="109" t="s">
        <v>32</v>
      </c>
      <c r="G971" s="109" t="s">
        <v>20</v>
      </c>
      <c r="H971" s="110">
        <v>115.65</v>
      </c>
      <c r="I971" s="109">
        <v>12</v>
      </c>
      <c r="J971" s="110">
        <v>1387.8</v>
      </c>
      <c r="K971" t="str">
        <f t="shared" si="15"/>
        <v>Jumat</v>
      </c>
    </row>
    <row r="972" spans="1:11" x14ac:dyDescent="0.25">
      <c r="A972" s="207" t="s">
        <v>1027</v>
      </c>
      <c r="B972" s="112">
        <v>45678</v>
      </c>
      <c r="C972" s="109" t="s">
        <v>34</v>
      </c>
      <c r="D972" s="109" t="s">
        <v>22</v>
      </c>
      <c r="E972" s="109" t="s">
        <v>23</v>
      </c>
      <c r="F972" s="109" t="s">
        <v>42</v>
      </c>
      <c r="G972" s="109" t="s">
        <v>15</v>
      </c>
      <c r="H972" s="110">
        <v>93.51</v>
      </c>
      <c r="I972" s="109">
        <v>3</v>
      </c>
      <c r="J972" s="110">
        <v>280.52999999999997</v>
      </c>
      <c r="K972" t="str">
        <f t="shared" si="15"/>
        <v>Selasa</v>
      </c>
    </row>
    <row r="973" spans="1:11" x14ac:dyDescent="0.25">
      <c r="A973" s="207" t="s">
        <v>1028</v>
      </c>
      <c r="B973" s="112">
        <v>45709</v>
      </c>
      <c r="C973" s="109" t="s">
        <v>25</v>
      </c>
      <c r="D973" s="109" t="s">
        <v>31</v>
      </c>
      <c r="E973" s="109" t="s">
        <v>23</v>
      </c>
      <c r="F973" s="109" t="s">
        <v>14</v>
      </c>
      <c r="G973" s="109" t="s">
        <v>20</v>
      </c>
      <c r="H973" s="110">
        <v>108.25</v>
      </c>
      <c r="I973" s="109">
        <v>8</v>
      </c>
      <c r="J973" s="110">
        <v>866</v>
      </c>
      <c r="K973" t="str">
        <f t="shared" si="15"/>
        <v>Jumat</v>
      </c>
    </row>
    <row r="974" spans="1:11" x14ac:dyDescent="0.25">
      <c r="A974" s="207" t="s">
        <v>1029</v>
      </c>
      <c r="B974" s="112">
        <v>45994</v>
      </c>
      <c r="C974" s="109" t="s">
        <v>25</v>
      </c>
      <c r="D974" s="109" t="s">
        <v>12</v>
      </c>
      <c r="E974" s="109" t="s">
        <v>23</v>
      </c>
      <c r="F974" s="109" t="s">
        <v>42</v>
      </c>
      <c r="G974" s="109" t="s">
        <v>20</v>
      </c>
      <c r="H974" s="110">
        <v>188.19</v>
      </c>
      <c r="I974" s="109">
        <v>8</v>
      </c>
      <c r="J974" s="110">
        <v>1505.52</v>
      </c>
      <c r="K974" t="str">
        <f t="shared" si="15"/>
        <v>Rabu</v>
      </c>
    </row>
    <row r="975" spans="1:11" x14ac:dyDescent="0.25">
      <c r="A975" s="207" t="s">
        <v>1030</v>
      </c>
      <c r="B975" s="112">
        <v>45943</v>
      </c>
      <c r="C975" s="109" t="s">
        <v>17</v>
      </c>
      <c r="D975" s="109" t="s">
        <v>22</v>
      </c>
      <c r="E975" s="109" t="s">
        <v>27</v>
      </c>
      <c r="F975" s="109" t="s">
        <v>42</v>
      </c>
      <c r="G975" s="109" t="s">
        <v>36</v>
      </c>
      <c r="H975" s="110">
        <v>95.37</v>
      </c>
      <c r="I975" s="109">
        <v>14</v>
      </c>
      <c r="J975" s="110">
        <v>1335.18</v>
      </c>
      <c r="K975" t="str">
        <f t="shared" si="15"/>
        <v>Senin</v>
      </c>
    </row>
    <row r="976" spans="1:11" x14ac:dyDescent="0.25">
      <c r="A976" s="207" t="s">
        <v>1031</v>
      </c>
      <c r="B976" s="112">
        <v>46003</v>
      </c>
      <c r="C976" s="109" t="s">
        <v>17</v>
      </c>
      <c r="D976" s="109" t="s">
        <v>12</v>
      </c>
      <c r="E976" s="109" t="s">
        <v>41</v>
      </c>
      <c r="F976" s="109" t="s">
        <v>19</v>
      </c>
      <c r="G976" s="109" t="s">
        <v>15</v>
      </c>
      <c r="H976" s="110">
        <v>154.61000000000001</v>
      </c>
      <c r="I976" s="109">
        <v>15</v>
      </c>
      <c r="J976" s="110">
        <v>2319.15</v>
      </c>
      <c r="K976" t="str">
        <f t="shared" si="15"/>
        <v>Jumat</v>
      </c>
    </row>
    <row r="977" spans="1:11" x14ac:dyDescent="0.25">
      <c r="A977" s="207" t="s">
        <v>1032</v>
      </c>
      <c r="B977" s="112">
        <v>45750</v>
      </c>
      <c r="C977" s="109" t="s">
        <v>38</v>
      </c>
      <c r="D977" s="109" t="s">
        <v>55</v>
      </c>
      <c r="E977" s="109" t="s">
        <v>13</v>
      </c>
      <c r="F977" s="109" t="s">
        <v>28</v>
      </c>
      <c r="G977" s="109" t="s">
        <v>15</v>
      </c>
      <c r="H977" s="110">
        <v>134.72999999999999</v>
      </c>
      <c r="I977" s="109">
        <v>18</v>
      </c>
      <c r="J977" s="110">
        <v>2425.14</v>
      </c>
      <c r="K977" t="str">
        <f t="shared" si="15"/>
        <v>Kamis</v>
      </c>
    </row>
    <row r="978" spans="1:11" x14ac:dyDescent="0.25">
      <c r="A978" s="207" t="s">
        <v>1033</v>
      </c>
      <c r="B978" s="112">
        <v>45931</v>
      </c>
      <c r="C978" s="109" t="s">
        <v>38</v>
      </c>
      <c r="D978" s="109" t="s">
        <v>35</v>
      </c>
      <c r="E978" s="109" t="s">
        <v>13</v>
      </c>
      <c r="F978" s="109" t="s">
        <v>42</v>
      </c>
      <c r="G978" s="109" t="s">
        <v>36</v>
      </c>
      <c r="H978" s="110">
        <v>176.01</v>
      </c>
      <c r="I978" s="109">
        <v>20</v>
      </c>
      <c r="J978" s="110">
        <v>3520.2</v>
      </c>
      <c r="K978" t="str">
        <f t="shared" si="15"/>
        <v>Rabu</v>
      </c>
    </row>
    <row r="979" spans="1:11" x14ac:dyDescent="0.25">
      <c r="A979" s="207" t="s">
        <v>1034</v>
      </c>
      <c r="B979" s="112">
        <v>45848</v>
      </c>
      <c r="C979" s="109" t="s">
        <v>17</v>
      </c>
      <c r="D979" s="109" t="s">
        <v>31</v>
      </c>
      <c r="E979" s="109" t="s">
        <v>27</v>
      </c>
      <c r="F979" s="109" t="s">
        <v>32</v>
      </c>
      <c r="G979" s="109" t="s">
        <v>20</v>
      </c>
      <c r="H979" s="110">
        <v>236.1</v>
      </c>
      <c r="I979" s="109">
        <v>14</v>
      </c>
      <c r="J979" s="110">
        <v>3305.4</v>
      </c>
      <c r="K979" t="str">
        <f t="shared" si="15"/>
        <v>Kamis</v>
      </c>
    </row>
    <row r="980" spans="1:11" x14ac:dyDescent="0.25">
      <c r="A980" s="207" t="s">
        <v>1035</v>
      </c>
      <c r="B980" s="112">
        <v>45781</v>
      </c>
      <c r="C980" s="109" t="s">
        <v>25</v>
      </c>
      <c r="D980" s="109" t="s">
        <v>26</v>
      </c>
      <c r="E980" s="109" t="s">
        <v>41</v>
      </c>
      <c r="F980" s="109" t="s">
        <v>39</v>
      </c>
      <c r="G980" s="109" t="s">
        <v>20</v>
      </c>
      <c r="H980" s="110">
        <v>191.17</v>
      </c>
      <c r="I980" s="109">
        <v>19</v>
      </c>
      <c r="J980" s="110">
        <v>3632.23</v>
      </c>
      <c r="K980" t="str">
        <f t="shared" si="15"/>
        <v>Minggu</v>
      </c>
    </row>
    <row r="981" spans="1:11" x14ac:dyDescent="0.25">
      <c r="A981" s="207" t="s">
        <v>1036</v>
      </c>
      <c r="B981" s="112">
        <v>45788</v>
      </c>
      <c r="C981" s="109" t="s">
        <v>38</v>
      </c>
      <c r="D981" s="109" t="s">
        <v>31</v>
      </c>
      <c r="E981" s="109" t="s">
        <v>41</v>
      </c>
      <c r="F981" s="109" t="s">
        <v>19</v>
      </c>
      <c r="G981" s="109" t="s">
        <v>20</v>
      </c>
      <c r="H981" s="110">
        <v>77.290000000000006</v>
      </c>
      <c r="I981" s="109">
        <v>12</v>
      </c>
      <c r="J981" s="110">
        <v>927.48</v>
      </c>
      <c r="K981" t="str">
        <f t="shared" si="15"/>
        <v>Minggu</v>
      </c>
    </row>
    <row r="982" spans="1:11" x14ac:dyDescent="0.25">
      <c r="A982" s="207" t="s">
        <v>1037</v>
      </c>
      <c r="B982" s="112">
        <v>45675</v>
      </c>
      <c r="C982" s="109" t="s">
        <v>25</v>
      </c>
      <c r="D982" s="109" t="s">
        <v>22</v>
      </c>
      <c r="E982" s="109" t="s">
        <v>18</v>
      </c>
      <c r="F982" s="109" t="s">
        <v>14</v>
      </c>
      <c r="G982" s="109" t="s">
        <v>36</v>
      </c>
      <c r="H982" s="110">
        <v>36.86</v>
      </c>
      <c r="I982" s="109">
        <v>10</v>
      </c>
      <c r="J982" s="110">
        <v>368.6</v>
      </c>
      <c r="K982" t="str">
        <f t="shared" si="15"/>
        <v>Sabtu</v>
      </c>
    </row>
    <row r="983" spans="1:11" x14ac:dyDescent="0.25">
      <c r="A983" s="207" t="s">
        <v>1038</v>
      </c>
      <c r="B983" s="112">
        <v>45661</v>
      </c>
      <c r="C983" s="109" t="s">
        <v>30</v>
      </c>
      <c r="D983" s="109" t="s">
        <v>26</v>
      </c>
      <c r="E983" s="109" t="s">
        <v>13</v>
      </c>
      <c r="F983" s="109" t="s">
        <v>19</v>
      </c>
      <c r="G983" s="109" t="s">
        <v>20</v>
      </c>
      <c r="H983" s="110">
        <v>87.7</v>
      </c>
      <c r="I983" s="109">
        <v>10</v>
      </c>
      <c r="J983" s="110">
        <v>877</v>
      </c>
      <c r="K983" t="str">
        <f t="shared" si="15"/>
        <v>Sabtu</v>
      </c>
    </row>
    <row r="984" spans="1:11" x14ac:dyDescent="0.25">
      <c r="A984" s="207" t="s">
        <v>1039</v>
      </c>
      <c r="B984" s="112">
        <v>45799</v>
      </c>
      <c r="C984" s="109" t="s">
        <v>25</v>
      </c>
      <c r="D984" s="109" t="s">
        <v>55</v>
      </c>
      <c r="E984" s="109" t="s">
        <v>18</v>
      </c>
      <c r="F984" s="109" t="s">
        <v>42</v>
      </c>
      <c r="G984" s="109" t="s">
        <v>15</v>
      </c>
      <c r="H984" s="110">
        <v>160.91999999999999</v>
      </c>
      <c r="I984" s="109">
        <v>18</v>
      </c>
      <c r="J984" s="110">
        <v>2896.56</v>
      </c>
      <c r="K984" t="str">
        <f t="shared" si="15"/>
        <v>Kamis</v>
      </c>
    </row>
    <row r="985" spans="1:11" x14ac:dyDescent="0.25">
      <c r="A985" s="207" t="s">
        <v>1040</v>
      </c>
      <c r="B985" s="112">
        <v>45706</v>
      </c>
      <c r="C985" s="109" t="s">
        <v>38</v>
      </c>
      <c r="D985" s="109" t="s">
        <v>35</v>
      </c>
      <c r="E985" s="109" t="s">
        <v>23</v>
      </c>
      <c r="F985" s="109" t="s">
        <v>14</v>
      </c>
      <c r="G985" s="109" t="s">
        <v>36</v>
      </c>
      <c r="H985" s="110">
        <v>41.31</v>
      </c>
      <c r="I985" s="109">
        <v>2</v>
      </c>
      <c r="J985" s="110">
        <v>82.62</v>
      </c>
      <c r="K985" t="str">
        <f t="shared" si="15"/>
        <v>Selasa</v>
      </c>
    </row>
    <row r="986" spans="1:11" x14ac:dyDescent="0.25">
      <c r="A986" s="207" t="s">
        <v>1041</v>
      </c>
      <c r="B986" s="112">
        <v>45845</v>
      </c>
      <c r="C986" s="109" t="s">
        <v>30</v>
      </c>
      <c r="D986" s="109" t="s">
        <v>26</v>
      </c>
      <c r="E986" s="109" t="s">
        <v>13</v>
      </c>
      <c r="F986" s="109" t="s">
        <v>39</v>
      </c>
      <c r="G986" s="109" t="s">
        <v>36</v>
      </c>
      <c r="H986" s="110">
        <v>139.19999999999999</v>
      </c>
      <c r="I986" s="109">
        <v>19</v>
      </c>
      <c r="J986" s="110">
        <v>2644.8</v>
      </c>
      <c r="K986" t="str">
        <f t="shared" si="15"/>
        <v>Senin</v>
      </c>
    </row>
    <row r="987" spans="1:11" x14ac:dyDescent="0.25">
      <c r="A987" s="207" t="s">
        <v>1042</v>
      </c>
      <c r="B987" s="112">
        <v>45705</v>
      </c>
      <c r="C987" s="109" t="s">
        <v>38</v>
      </c>
      <c r="D987" s="109" t="s">
        <v>55</v>
      </c>
      <c r="E987" s="109" t="s">
        <v>23</v>
      </c>
      <c r="F987" s="109" t="s">
        <v>28</v>
      </c>
      <c r="G987" s="109" t="s">
        <v>15</v>
      </c>
      <c r="H987" s="110">
        <v>161.31</v>
      </c>
      <c r="I987" s="109">
        <v>19</v>
      </c>
      <c r="J987" s="110">
        <v>3064.89</v>
      </c>
      <c r="K987" t="str">
        <f t="shared" si="15"/>
        <v>Senin</v>
      </c>
    </row>
    <row r="988" spans="1:11" x14ac:dyDescent="0.25">
      <c r="A988" s="207" t="s">
        <v>1043</v>
      </c>
      <c r="B988" s="112">
        <v>45824</v>
      </c>
      <c r="C988" s="109" t="s">
        <v>30</v>
      </c>
      <c r="D988" s="109" t="s">
        <v>31</v>
      </c>
      <c r="E988" s="109" t="s">
        <v>27</v>
      </c>
      <c r="F988" s="109" t="s">
        <v>28</v>
      </c>
      <c r="G988" s="109" t="s">
        <v>20</v>
      </c>
      <c r="H988" s="110">
        <v>103.53</v>
      </c>
      <c r="I988" s="109">
        <v>16</v>
      </c>
      <c r="J988" s="110">
        <v>1656.48</v>
      </c>
      <c r="K988" t="str">
        <f t="shared" si="15"/>
        <v>Senin</v>
      </c>
    </row>
    <row r="989" spans="1:11" x14ac:dyDescent="0.25">
      <c r="A989" s="207" t="s">
        <v>1044</v>
      </c>
      <c r="B989" s="112">
        <v>45706</v>
      </c>
      <c r="C989" s="109" t="s">
        <v>17</v>
      </c>
      <c r="D989" s="109" t="s">
        <v>35</v>
      </c>
      <c r="E989" s="109" t="s">
        <v>45</v>
      </c>
      <c r="F989" s="109" t="s">
        <v>28</v>
      </c>
      <c r="G989" s="109" t="s">
        <v>20</v>
      </c>
      <c r="H989" s="110">
        <v>199.6</v>
      </c>
      <c r="I989" s="109">
        <v>20</v>
      </c>
      <c r="J989" s="110">
        <v>3992</v>
      </c>
      <c r="K989" t="str">
        <f t="shared" si="15"/>
        <v>Selasa</v>
      </c>
    </row>
    <row r="990" spans="1:11" x14ac:dyDescent="0.25">
      <c r="A990" s="207" t="s">
        <v>1045</v>
      </c>
      <c r="B990" s="112">
        <v>45853</v>
      </c>
      <c r="C990" s="109" t="s">
        <v>11</v>
      </c>
      <c r="D990" s="109" t="s">
        <v>35</v>
      </c>
      <c r="E990" s="109" t="s">
        <v>13</v>
      </c>
      <c r="F990" s="109" t="s">
        <v>39</v>
      </c>
      <c r="G990" s="109" t="s">
        <v>36</v>
      </c>
      <c r="H990" s="110">
        <v>53.45</v>
      </c>
      <c r="I990" s="109">
        <v>3</v>
      </c>
      <c r="J990" s="110">
        <v>160.35</v>
      </c>
      <c r="K990" t="str">
        <f t="shared" si="15"/>
        <v>Selasa</v>
      </c>
    </row>
    <row r="991" spans="1:11" x14ac:dyDescent="0.25">
      <c r="A991" s="207" t="s">
        <v>1046</v>
      </c>
      <c r="B991" s="112">
        <v>45871</v>
      </c>
      <c r="C991" s="109" t="s">
        <v>30</v>
      </c>
      <c r="D991" s="109" t="s">
        <v>12</v>
      </c>
      <c r="E991" s="109" t="s">
        <v>27</v>
      </c>
      <c r="F991" s="109" t="s">
        <v>39</v>
      </c>
      <c r="G991" s="109" t="s">
        <v>20</v>
      </c>
      <c r="H991" s="110">
        <v>46.53</v>
      </c>
      <c r="I991" s="109">
        <v>4</v>
      </c>
      <c r="J991" s="110">
        <v>186.12</v>
      </c>
      <c r="K991" t="str">
        <f t="shared" si="15"/>
        <v>Sabtu</v>
      </c>
    </row>
    <row r="992" spans="1:11" x14ac:dyDescent="0.25">
      <c r="A992" s="207" t="s">
        <v>1047</v>
      </c>
      <c r="B992" s="112">
        <v>45663</v>
      </c>
      <c r="C992" s="109" t="s">
        <v>11</v>
      </c>
      <c r="D992" s="109" t="s">
        <v>35</v>
      </c>
      <c r="E992" s="109" t="s">
        <v>18</v>
      </c>
      <c r="F992" s="109" t="s">
        <v>19</v>
      </c>
      <c r="G992" s="109" t="s">
        <v>36</v>
      </c>
      <c r="H992" s="110">
        <v>190.2</v>
      </c>
      <c r="I992" s="109">
        <v>13</v>
      </c>
      <c r="J992" s="110">
        <v>2472.6</v>
      </c>
      <c r="K992" t="str">
        <f t="shared" si="15"/>
        <v>Senin</v>
      </c>
    </row>
    <row r="993" spans="1:11" x14ac:dyDescent="0.25">
      <c r="A993" s="207" t="s">
        <v>1048</v>
      </c>
      <c r="B993" s="112">
        <v>45934</v>
      </c>
      <c r="C993" s="109" t="s">
        <v>30</v>
      </c>
      <c r="D993" s="109" t="s">
        <v>35</v>
      </c>
      <c r="E993" s="109" t="s">
        <v>18</v>
      </c>
      <c r="F993" s="109" t="s">
        <v>28</v>
      </c>
      <c r="G993" s="109" t="s">
        <v>15</v>
      </c>
      <c r="H993" s="110">
        <v>139.01</v>
      </c>
      <c r="I993" s="109">
        <v>19</v>
      </c>
      <c r="J993" s="110">
        <v>2641.19</v>
      </c>
      <c r="K993" t="str">
        <f t="shared" si="15"/>
        <v>Sabtu</v>
      </c>
    </row>
    <row r="994" spans="1:11" x14ac:dyDescent="0.25">
      <c r="A994" s="207" t="s">
        <v>1049</v>
      </c>
      <c r="B994" s="112">
        <v>45736</v>
      </c>
      <c r="C994" s="109" t="s">
        <v>17</v>
      </c>
      <c r="D994" s="109" t="s">
        <v>12</v>
      </c>
      <c r="E994" s="109" t="s">
        <v>41</v>
      </c>
      <c r="F994" s="109" t="s">
        <v>61</v>
      </c>
      <c r="G994" s="109" t="s">
        <v>20</v>
      </c>
      <c r="H994" s="110">
        <v>181.45</v>
      </c>
      <c r="I994" s="109">
        <v>2</v>
      </c>
      <c r="J994" s="110">
        <v>362.9</v>
      </c>
      <c r="K994" t="str">
        <f t="shared" si="15"/>
        <v>Kamis</v>
      </c>
    </row>
    <row r="995" spans="1:11" x14ac:dyDescent="0.25">
      <c r="A995" s="207" t="s">
        <v>1050</v>
      </c>
      <c r="B995" s="112">
        <v>45952</v>
      </c>
      <c r="C995" s="109" t="s">
        <v>11</v>
      </c>
      <c r="D995" s="109" t="s">
        <v>26</v>
      </c>
      <c r="E995" s="109" t="s">
        <v>41</v>
      </c>
      <c r="F995" s="109" t="s">
        <v>32</v>
      </c>
      <c r="G995" s="109" t="s">
        <v>36</v>
      </c>
      <c r="H995" s="110">
        <v>125.66</v>
      </c>
      <c r="I995" s="109">
        <v>17</v>
      </c>
      <c r="J995" s="110">
        <v>2136.2199999999998</v>
      </c>
      <c r="K995" t="str">
        <f t="shared" si="15"/>
        <v>Rabu</v>
      </c>
    </row>
    <row r="996" spans="1:11" x14ac:dyDescent="0.25">
      <c r="A996" s="207" t="s">
        <v>1051</v>
      </c>
      <c r="B996" s="112">
        <v>45733</v>
      </c>
      <c r="C996" s="109" t="s">
        <v>34</v>
      </c>
      <c r="D996" s="109" t="s">
        <v>22</v>
      </c>
      <c r="E996" s="109" t="s">
        <v>41</v>
      </c>
      <c r="F996" s="109" t="s">
        <v>42</v>
      </c>
      <c r="G996" s="109" t="s">
        <v>20</v>
      </c>
      <c r="H996" s="110">
        <v>84.21</v>
      </c>
      <c r="I996" s="109">
        <v>5</v>
      </c>
      <c r="J996" s="110">
        <v>421.05</v>
      </c>
      <c r="K996" t="str">
        <f t="shared" si="15"/>
        <v>Senin</v>
      </c>
    </row>
    <row r="997" spans="1:11" x14ac:dyDescent="0.25">
      <c r="A997" s="207" t="s">
        <v>1052</v>
      </c>
      <c r="B997" s="112">
        <v>45683</v>
      </c>
      <c r="C997" s="109" t="s">
        <v>38</v>
      </c>
      <c r="D997" s="109" t="s">
        <v>35</v>
      </c>
      <c r="E997" s="109" t="s">
        <v>45</v>
      </c>
      <c r="F997" s="109" t="s">
        <v>61</v>
      </c>
      <c r="G997" s="109" t="s">
        <v>20</v>
      </c>
      <c r="H997" s="110">
        <v>210.2</v>
      </c>
      <c r="I997" s="109">
        <v>18</v>
      </c>
      <c r="J997" s="110">
        <v>3783.6</v>
      </c>
      <c r="K997" t="str">
        <f t="shared" si="15"/>
        <v>Minggu</v>
      </c>
    </row>
    <row r="998" spans="1:11" x14ac:dyDescent="0.25">
      <c r="A998" s="207" t="s">
        <v>1053</v>
      </c>
      <c r="B998" s="112">
        <v>45880</v>
      </c>
      <c r="C998" s="109" t="s">
        <v>30</v>
      </c>
      <c r="D998" s="109" t="s">
        <v>31</v>
      </c>
      <c r="E998" s="109" t="s">
        <v>18</v>
      </c>
      <c r="F998" s="109" t="s">
        <v>14</v>
      </c>
      <c r="G998" s="109" t="s">
        <v>36</v>
      </c>
      <c r="H998" s="110">
        <v>205.87</v>
      </c>
      <c r="I998" s="109">
        <v>5</v>
      </c>
      <c r="J998" s="110">
        <v>1029.3499999999999</v>
      </c>
      <c r="K998" t="str">
        <f t="shared" si="15"/>
        <v>Senin</v>
      </c>
    </row>
    <row r="999" spans="1:11" x14ac:dyDescent="0.25">
      <c r="A999" s="207" t="s">
        <v>1054</v>
      </c>
      <c r="B999" s="112">
        <v>45860</v>
      </c>
      <c r="C999" s="109" t="s">
        <v>30</v>
      </c>
      <c r="D999" s="109" t="s">
        <v>55</v>
      </c>
      <c r="E999" s="109" t="s">
        <v>18</v>
      </c>
      <c r="F999" s="109" t="s">
        <v>28</v>
      </c>
      <c r="G999" s="109" t="s">
        <v>20</v>
      </c>
      <c r="H999" s="110">
        <v>182.83</v>
      </c>
      <c r="I999" s="109">
        <v>19</v>
      </c>
      <c r="J999" s="110">
        <v>3473.77</v>
      </c>
      <c r="K999" t="str">
        <f t="shared" si="15"/>
        <v>Selasa</v>
      </c>
    </row>
    <row r="1000" spans="1:11" x14ac:dyDescent="0.25">
      <c r="A1000" s="207" t="s">
        <v>1055</v>
      </c>
      <c r="B1000" s="112">
        <v>45784</v>
      </c>
      <c r="C1000" s="109" t="s">
        <v>11</v>
      </c>
      <c r="D1000" s="109" t="s">
        <v>35</v>
      </c>
      <c r="E1000" s="109" t="s">
        <v>41</v>
      </c>
      <c r="F1000" s="109" t="s">
        <v>32</v>
      </c>
      <c r="G1000" s="109" t="s">
        <v>20</v>
      </c>
      <c r="H1000" s="110">
        <v>89.87</v>
      </c>
      <c r="I1000" s="109">
        <v>8</v>
      </c>
      <c r="J1000" s="110">
        <v>718.96</v>
      </c>
      <c r="K1000" t="str">
        <f t="shared" si="15"/>
        <v>Rabu</v>
      </c>
    </row>
    <row r="1001" spans="1:11" x14ac:dyDescent="0.25">
      <c r="A1001" s="207" t="s">
        <v>1056</v>
      </c>
      <c r="B1001" s="112">
        <v>45952</v>
      </c>
      <c r="C1001" s="109" t="s">
        <v>11</v>
      </c>
      <c r="D1001" s="109" t="s">
        <v>12</v>
      </c>
      <c r="E1001" s="109" t="s">
        <v>41</v>
      </c>
      <c r="F1001" s="109" t="s">
        <v>61</v>
      </c>
      <c r="G1001" s="109" t="s">
        <v>36</v>
      </c>
      <c r="H1001" s="110">
        <v>159.85</v>
      </c>
      <c r="I1001" s="109">
        <v>3</v>
      </c>
      <c r="J1001" s="110">
        <v>479.55</v>
      </c>
      <c r="K1001" t="str">
        <f t="shared" si="15"/>
        <v>Rabu</v>
      </c>
    </row>
    <row r="1002" spans="1:11" x14ac:dyDescent="0.25">
      <c r="A1002" s="207" t="s">
        <v>1057</v>
      </c>
      <c r="B1002" s="112">
        <v>45836</v>
      </c>
      <c r="C1002" s="109" t="s">
        <v>34</v>
      </c>
      <c r="D1002" s="109" t="s">
        <v>35</v>
      </c>
      <c r="E1002" s="109" t="s">
        <v>18</v>
      </c>
      <c r="F1002" s="109" t="s">
        <v>28</v>
      </c>
      <c r="G1002" s="109" t="s">
        <v>15</v>
      </c>
      <c r="H1002" s="110">
        <v>109.41</v>
      </c>
      <c r="I1002" s="109">
        <v>7</v>
      </c>
      <c r="J1002" s="110">
        <v>765.87</v>
      </c>
      <c r="K1002" t="str">
        <f t="shared" si="15"/>
        <v>Sabtu</v>
      </c>
    </row>
    <row r="1003" spans="1:11" x14ac:dyDescent="0.25">
      <c r="A1003" s="207" t="s">
        <v>1058</v>
      </c>
      <c r="B1003" s="112">
        <v>45814</v>
      </c>
      <c r="C1003" s="109" t="s">
        <v>34</v>
      </c>
      <c r="D1003" s="109" t="s">
        <v>55</v>
      </c>
      <c r="E1003" s="109" t="s">
        <v>41</v>
      </c>
      <c r="F1003" s="109" t="s">
        <v>42</v>
      </c>
      <c r="G1003" s="109" t="s">
        <v>15</v>
      </c>
      <c r="H1003" s="110">
        <v>50.15</v>
      </c>
      <c r="I1003" s="109">
        <v>6</v>
      </c>
      <c r="J1003" s="110">
        <v>300.89999999999998</v>
      </c>
      <c r="K1003" t="str">
        <f t="shared" si="15"/>
        <v>Jumat</v>
      </c>
    </row>
    <row r="1004" spans="1:11" x14ac:dyDescent="0.25">
      <c r="A1004" s="207" t="s">
        <v>1059</v>
      </c>
      <c r="B1004" s="112">
        <v>45883</v>
      </c>
      <c r="C1004" s="109" t="s">
        <v>30</v>
      </c>
      <c r="D1004" s="109" t="s">
        <v>26</v>
      </c>
      <c r="E1004" s="109" t="s">
        <v>27</v>
      </c>
      <c r="F1004" s="109" t="s">
        <v>32</v>
      </c>
      <c r="G1004" s="109" t="s">
        <v>15</v>
      </c>
      <c r="H1004" s="110">
        <v>231.81</v>
      </c>
      <c r="I1004" s="109">
        <v>2</v>
      </c>
      <c r="J1004" s="110">
        <v>463.62</v>
      </c>
      <c r="K1004" t="str">
        <f t="shared" si="15"/>
        <v>Kamis</v>
      </c>
    </row>
    <row r="1005" spans="1:11" x14ac:dyDescent="0.25">
      <c r="A1005" s="207" t="s">
        <v>1060</v>
      </c>
      <c r="B1005" s="112">
        <v>45701</v>
      </c>
      <c r="C1005" s="109" t="s">
        <v>17</v>
      </c>
      <c r="D1005" s="109" t="s">
        <v>22</v>
      </c>
      <c r="E1005" s="109" t="s">
        <v>23</v>
      </c>
      <c r="F1005" s="109" t="s">
        <v>42</v>
      </c>
      <c r="G1005" s="109" t="s">
        <v>15</v>
      </c>
      <c r="H1005" s="110">
        <v>60.1</v>
      </c>
      <c r="I1005" s="109">
        <v>4</v>
      </c>
      <c r="J1005" s="110">
        <v>240.4</v>
      </c>
      <c r="K1005" t="str">
        <f t="shared" si="15"/>
        <v>Kamis</v>
      </c>
    </row>
    <row r="1006" spans="1:11" x14ac:dyDescent="0.25">
      <c r="A1006" s="207" t="s">
        <v>1061</v>
      </c>
      <c r="B1006" s="112">
        <v>45805</v>
      </c>
      <c r="C1006" s="109" t="s">
        <v>34</v>
      </c>
      <c r="D1006" s="109" t="s">
        <v>12</v>
      </c>
      <c r="E1006" s="109" t="s">
        <v>45</v>
      </c>
      <c r="F1006" s="109" t="s">
        <v>32</v>
      </c>
      <c r="G1006" s="109" t="s">
        <v>36</v>
      </c>
      <c r="H1006" s="110">
        <v>239.05</v>
      </c>
      <c r="I1006" s="109">
        <v>1</v>
      </c>
      <c r="J1006" s="110">
        <v>239.05</v>
      </c>
      <c r="K1006" t="str">
        <f t="shared" si="15"/>
        <v>Rabu</v>
      </c>
    </row>
    <row r="1007" spans="1:11" x14ac:dyDescent="0.25">
      <c r="A1007" s="207" t="s">
        <v>1062</v>
      </c>
      <c r="B1007" s="112">
        <v>45899</v>
      </c>
      <c r="C1007" s="109" t="s">
        <v>34</v>
      </c>
      <c r="D1007" s="109" t="s">
        <v>26</v>
      </c>
      <c r="E1007" s="109" t="s">
        <v>27</v>
      </c>
      <c r="F1007" s="109" t="s">
        <v>42</v>
      </c>
      <c r="G1007" s="109" t="s">
        <v>15</v>
      </c>
      <c r="H1007" s="110">
        <v>128.12</v>
      </c>
      <c r="I1007" s="109">
        <v>1</v>
      </c>
      <c r="J1007" s="110">
        <v>128.12</v>
      </c>
      <c r="K1007" t="str">
        <f t="shared" si="15"/>
        <v>Sabtu</v>
      </c>
    </row>
  </sheetData>
  <conditionalFormatting sqref="H2:H1007">
    <cfRule type="cellIs" dxfId="30" priority="159" operator="lessThan">
      <formula>#REF!</formula>
    </cfRule>
    <cfRule type="cellIs" dxfId="29" priority="160" operator="greaterThan">
      <formula>#REF!</formula>
    </cfRule>
  </conditionalFormatting>
  <conditionalFormatting sqref="I2:I1007">
    <cfRule type="cellIs" dxfId="28" priority="161" operator="lessThan">
      <formula>#REF!</formula>
    </cfRule>
    <cfRule type="cellIs" dxfId="27" priority="162" operator="greaterThan">
      <formula>#REF!</formula>
    </cfRule>
  </conditionalFormatting>
  <conditionalFormatting sqref="J2:J1007">
    <cfRule type="cellIs" dxfId="26" priority="163" operator="lessThan">
      <formula>#REF!</formula>
    </cfRule>
    <cfRule type="cellIs" dxfId="25" priority="164" operator="greaterThan">
      <formula>#REF!</formula>
    </cfRule>
  </conditionalFormatting>
  <conditionalFormatting sqref="X18:AC22">
    <cfRule type="colorScale" priority="1">
      <colorScale>
        <cfvo type="min"/>
        <cfvo type="max"/>
        <color theme="3" tint="-0.499984740745262"/>
        <color theme="4" tint="0.79998168889431442"/>
      </colorScale>
    </cfRule>
  </conditionalFormatting>
  <pageMargins left="0.7" right="0.7" top="0.75" bottom="0.75" header="0.3" footer="0.3"/>
  <pageSetup paperSize="9" orientation="portrait" r:id="rId5"/>
  <tableParts count="1">
    <tablePart r:id="rId6"/>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3"/>
    <pageSetUpPr autoPageBreaks="0"/>
  </sheetPr>
  <dimension ref="A1:AK94"/>
  <sheetViews>
    <sheetView tabSelected="1" view="pageBreakPreview" topLeftCell="A29" zoomScale="10" zoomScaleNormal="10" zoomScaleSheetLayoutView="10" zoomScalePageLayoutView="50" workbookViewId="0">
      <selection activeCell="B44" sqref="B44"/>
    </sheetView>
  </sheetViews>
  <sheetFormatPr defaultRowHeight="15" x14ac:dyDescent="0.25"/>
  <cols>
    <col min="1" max="1" width="8.7109375" style="9" customWidth="1"/>
    <col min="2" max="8" width="83" style="9" customWidth="1"/>
    <col min="9" max="9" width="5.7109375" style="9" customWidth="1"/>
    <col min="10" max="10" width="180.140625" style="9" customWidth="1"/>
    <col min="11" max="11" width="71.42578125" style="9" customWidth="1"/>
    <col min="12" max="12" width="180.140625" style="9" customWidth="1"/>
    <col min="13" max="13" width="71.42578125" style="9" customWidth="1"/>
    <col min="14" max="14" width="180.140625" style="9" customWidth="1"/>
    <col min="15" max="15" width="71.42578125" style="9" customWidth="1"/>
    <col min="16" max="16" width="180.140625" style="9" customWidth="1"/>
    <col min="17" max="17" width="42.85546875" style="9" customWidth="1"/>
    <col min="18" max="18" width="155.85546875" style="9" customWidth="1"/>
    <col min="19" max="19" width="5.7109375" style="9" customWidth="1"/>
    <col min="20" max="20" width="155.85546875" style="9" customWidth="1"/>
    <col min="21" max="21" width="5.7109375" style="9" customWidth="1"/>
    <col min="22" max="22" width="155.85546875" style="9" customWidth="1"/>
    <col min="23" max="23" width="7.140625" style="9" customWidth="1"/>
    <col min="24" max="24" width="145.85546875" style="9" customWidth="1"/>
    <col min="25" max="26" width="80" style="9" customWidth="1"/>
    <col min="27" max="27" width="15.85546875" style="9" customWidth="1"/>
    <col min="28" max="29" width="81.42578125" style="9" customWidth="1"/>
    <col min="30" max="30" width="22.7109375" style="9" customWidth="1"/>
    <col min="31" max="31" width="9" style="9" customWidth="1"/>
    <col min="32" max="32" width="2.28515625" style="9" customWidth="1"/>
    <col min="33" max="33" width="17.85546875" style="9" customWidth="1"/>
    <col min="34" max="34" width="26.140625" style="9" customWidth="1"/>
    <col min="35" max="35" width="5.28515625" style="10" customWidth="1"/>
    <col min="36" max="36" width="26.140625" style="10" customWidth="1"/>
    <col min="37" max="37" width="5.28515625" style="10" customWidth="1"/>
    <col min="38" max="38" width="26.140625" style="10" customWidth="1"/>
    <col min="39" max="39" width="5.28515625" style="10" customWidth="1"/>
    <col min="40" max="40" width="2.5703125" style="10" customWidth="1"/>
    <col min="41" max="16384" width="9.140625" style="10"/>
  </cols>
  <sheetData>
    <row r="1" spans="1:34" s="120" customFormat="1" ht="184.5" customHeight="1" x14ac:dyDescent="0.25">
      <c r="A1" s="129"/>
      <c r="B1" s="129"/>
      <c r="C1" s="129"/>
      <c r="D1" s="129"/>
      <c r="E1" s="129"/>
      <c r="F1" s="129"/>
      <c r="I1" s="119"/>
      <c r="J1" s="176" t="s">
        <v>543</v>
      </c>
      <c r="K1" s="129"/>
      <c r="L1" s="180" t="s">
        <v>1110</v>
      </c>
      <c r="N1" s="176" t="s">
        <v>1116</v>
      </c>
      <c r="P1" s="176" t="s">
        <v>1111</v>
      </c>
      <c r="W1" s="129"/>
      <c r="X1" s="129"/>
      <c r="AD1" s="162"/>
      <c r="AE1" s="129"/>
      <c r="AF1" s="129"/>
      <c r="AG1" s="129"/>
    </row>
    <row r="2" spans="1:34" s="179" customFormat="1" ht="27" customHeight="1" x14ac:dyDescent="0.25">
      <c r="A2" s="178"/>
      <c r="B2" s="178"/>
      <c r="C2" s="178"/>
      <c r="D2" s="178"/>
      <c r="E2" s="178"/>
      <c r="F2" s="178"/>
      <c r="H2" s="162"/>
      <c r="I2" s="120"/>
      <c r="J2" s="162"/>
      <c r="K2" s="129"/>
      <c r="L2" s="182"/>
      <c r="M2" s="120"/>
      <c r="P2" s="162"/>
      <c r="S2" s="120"/>
      <c r="U2" s="120"/>
      <c r="W2" s="166"/>
      <c r="X2" s="129"/>
      <c r="Y2" s="120"/>
      <c r="AA2" s="120"/>
      <c r="AD2" s="181"/>
      <c r="AE2" s="166"/>
      <c r="AF2" s="166"/>
      <c r="AG2" s="166"/>
    </row>
    <row r="3" spans="1:34" s="186" customFormat="1" ht="147" customHeight="1" x14ac:dyDescent="0.25">
      <c r="A3" s="165"/>
      <c r="B3" s="165"/>
      <c r="C3" s="165"/>
      <c r="D3" s="165"/>
      <c r="E3" s="165"/>
      <c r="F3" s="165"/>
      <c r="I3" s="164"/>
      <c r="J3" s="125">
        <f>KPI!B3</f>
        <v>1459848.6300000006</v>
      </c>
      <c r="K3" s="160"/>
      <c r="L3" s="125">
        <f>KPI!D3</f>
        <v>1451.1417793240562</v>
      </c>
      <c r="M3" s="165"/>
      <c r="N3" s="115">
        <f>KPI!B10</f>
        <v>137.06211904985452</v>
      </c>
      <c r="P3" s="115" t="str">
        <f>KPI!H24</f>
        <v>▲ 0,00%</v>
      </c>
      <c r="Q3" s="165"/>
      <c r="S3" s="165"/>
      <c r="U3" s="130"/>
      <c r="W3" s="165"/>
      <c r="X3" s="130"/>
      <c r="AA3" s="121"/>
      <c r="AD3" s="183"/>
      <c r="AE3" s="165"/>
      <c r="AF3" s="165"/>
      <c r="AG3" s="165"/>
    </row>
    <row r="4" spans="1:34" ht="64.5" customHeight="1" x14ac:dyDescent="1.25">
      <c r="A4" s="33"/>
      <c r="B4" s="33"/>
      <c r="C4" s="33"/>
      <c r="D4" s="33"/>
      <c r="E4" s="33"/>
      <c r="F4" s="33"/>
      <c r="G4" s="33"/>
      <c r="H4" s="33"/>
      <c r="I4" s="33"/>
      <c r="J4" s="33"/>
      <c r="K4" s="33"/>
      <c r="L4" s="33"/>
      <c r="M4" s="131"/>
      <c r="N4" s="131"/>
      <c r="O4" s="132"/>
      <c r="P4" s="132"/>
      <c r="Q4" s="132"/>
      <c r="S4" s="132"/>
      <c r="T4" s="132"/>
      <c r="U4" s="132"/>
      <c r="V4" s="132"/>
      <c r="W4" s="132"/>
      <c r="X4" s="132"/>
      <c r="Y4" s="84"/>
      <c r="Z4" s="84"/>
      <c r="AA4" s="84"/>
      <c r="AB4" s="84"/>
      <c r="AC4" s="84"/>
      <c r="AD4" s="56"/>
      <c r="AE4" s="64"/>
      <c r="AF4" s="33"/>
      <c r="AG4" s="33"/>
    </row>
    <row r="5" spans="1:34" s="120" customFormat="1" ht="184.5" customHeight="1" x14ac:dyDescent="0.25">
      <c r="A5" s="129"/>
      <c r="B5" s="129"/>
      <c r="C5" s="129"/>
      <c r="D5" s="129"/>
      <c r="E5" s="129"/>
      <c r="F5" s="129"/>
      <c r="G5" s="129"/>
      <c r="H5" s="129"/>
      <c r="I5" s="129"/>
      <c r="J5" s="176" t="s">
        <v>544</v>
      </c>
      <c r="K5" s="129"/>
      <c r="L5" s="176" t="s">
        <v>1072</v>
      </c>
      <c r="N5" s="177" t="s">
        <v>1119</v>
      </c>
      <c r="O5" s="129"/>
      <c r="P5" s="176" t="s">
        <v>1073</v>
      </c>
      <c r="Q5" s="129"/>
      <c r="S5" s="254"/>
      <c r="T5" s="254"/>
      <c r="U5" s="129"/>
      <c r="V5" s="254"/>
      <c r="W5" s="254"/>
      <c r="X5" s="129"/>
      <c r="Y5" s="255"/>
      <c r="Z5" s="255"/>
      <c r="AB5" s="250"/>
      <c r="AC5" s="250"/>
      <c r="AD5" s="162"/>
      <c r="AE5" s="129"/>
      <c r="AF5" s="129"/>
      <c r="AG5" s="129"/>
    </row>
    <row r="6" spans="1:34" s="83" customFormat="1" ht="27" customHeight="1" x14ac:dyDescent="0.25">
      <c r="A6" s="82"/>
      <c r="B6" s="82"/>
      <c r="C6" s="82"/>
      <c r="D6" s="82"/>
      <c r="E6" s="82"/>
      <c r="F6" s="82"/>
      <c r="G6" s="82"/>
      <c r="H6" s="82"/>
      <c r="I6" s="82"/>
      <c r="J6" s="162"/>
      <c r="K6" s="82"/>
      <c r="L6" s="129"/>
      <c r="N6" s="179"/>
      <c r="O6" s="133"/>
      <c r="P6" s="163"/>
      <c r="Q6" s="134"/>
      <c r="R6" s="128"/>
      <c r="S6" s="256"/>
      <c r="T6" s="256"/>
      <c r="U6" s="128"/>
      <c r="V6" s="256"/>
      <c r="W6" s="256"/>
      <c r="X6" s="128"/>
      <c r="Y6" s="251"/>
      <c r="Z6" s="251"/>
      <c r="AA6" s="114"/>
      <c r="AB6" s="251"/>
      <c r="AC6" s="251"/>
      <c r="AD6" s="81"/>
      <c r="AE6" s="82"/>
      <c r="AF6" s="82"/>
      <c r="AG6" s="82"/>
    </row>
    <row r="7" spans="1:34" s="120" customFormat="1" ht="147" customHeight="1" x14ac:dyDescent="0.25">
      <c r="A7" s="129"/>
      <c r="B7" s="129"/>
      <c r="C7" s="129"/>
      <c r="D7" s="129"/>
      <c r="E7" s="129"/>
      <c r="F7" s="129"/>
      <c r="G7" s="129"/>
      <c r="H7" s="129"/>
      <c r="I7" s="129"/>
      <c r="J7" s="116">
        <f>KPI!B7</f>
        <v>1006</v>
      </c>
      <c r="K7" s="129"/>
      <c r="L7" s="116">
        <f>KPI!D7</f>
        <v>10651</v>
      </c>
      <c r="N7" s="115">
        <f>KPI!B14</f>
        <v>121654.05250000005</v>
      </c>
      <c r="O7" s="129"/>
      <c r="P7" s="116" t="str">
        <f>KPI!P35</f>
        <v>Okt</v>
      </c>
      <c r="Q7" s="184"/>
      <c r="R7" s="129"/>
      <c r="S7" s="184"/>
      <c r="T7" s="184"/>
      <c r="U7" s="129"/>
      <c r="V7" s="184"/>
      <c r="W7" s="184"/>
      <c r="X7" s="129"/>
      <c r="Y7" s="185"/>
      <c r="Z7" s="185"/>
      <c r="AA7" s="162"/>
      <c r="AB7" s="185"/>
      <c r="AC7" s="185"/>
      <c r="AD7" s="162"/>
      <c r="AE7" s="129"/>
      <c r="AF7" s="129"/>
      <c r="AG7" s="129"/>
    </row>
    <row r="8" spans="1:34" ht="18.75" customHeight="1" x14ac:dyDescent="0.25">
      <c r="A8" s="33"/>
      <c r="B8" s="33"/>
      <c r="C8" s="33"/>
      <c r="D8" s="65"/>
      <c r="E8" s="65"/>
      <c r="F8" s="65"/>
      <c r="G8" s="65"/>
      <c r="H8" s="65"/>
      <c r="I8" s="65"/>
      <c r="J8" s="65"/>
      <c r="K8" s="65"/>
      <c r="L8" s="65"/>
      <c r="M8" s="65"/>
      <c r="N8" s="65"/>
      <c r="O8" s="65"/>
      <c r="P8" s="65"/>
      <c r="Q8" s="65"/>
      <c r="R8" s="65"/>
      <c r="S8" s="65"/>
      <c r="T8" s="65"/>
      <c r="U8" s="65"/>
      <c r="V8" s="65"/>
      <c r="W8" s="65"/>
      <c r="X8" s="65"/>
      <c r="Y8" s="52"/>
      <c r="Z8" s="52"/>
      <c r="AA8" s="52"/>
      <c r="AB8" s="52"/>
      <c r="AC8" s="52"/>
      <c r="AD8" s="52"/>
      <c r="AE8" s="65"/>
      <c r="AF8" s="65"/>
      <c r="AG8" s="65"/>
    </row>
    <row r="9" spans="1:34" ht="20.25" customHeight="1" x14ac:dyDescent="0.25">
      <c r="A9" s="33"/>
      <c r="B9" s="33"/>
      <c r="C9" s="33"/>
      <c r="D9" s="66"/>
      <c r="E9" s="66"/>
      <c r="F9" s="66"/>
      <c r="G9" s="66"/>
      <c r="H9" s="66"/>
      <c r="I9" s="66"/>
      <c r="J9" s="66"/>
      <c r="K9" s="66"/>
      <c r="L9" s="66"/>
      <c r="M9" s="66"/>
      <c r="N9" s="66"/>
      <c r="O9" s="66"/>
      <c r="P9" s="66"/>
      <c r="Q9" s="66"/>
      <c r="R9" s="66"/>
      <c r="S9" s="66"/>
      <c r="T9" s="66"/>
      <c r="U9" s="66"/>
      <c r="V9" s="66"/>
      <c r="W9" s="66"/>
      <c r="X9" s="66"/>
      <c r="Y9" s="51"/>
      <c r="Z9" s="51"/>
      <c r="AA9" s="51"/>
      <c r="AB9" s="51"/>
      <c r="AC9" s="51"/>
      <c r="AD9" s="51"/>
      <c r="AE9" s="66"/>
      <c r="AF9" s="66"/>
      <c r="AG9" s="66"/>
    </row>
    <row r="10" spans="1:34" ht="18" customHeight="1" x14ac:dyDescent="0.25">
      <c r="A10" s="33"/>
      <c r="B10" s="33"/>
      <c r="C10" s="33"/>
      <c r="D10" s="66"/>
      <c r="E10" s="66"/>
      <c r="F10" s="66"/>
      <c r="G10" s="66"/>
      <c r="H10" s="66"/>
      <c r="I10" s="66"/>
      <c r="J10" s="66"/>
      <c r="K10" s="66"/>
      <c r="L10" s="66"/>
      <c r="M10" s="66"/>
      <c r="N10" s="66"/>
      <c r="O10" s="66"/>
      <c r="P10" s="66"/>
      <c r="Q10" s="66"/>
      <c r="R10" s="66"/>
      <c r="S10" s="66"/>
      <c r="T10" s="66"/>
      <c r="U10" s="66"/>
      <c r="V10" s="66"/>
      <c r="W10" s="66"/>
      <c r="X10" s="66"/>
      <c r="Y10" s="51"/>
      <c r="Z10" s="51"/>
      <c r="AA10" s="51"/>
      <c r="AB10" s="51"/>
      <c r="AC10" s="50"/>
      <c r="AD10" s="51"/>
      <c r="AE10" s="66"/>
      <c r="AF10" s="66"/>
      <c r="AG10" s="66"/>
    </row>
    <row r="11" spans="1:34" ht="18" customHeight="1" x14ac:dyDescent="0.25">
      <c r="A11" s="33"/>
      <c r="B11" s="33"/>
      <c r="C11" s="33"/>
      <c r="D11" s="66"/>
      <c r="E11" s="66"/>
      <c r="F11" s="66"/>
      <c r="G11" s="66"/>
      <c r="H11" s="66"/>
      <c r="I11" s="66"/>
      <c r="J11" s="66"/>
      <c r="K11" s="66"/>
      <c r="L11" s="66"/>
      <c r="M11" s="66"/>
      <c r="N11" s="66"/>
      <c r="O11" s="66"/>
      <c r="P11" s="66"/>
      <c r="Q11" s="66"/>
      <c r="R11" s="66"/>
      <c r="S11" s="66"/>
      <c r="T11" s="66"/>
      <c r="U11" s="66"/>
      <c r="V11" s="66"/>
      <c r="W11" s="66"/>
      <c r="X11" s="66"/>
      <c r="Y11" s="51"/>
      <c r="Z11" s="51"/>
      <c r="AA11" s="51"/>
      <c r="AB11" s="51"/>
      <c r="AC11" s="50"/>
      <c r="AD11" s="51"/>
      <c r="AE11" s="66"/>
      <c r="AF11" s="66"/>
      <c r="AG11" s="66"/>
    </row>
    <row r="12" spans="1:34" ht="18.75" customHeight="1" x14ac:dyDescent="0.25">
      <c r="A12" s="33"/>
      <c r="B12" s="33"/>
      <c r="C12" s="33"/>
      <c r="D12" s="66"/>
      <c r="E12" s="66"/>
      <c r="F12" s="66"/>
      <c r="G12" s="66"/>
      <c r="H12" s="66"/>
      <c r="I12" s="66"/>
      <c r="J12" s="66"/>
      <c r="K12" s="66"/>
      <c r="L12" s="66"/>
      <c r="M12" s="66"/>
      <c r="N12" s="66"/>
      <c r="O12" s="66"/>
      <c r="P12" s="66"/>
      <c r="Q12" s="66"/>
      <c r="R12" s="66"/>
      <c r="S12" s="66"/>
      <c r="T12" s="66"/>
      <c r="U12" s="66"/>
      <c r="V12" s="66"/>
      <c r="W12" s="66"/>
      <c r="X12" s="66"/>
      <c r="Y12" s="51"/>
      <c r="Z12" s="51"/>
      <c r="AA12" s="51"/>
      <c r="AB12" s="51"/>
      <c r="AC12" s="51"/>
      <c r="AD12" s="51"/>
      <c r="AE12" s="66"/>
      <c r="AF12" s="66"/>
      <c r="AG12" s="66"/>
    </row>
    <row r="13" spans="1:34" ht="18.75" customHeight="1" x14ac:dyDescent="0.25">
      <c r="A13" s="33"/>
      <c r="B13" s="33"/>
      <c r="C13" s="33"/>
      <c r="D13" s="66"/>
      <c r="E13" s="66"/>
      <c r="F13" s="66"/>
      <c r="G13" s="66"/>
      <c r="H13" s="66"/>
      <c r="I13" s="66"/>
      <c r="J13" s="66"/>
      <c r="K13" s="66"/>
      <c r="L13" s="66"/>
      <c r="M13" s="66"/>
      <c r="N13" s="66"/>
      <c r="O13" s="66"/>
      <c r="P13" s="66"/>
      <c r="Q13" s="66"/>
      <c r="R13" s="66"/>
      <c r="S13" s="66"/>
      <c r="T13" s="66"/>
      <c r="U13" s="66"/>
      <c r="V13" s="66"/>
      <c r="W13" s="66"/>
      <c r="X13" s="66"/>
      <c r="Y13" s="51"/>
      <c r="Z13" s="51"/>
      <c r="AA13" s="51"/>
      <c r="AB13" s="51"/>
      <c r="AC13" s="51"/>
      <c r="AD13" s="51"/>
      <c r="AE13" s="66"/>
      <c r="AF13" s="66"/>
      <c r="AG13" s="66"/>
      <c r="AH13" s="10"/>
    </row>
    <row r="14" spans="1:34" ht="18.75" customHeight="1" x14ac:dyDescent="0.25">
      <c r="A14" s="33"/>
      <c r="B14" s="33"/>
      <c r="C14" s="33"/>
      <c r="D14" s="66"/>
      <c r="E14" s="66"/>
      <c r="F14" s="66"/>
      <c r="G14" s="66"/>
      <c r="H14" s="66"/>
      <c r="I14" s="66"/>
      <c r="J14" s="66"/>
      <c r="K14" s="66"/>
      <c r="L14" s="66"/>
      <c r="M14" s="66"/>
      <c r="N14" s="66"/>
      <c r="O14" s="66"/>
      <c r="P14" s="66"/>
      <c r="Q14" s="66"/>
      <c r="R14" s="66"/>
      <c r="S14" s="66"/>
      <c r="T14" s="66"/>
      <c r="U14" s="66"/>
      <c r="V14" s="66"/>
      <c r="W14" s="66"/>
      <c r="X14" s="66"/>
      <c r="Y14" s="51"/>
      <c r="Z14" s="51"/>
      <c r="AA14" s="51"/>
      <c r="AB14" s="51"/>
      <c r="AC14" s="51"/>
      <c r="AD14" s="51"/>
      <c r="AE14" s="66"/>
      <c r="AF14" s="66"/>
      <c r="AG14" s="66"/>
      <c r="AH14" s="10"/>
    </row>
    <row r="15" spans="1:34" ht="18.75" customHeight="1" x14ac:dyDescent="0.25">
      <c r="A15" s="33"/>
      <c r="B15" s="33"/>
      <c r="C15" s="33"/>
      <c r="D15" s="66"/>
      <c r="E15" s="66"/>
      <c r="F15" s="66"/>
      <c r="G15" s="66"/>
      <c r="H15" s="66"/>
      <c r="I15" s="66"/>
      <c r="J15" s="66"/>
      <c r="K15" s="66"/>
      <c r="L15" s="66"/>
      <c r="M15" s="66"/>
      <c r="N15" s="66"/>
      <c r="O15" s="66"/>
      <c r="P15" s="66"/>
      <c r="Q15" s="66"/>
      <c r="R15" s="66"/>
      <c r="S15" s="66"/>
      <c r="T15" s="66"/>
      <c r="U15" s="66"/>
      <c r="V15" s="66"/>
      <c r="W15" s="66"/>
      <c r="X15" s="66"/>
      <c r="Y15" s="51"/>
      <c r="Z15" s="51"/>
      <c r="AA15" s="51"/>
      <c r="AB15" s="51"/>
      <c r="AC15" s="51"/>
      <c r="AD15" s="51"/>
      <c r="AE15" s="66"/>
      <c r="AF15" s="66"/>
      <c r="AG15" s="66"/>
      <c r="AH15" s="10"/>
    </row>
    <row r="16" spans="1:34" ht="18.75" customHeight="1" x14ac:dyDescent="0.25">
      <c r="A16" s="33"/>
      <c r="B16" s="33"/>
      <c r="C16" s="33"/>
      <c r="D16" s="66"/>
      <c r="E16" s="66"/>
      <c r="F16" s="66"/>
      <c r="G16" s="66"/>
      <c r="H16" s="66"/>
      <c r="I16" s="66"/>
      <c r="J16" s="66"/>
      <c r="K16" s="66"/>
      <c r="L16" s="66"/>
      <c r="M16" s="66"/>
      <c r="N16" s="66"/>
      <c r="O16" s="66"/>
      <c r="P16" s="66"/>
      <c r="Q16" s="66"/>
      <c r="R16" s="66"/>
      <c r="S16" s="66"/>
      <c r="T16" s="66"/>
      <c r="U16" s="66"/>
      <c r="V16" s="66"/>
      <c r="W16" s="66"/>
      <c r="X16" s="66"/>
      <c r="Y16" s="51"/>
      <c r="Z16" s="51"/>
      <c r="AA16" s="51"/>
      <c r="AB16" s="51"/>
      <c r="AC16" s="51"/>
      <c r="AD16" s="51"/>
      <c r="AE16" s="66"/>
      <c r="AF16" s="66"/>
      <c r="AG16" s="66"/>
      <c r="AH16" s="10"/>
    </row>
    <row r="17" spans="1:37" ht="18.75" customHeight="1" x14ac:dyDescent="0.25">
      <c r="A17" s="33"/>
      <c r="B17" s="33"/>
      <c r="C17" s="33"/>
      <c r="D17" s="66"/>
      <c r="E17" s="66"/>
      <c r="F17" s="66"/>
      <c r="G17" s="66"/>
      <c r="H17" s="66"/>
      <c r="I17" s="66"/>
      <c r="J17" s="66"/>
      <c r="K17" s="66"/>
      <c r="L17" s="66"/>
      <c r="M17" s="66"/>
      <c r="N17" s="66"/>
      <c r="O17" s="66"/>
      <c r="P17" s="66"/>
      <c r="Q17" s="66"/>
      <c r="R17" s="66"/>
      <c r="S17" s="66"/>
      <c r="T17" s="66"/>
      <c r="U17" s="66"/>
      <c r="V17" s="66"/>
      <c r="W17" s="66"/>
      <c r="X17" s="66"/>
      <c r="Y17" s="51"/>
      <c r="Z17" s="51"/>
      <c r="AA17" s="51"/>
      <c r="AB17" s="51"/>
      <c r="AC17" s="51"/>
      <c r="AD17" s="51"/>
      <c r="AE17" s="66"/>
      <c r="AF17" s="66"/>
      <c r="AG17" s="66"/>
      <c r="AH17" s="10"/>
    </row>
    <row r="18" spans="1:37" ht="18.75" customHeight="1" x14ac:dyDescent="0.25">
      <c r="A18" s="33"/>
      <c r="B18" s="33"/>
      <c r="C18" s="33"/>
      <c r="D18" s="66"/>
      <c r="E18" s="66"/>
      <c r="F18" s="66"/>
      <c r="G18" s="66"/>
      <c r="H18" s="66"/>
      <c r="I18" s="66"/>
      <c r="J18" s="66"/>
      <c r="K18" s="66"/>
      <c r="L18" s="66"/>
      <c r="M18" s="66"/>
      <c r="N18" s="66"/>
      <c r="O18" s="66"/>
      <c r="P18" s="66"/>
      <c r="Q18" s="66"/>
      <c r="R18" s="66"/>
      <c r="S18" s="66"/>
      <c r="T18" s="66"/>
      <c r="U18" s="66"/>
      <c r="V18" s="66"/>
      <c r="W18" s="62"/>
      <c r="X18" s="66"/>
      <c r="Y18" s="51"/>
      <c r="Z18" s="51"/>
      <c r="AA18" s="51"/>
      <c r="AB18" s="51"/>
      <c r="AC18" s="51"/>
      <c r="AD18" s="51"/>
      <c r="AE18" s="66"/>
      <c r="AF18" s="66"/>
      <c r="AG18" s="66"/>
    </row>
    <row r="19" spans="1:37" ht="18.75" customHeight="1" x14ac:dyDescent="0.25">
      <c r="A19" s="33"/>
      <c r="B19" s="33"/>
      <c r="C19" s="33"/>
      <c r="D19" s="66"/>
      <c r="E19" s="33"/>
      <c r="F19" s="33"/>
      <c r="G19" s="33"/>
      <c r="H19" s="33"/>
      <c r="I19" s="33"/>
      <c r="J19" s="33"/>
      <c r="K19" s="33"/>
      <c r="L19" s="33"/>
      <c r="M19" s="33"/>
      <c r="N19" s="33"/>
      <c r="O19" s="33"/>
      <c r="P19" s="33"/>
      <c r="Q19" s="33"/>
      <c r="R19" s="33"/>
      <c r="S19" s="33"/>
      <c r="T19" s="33"/>
      <c r="U19" s="33"/>
      <c r="V19" s="33"/>
      <c r="W19" s="62"/>
      <c r="X19" s="33"/>
      <c r="Y19" s="50"/>
      <c r="Z19" s="50"/>
      <c r="AA19" s="50"/>
      <c r="AB19" s="50"/>
      <c r="AC19" s="50"/>
      <c r="AD19" s="50"/>
      <c r="AE19" s="33"/>
      <c r="AF19" s="33"/>
      <c r="AG19" s="33"/>
    </row>
    <row r="20" spans="1:37" ht="18.75" customHeight="1" x14ac:dyDescent="0.25">
      <c r="A20" s="33"/>
      <c r="B20" s="33"/>
      <c r="C20" s="33"/>
      <c r="D20" s="66"/>
      <c r="E20" s="33"/>
      <c r="F20" s="33"/>
      <c r="G20" s="33"/>
      <c r="H20" s="33"/>
      <c r="I20" s="33"/>
      <c r="J20" s="33"/>
      <c r="K20" s="33"/>
      <c r="L20" s="33"/>
      <c r="M20" s="33"/>
      <c r="N20" s="33"/>
      <c r="O20" s="33"/>
      <c r="P20" s="33"/>
      <c r="Q20" s="33"/>
      <c r="R20" s="33"/>
      <c r="S20" s="33"/>
      <c r="T20" s="33"/>
      <c r="U20" s="33"/>
      <c r="V20" s="33"/>
      <c r="W20" s="62"/>
      <c r="X20" s="33"/>
      <c r="Y20" s="50"/>
      <c r="Z20" s="50"/>
      <c r="AA20" s="50"/>
      <c r="AB20" s="50"/>
      <c r="AC20" s="50"/>
      <c r="AD20" s="50"/>
      <c r="AE20" s="33"/>
      <c r="AF20" s="33"/>
      <c r="AG20" s="33"/>
    </row>
    <row r="21" spans="1:37" ht="18.75" customHeight="1" x14ac:dyDescent="0.25">
      <c r="A21" s="33"/>
      <c r="B21" s="33"/>
      <c r="C21" s="33"/>
      <c r="D21" s="66"/>
      <c r="E21" s="33"/>
      <c r="F21" s="33"/>
      <c r="G21" s="33"/>
      <c r="H21" s="33"/>
      <c r="I21" s="33"/>
      <c r="J21" s="33"/>
      <c r="K21" s="33"/>
      <c r="L21" s="33"/>
      <c r="M21" s="33"/>
      <c r="N21" s="33"/>
      <c r="O21" s="33"/>
      <c r="P21" s="33"/>
      <c r="Q21" s="33"/>
      <c r="R21" s="33"/>
      <c r="S21" s="33"/>
      <c r="T21" s="33"/>
      <c r="U21" s="33"/>
      <c r="V21" s="33"/>
      <c r="W21" s="62"/>
      <c r="X21" s="33"/>
      <c r="Y21" s="50"/>
      <c r="Z21" s="50"/>
      <c r="AA21" s="50"/>
      <c r="AB21" s="50"/>
      <c r="AC21" s="50"/>
      <c r="AD21" s="50"/>
      <c r="AE21" s="33"/>
      <c r="AF21" s="33"/>
      <c r="AG21" s="33"/>
    </row>
    <row r="22" spans="1:37" ht="18.75" customHeight="1" x14ac:dyDescent="0.25">
      <c r="A22" s="33"/>
      <c r="B22" s="33"/>
      <c r="C22" s="33"/>
      <c r="D22" s="66"/>
      <c r="E22" s="33"/>
      <c r="F22" s="33"/>
      <c r="G22" s="33"/>
      <c r="H22" s="33"/>
      <c r="I22" s="33"/>
      <c r="J22" s="33"/>
      <c r="K22" s="33"/>
      <c r="L22" s="33"/>
      <c r="M22" s="33"/>
      <c r="N22" s="33"/>
      <c r="O22" s="33"/>
      <c r="P22" s="33"/>
      <c r="Q22" s="33"/>
      <c r="R22" s="33"/>
      <c r="S22" s="33"/>
      <c r="T22" s="33"/>
      <c r="U22" s="33"/>
      <c r="V22" s="33"/>
      <c r="W22" s="62"/>
      <c r="X22" s="33"/>
      <c r="Y22" s="50"/>
      <c r="Z22" s="50"/>
      <c r="AA22" s="50"/>
      <c r="AB22" s="50"/>
      <c r="AC22" s="50"/>
      <c r="AD22" s="50"/>
      <c r="AE22" s="33"/>
      <c r="AF22" s="33"/>
      <c r="AG22" s="33"/>
    </row>
    <row r="23" spans="1:37" ht="18.75" customHeight="1" x14ac:dyDescent="0.25">
      <c r="A23" s="33"/>
      <c r="B23" s="33"/>
      <c r="C23" s="33"/>
      <c r="D23" s="66"/>
      <c r="E23" s="33"/>
      <c r="F23" s="33"/>
      <c r="G23" s="33"/>
      <c r="H23" s="33"/>
      <c r="I23" s="33"/>
      <c r="J23" s="33"/>
      <c r="K23" s="33"/>
      <c r="L23" s="33"/>
      <c r="M23" s="33"/>
      <c r="N23" s="33"/>
      <c r="O23" s="33"/>
      <c r="P23" s="33"/>
      <c r="Q23" s="33"/>
      <c r="R23" s="33"/>
      <c r="S23" s="33"/>
      <c r="T23" s="33"/>
      <c r="U23" s="33"/>
      <c r="V23" s="33"/>
      <c r="W23" s="62"/>
      <c r="X23" s="33"/>
      <c r="Y23" s="50"/>
      <c r="Z23" s="50"/>
      <c r="AA23" s="50"/>
      <c r="AB23" s="50"/>
      <c r="AC23" s="50"/>
      <c r="AD23" s="50"/>
      <c r="AE23" s="33"/>
      <c r="AF23" s="33"/>
      <c r="AG23" s="33"/>
    </row>
    <row r="24" spans="1:37" ht="18.75" customHeight="1" x14ac:dyDescent="0.25">
      <c r="A24" s="33"/>
      <c r="B24" s="33"/>
      <c r="C24" s="33"/>
      <c r="D24" s="66"/>
      <c r="E24" s="33"/>
      <c r="F24" s="33"/>
      <c r="G24" s="33"/>
      <c r="H24" s="33"/>
      <c r="I24" s="33"/>
      <c r="J24" s="33"/>
      <c r="K24" s="33"/>
      <c r="L24" s="33"/>
      <c r="M24" s="33"/>
      <c r="N24" s="33"/>
      <c r="O24" s="33"/>
      <c r="P24" s="33"/>
      <c r="Q24" s="33"/>
      <c r="R24" s="33"/>
      <c r="S24" s="33"/>
      <c r="T24" s="33"/>
      <c r="U24" s="33"/>
      <c r="V24" s="33"/>
      <c r="W24" s="62"/>
      <c r="X24" s="33"/>
      <c r="Y24" s="50"/>
      <c r="Z24" s="50"/>
      <c r="AA24" s="50"/>
      <c r="AB24" s="50"/>
      <c r="AC24" s="50"/>
      <c r="AD24" s="50"/>
      <c r="AE24" s="33"/>
      <c r="AF24" s="33"/>
      <c r="AG24" s="33"/>
    </row>
    <row r="25" spans="1:37" ht="18.75" customHeight="1" x14ac:dyDescent="0.25">
      <c r="A25" s="33"/>
      <c r="B25" s="33"/>
      <c r="C25" s="33"/>
      <c r="D25" s="66"/>
      <c r="E25" s="33"/>
      <c r="F25" s="33"/>
      <c r="G25" s="33"/>
      <c r="H25" s="33"/>
      <c r="I25" s="33"/>
      <c r="J25" s="33"/>
      <c r="K25" s="33"/>
      <c r="L25" s="33"/>
      <c r="M25" s="33"/>
      <c r="N25" s="33"/>
      <c r="O25" s="33"/>
      <c r="P25" s="33"/>
      <c r="Q25" s="33"/>
      <c r="R25" s="33"/>
      <c r="S25" s="33"/>
      <c r="T25" s="33"/>
      <c r="U25" s="33"/>
      <c r="V25" s="33"/>
      <c r="W25" s="62"/>
      <c r="X25" s="33"/>
      <c r="Y25" s="50"/>
      <c r="Z25" s="50"/>
      <c r="AA25" s="50"/>
      <c r="AB25" s="50"/>
      <c r="AC25" s="50"/>
      <c r="AD25" s="50"/>
      <c r="AE25" s="33"/>
      <c r="AF25" s="33"/>
      <c r="AG25" s="33"/>
    </row>
    <row r="26" spans="1:37" ht="18.75" customHeight="1" x14ac:dyDescent="0.25">
      <c r="A26" s="33"/>
      <c r="B26" s="33"/>
      <c r="C26" s="33"/>
      <c r="D26" s="33"/>
      <c r="E26" s="67"/>
      <c r="F26" s="67"/>
      <c r="G26" s="67"/>
      <c r="H26" s="67"/>
      <c r="I26" s="67"/>
      <c r="J26" s="67"/>
      <c r="K26" s="67"/>
      <c r="L26" s="67"/>
      <c r="M26" s="67"/>
      <c r="N26" s="67"/>
      <c r="O26" s="67"/>
      <c r="P26" s="67"/>
      <c r="Q26" s="67"/>
      <c r="R26" s="67"/>
      <c r="S26" s="67"/>
      <c r="T26" s="67"/>
      <c r="U26" s="67"/>
      <c r="V26" s="67"/>
      <c r="W26" s="62"/>
      <c r="X26" s="67"/>
      <c r="Y26" s="53"/>
      <c r="Z26" s="53"/>
      <c r="AA26" s="53"/>
      <c r="AB26" s="53"/>
      <c r="AC26" s="53"/>
      <c r="AD26" s="53"/>
      <c r="AE26" s="67"/>
      <c r="AF26" s="67"/>
      <c r="AG26" s="67"/>
    </row>
    <row r="27" spans="1:37" ht="18.75" customHeight="1" x14ac:dyDescent="0.25">
      <c r="A27" s="33"/>
      <c r="B27" s="33"/>
      <c r="C27" s="33"/>
      <c r="D27" s="33"/>
      <c r="E27" s="33"/>
      <c r="F27" s="33"/>
      <c r="G27" s="33"/>
      <c r="H27" s="33"/>
      <c r="I27" s="33"/>
      <c r="J27" s="33"/>
      <c r="K27" s="33"/>
      <c r="L27" s="33"/>
      <c r="M27" s="33"/>
      <c r="N27" s="33"/>
      <c r="O27" s="33"/>
      <c r="P27" s="33"/>
      <c r="Q27" s="33"/>
      <c r="R27" s="33"/>
      <c r="S27" s="33"/>
      <c r="T27" s="33"/>
      <c r="U27" s="33"/>
      <c r="V27" s="33"/>
      <c r="W27" s="62"/>
      <c r="X27" s="33"/>
      <c r="Y27" s="50"/>
      <c r="Z27" s="50"/>
      <c r="AA27" s="50"/>
      <c r="AB27" s="50"/>
      <c r="AC27" s="50"/>
      <c r="AD27" s="50"/>
      <c r="AE27" s="33"/>
      <c r="AF27" s="33"/>
      <c r="AG27" s="33"/>
    </row>
    <row r="28" spans="1:37" ht="39.75" customHeight="1" x14ac:dyDescent="0.25">
      <c r="A28" s="33"/>
      <c r="B28" s="33"/>
      <c r="C28" s="33"/>
      <c r="D28" s="33"/>
      <c r="E28" s="33"/>
      <c r="F28" s="33"/>
      <c r="G28" s="33"/>
      <c r="H28" s="33"/>
      <c r="I28" s="33"/>
      <c r="J28" s="33"/>
      <c r="K28" s="33"/>
      <c r="L28" s="33"/>
      <c r="M28" s="33"/>
      <c r="N28" s="33"/>
      <c r="O28" s="33"/>
      <c r="P28" s="33"/>
      <c r="Q28" s="33"/>
      <c r="R28" s="33"/>
      <c r="S28" s="33"/>
      <c r="T28" s="33"/>
      <c r="U28" s="33"/>
      <c r="V28" s="33"/>
      <c r="W28" s="62"/>
      <c r="X28" s="33"/>
      <c r="Y28" s="50"/>
      <c r="Z28" s="50"/>
      <c r="AA28" s="50"/>
      <c r="AB28" s="50"/>
      <c r="AC28" s="50"/>
      <c r="AD28" s="50"/>
      <c r="AE28" s="33"/>
      <c r="AF28" s="33"/>
      <c r="AG28" s="33"/>
    </row>
    <row r="29" spans="1:37" ht="36" customHeight="1" x14ac:dyDescent="0.25">
      <c r="A29" s="33"/>
      <c r="B29" s="33"/>
      <c r="C29" s="33"/>
      <c r="D29" s="33"/>
      <c r="E29" s="33"/>
      <c r="F29" s="33"/>
      <c r="G29" s="33"/>
      <c r="H29" s="33"/>
      <c r="I29" s="33"/>
      <c r="J29" s="33"/>
      <c r="K29" s="33"/>
      <c r="L29" s="33"/>
      <c r="M29" s="33"/>
      <c r="N29" s="33"/>
      <c r="O29" s="33"/>
      <c r="P29" s="33"/>
      <c r="Q29" s="33"/>
      <c r="R29" s="33"/>
      <c r="S29" s="33"/>
      <c r="T29" s="33"/>
      <c r="U29" s="33"/>
      <c r="V29" s="33"/>
      <c r="W29" s="62"/>
      <c r="X29" s="33"/>
      <c r="Y29" s="50"/>
      <c r="Z29" s="50"/>
      <c r="AA29" s="50"/>
      <c r="AB29" s="50"/>
      <c r="AC29" s="50"/>
      <c r="AD29" s="50"/>
      <c r="AE29" s="33"/>
      <c r="AF29" s="33"/>
      <c r="AG29" s="33"/>
    </row>
    <row r="30" spans="1:37" ht="36" customHeight="1" x14ac:dyDescent="0.25">
      <c r="A30" s="33"/>
      <c r="B30" s="33"/>
      <c r="C30" s="33"/>
      <c r="D30" s="33"/>
      <c r="E30" s="33"/>
      <c r="F30" s="33"/>
      <c r="G30" s="33"/>
      <c r="H30" s="33"/>
      <c r="I30" s="33"/>
      <c r="J30" s="33"/>
      <c r="K30" s="33"/>
      <c r="L30" s="33"/>
      <c r="M30" s="33"/>
      <c r="N30" s="33"/>
      <c r="O30" s="33"/>
      <c r="P30" s="33"/>
      <c r="Q30" s="33"/>
      <c r="R30" s="33"/>
      <c r="S30" s="33"/>
      <c r="T30" s="33"/>
      <c r="U30" s="33"/>
      <c r="V30" s="33"/>
      <c r="W30" s="62"/>
      <c r="X30" s="33"/>
      <c r="Y30" s="50"/>
      <c r="Z30" s="50"/>
      <c r="AA30" s="50"/>
      <c r="AB30" s="50"/>
      <c r="AC30" s="50"/>
      <c r="AD30" s="50"/>
      <c r="AE30" s="33"/>
      <c r="AF30" s="33"/>
      <c r="AG30" s="33"/>
      <c r="AH30" s="44"/>
      <c r="AI30" s="44"/>
      <c r="AJ30" s="44"/>
      <c r="AK30" s="44"/>
    </row>
    <row r="31" spans="1:37" ht="36" customHeight="1" x14ac:dyDescent="0.25">
      <c r="A31" s="33"/>
      <c r="B31" s="33"/>
      <c r="C31" s="33"/>
      <c r="D31" s="33"/>
      <c r="E31" s="33"/>
      <c r="F31" s="33"/>
      <c r="G31" s="33"/>
      <c r="H31" s="33"/>
      <c r="I31" s="33"/>
      <c r="J31" s="33"/>
      <c r="K31" s="33"/>
      <c r="L31" s="33"/>
      <c r="M31" s="33"/>
      <c r="N31" s="33"/>
      <c r="O31" s="33"/>
      <c r="P31" s="33"/>
      <c r="Q31" s="33"/>
      <c r="R31" s="33"/>
      <c r="S31" s="33"/>
      <c r="T31" s="33"/>
      <c r="U31" s="33"/>
      <c r="V31" s="33"/>
      <c r="W31" s="62"/>
      <c r="X31" s="33"/>
      <c r="Y31" s="50"/>
      <c r="Z31" s="50"/>
      <c r="AA31" s="50"/>
      <c r="AB31" s="50"/>
      <c r="AC31" s="50"/>
      <c r="AD31" s="50"/>
      <c r="AE31" s="33"/>
      <c r="AF31" s="33"/>
      <c r="AG31" s="33"/>
    </row>
    <row r="32" spans="1:37" ht="73.5" customHeight="1" x14ac:dyDescent="0.25">
      <c r="A32" s="33"/>
      <c r="B32" s="33"/>
      <c r="C32" s="33"/>
      <c r="D32" s="33"/>
      <c r="E32" s="33"/>
      <c r="F32" s="33"/>
      <c r="G32" s="33"/>
      <c r="H32" s="33"/>
      <c r="I32" s="33"/>
      <c r="J32" s="33"/>
      <c r="K32" s="33"/>
      <c r="L32" s="33"/>
      <c r="M32" s="63"/>
      <c r="N32" s="63"/>
      <c r="O32" s="63"/>
      <c r="P32" s="63"/>
      <c r="Q32" s="63"/>
      <c r="R32" s="63"/>
      <c r="S32" s="63"/>
      <c r="T32" s="63"/>
      <c r="U32" s="63"/>
      <c r="V32" s="63"/>
      <c r="W32" s="62"/>
      <c r="X32" s="63"/>
      <c r="Y32" s="50"/>
      <c r="Z32" s="57"/>
      <c r="AA32" s="57"/>
      <c r="AB32" s="57"/>
      <c r="AC32" s="57"/>
      <c r="AD32" s="57"/>
      <c r="AE32" s="63"/>
      <c r="AF32" s="63"/>
      <c r="AG32" s="63"/>
    </row>
    <row r="33" spans="1:33" ht="73.5" customHeight="1" x14ac:dyDescent="0.25">
      <c r="A33" s="33"/>
      <c r="B33" s="33"/>
      <c r="C33" s="33"/>
      <c r="D33" s="33"/>
      <c r="E33" s="33"/>
      <c r="F33" s="33"/>
      <c r="G33" s="33"/>
      <c r="H33" s="33"/>
      <c r="I33" s="33"/>
      <c r="J33" s="33"/>
      <c r="K33" s="33"/>
      <c r="L33" s="33"/>
      <c r="M33" s="62"/>
      <c r="N33" s="62"/>
      <c r="O33" s="62"/>
      <c r="P33" s="62"/>
      <c r="Q33" s="62"/>
      <c r="R33" s="62"/>
      <c r="S33" s="62"/>
      <c r="T33" s="62"/>
      <c r="U33" s="62"/>
      <c r="V33" s="62"/>
      <c r="W33" s="62"/>
      <c r="X33" s="62"/>
      <c r="Y33" s="57"/>
      <c r="Z33" s="54"/>
      <c r="AA33" s="54"/>
      <c r="AB33" s="54"/>
      <c r="AC33" s="54"/>
      <c r="AD33" s="54"/>
      <c r="AE33" s="62"/>
      <c r="AF33" s="62"/>
      <c r="AG33" s="62"/>
    </row>
    <row r="34" spans="1:33" ht="40.5" customHeight="1" x14ac:dyDescent="0.25">
      <c r="A34" s="33"/>
      <c r="B34" s="33"/>
      <c r="C34" s="33"/>
      <c r="D34" s="33"/>
      <c r="E34" s="33"/>
      <c r="F34" s="33"/>
      <c r="G34" s="33"/>
      <c r="H34" s="33"/>
      <c r="I34" s="33"/>
      <c r="J34" s="33"/>
      <c r="K34" s="33"/>
      <c r="L34" s="33"/>
      <c r="M34" s="62"/>
      <c r="N34" s="62"/>
      <c r="O34" s="62"/>
      <c r="P34" s="62"/>
      <c r="Q34" s="62"/>
      <c r="R34" s="62"/>
      <c r="S34" s="62"/>
      <c r="T34" s="62"/>
      <c r="U34" s="62"/>
      <c r="V34" s="62"/>
      <c r="W34" s="62"/>
      <c r="X34" s="62"/>
      <c r="Y34" s="54"/>
      <c r="Z34" s="54"/>
      <c r="AA34" s="54"/>
      <c r="AB34" s="54"/>
      <c r="AC34" s="54"/>
      <c r="AD34" s="54"/>
      <c r="AE34" s="62"/>
      <c r="AF34" s="62"/>
      <c r="AG34" s="62"/>
    </row>
    <row r="35" spans="1:33" ht="57" customHeight="1" x14ac:dyDescent="0.25">
      <c r="A35" s="33"/>
      <c r="B35" s="33"/>
      <c r="C35" s="33"/>
      <c r="D35" s="33"/>
      <c r="E35" s="33"/>
      <c r="F35" s="33"/>
      <c r="G35" s="33"/>
      <c r="H35" s="33"/>
      <c r="I35" s="33"/>
      <c r="J35" s="33"/>
      <c r="K35" s="33"/>
      <c r="L35" s="33"/>
      <c r="M35" s="62"/>
      <c r="N35" s="62"/>
      <c r="O35" s="62"/>
      <c r="P35" s="62"/>
      <c r="Q35" s="62"/>
      <c r="R35" s="62"/>
      <c r="S35" s="62"/>
      <c r="T35" s="62"/>
      <c r="U35" s="62"/>
      <c r="V35" s="62"/>
      <c r="W35" s="62"/>
      <c r="X35" s="62"/>
      <c r="Y35" s="54"/>
      <c r="Z35" s="54"/>
      <c r="AA35" s="54"/>
      <c r="AB35" s="54"/>
      <c r="AC35" s="54"/>
      <c r="AD35" s="54"/>
      <c r="AE35" s="62"/>
      <c r="AF35" s="62"/>
      <c r="AG35" s="62"/>
    </row>
    <row r="36" spans="1:33" ht="73.5" customHeight="1" x14ac:dyDescent="0.25">
      <c r="A36" s="33"/>
      <c r="B36" s="33"/>
      <c r="C36" s="33"/>
      <c r="D36" s="33"/>
      <c r="E36" s="33"/>
      <c r="F36" s="33"/>
      <c r="G36" s="33"/>
      <c r="H36" s="33"/>
      <c r="I36" s="33"/>
      <c r="J36" s="33"/>
      <c r="K36" s="33"/>
      <c r="L36" s="33"/>
      <c r="M36" s="62"/>
      <c r="N36" s="62"/>
      <c r="O36" s="62"/>
      <c r="P36" s="62"/>
      <c r="Q36" s="62"/>
      <c r="R36" s="62"/>
      <c r="S36" s="62"/>
      <c r="T36" s="62"/>
      <c r="U36" s="62"/>
      <c r="V36" s="62"/>
      <c r="W36" s="62"/>
      <c r="X36" s="62"/>
      <c r="Y36" s="54"/>
      <c r="Z36" s="54"/>
      <c r="AA36" s="54"/>
      <c r="AB36" s="54"/>
      <c r="AC36" s="54"/>
      <c r="AD36" s="54"/>
      <c r="AE36" s="62"/>
      <c r="AF36" s="62"/>
      <c r="AG36" s="62"/>
    </row>
    <row r="37" spans="1:33" ht="73.5" customHeight="1" x14ac:dyDescent="0.25">
      <c r="A37" s="33"/>
      <c r="B37" s="33"/>
      <c r="C37" s="33"/>
      <c r="D37" s="33"/>
      <c r="E37" s="33"/>
      <c r="F37" s="33"/>
      <c r="G37" s="33"/>
      <c r="H37" s="33"/>
      <c r="I37" s="33"/>
      <c r="J37" s="33"/>
      <c r="K37" s="33"/>
      <c r="L37" s="33"/>
      <c r="M37" s="62"/>
      <c r="N37" s="62"/>
      <c r="O37" s="62"/>
      <c r="P37" s="62"/>
      <c r="Q37" s="62"/>
      <c r="R37" s="62"/>
      <c r="S37" s="62"/>
      <c r="T37" s="62"/>
      <c r="U37" s="62"/>
      <c r="V37" s="62"/>
      <c r="W37" s="62"/>
      <c r="X37" s="62"/>
      <c r="Y37" s="54"/>
      <c r="Z37" s="54"/>
      <c r="AA37" s="54"/>
      <c r="AB37" s="54"/>
      <c r="AC37" s="54"/>
      <c r="AD37" s="54"/>
      <c r="AE37" s="62"/>
      <c r="AF37" s="62"/>
      <c r="AG37" s="62"/>
    </row>
    <row r="38" spans="1:33" ht="73.5" customHeight="1" x14ac:dyDescent="0.25">
      <c r="A38" s="33"/>
      <c r="B38" s="33"/>
      <c r="C38" s="33"/>
      <c r="D38" s="33"/>
      <c r="E38" s="33"/>
      <c r="F38" s="33"/>
      <c r="G38" s="33"/>
      <c r="H38" s="33"/>
      <c r="I38" s="33"/>
      <c r="J38" s="33"/>
      <c r="K38" s="33"/>
      <c r="L38" s="33"/>
      <c r="M38" s="62"/>
      <c r="N38" s="62"/>
      <c r="O38" s="62"/>
      <c r="P38" s="62"/>
      <c r="Q38" s="62"/>
      <c r="R38" s="62"/>
      <c r="S38" s="62"/>
      <c r="T38" s="62"/>
      <c r="U38" s="62"/>
      <c r="V38" s="62"/>
      <c r="W38" s="62"/>
      <c r="X38" s="62"/>
      <c r="Y38" s="54"/>
      <c r="Z38" s="54"/>
      <c r="AA38" s="54"/>
      <c r="AB38" s="54"/>
      <c r="AC38" s="54"/>
      <c r="AD38" s="54"/>
      <c r="AE38" s="62"/>
      <c r="AF38" s="62"/>
      <c r="AG38" s="62"/>
    </row>
    <row r="39" spans="1:33" ht="73.5" customHeight="1" x14ac:dyDescent="0.25">
      <c r="A39" s="33"/>
      <c r="B39" s="33"/>
      <c r="C39" s="33"/>
      <c r="D39" s="33"/>
      <c r="E39" s="33"/>
      <c r="F39" s="33"/>
      <c r="G39" s="33"/>
      <c r="H39" s="33"/>
      <c r="I39" s="33"/>
      <c r="J39" s="33"/>
      <c r="K39" s="33"/>
      <c r="L39" s="33"/>
      <c r="M39" s="62"/>
      <c r="N39" s="62"/>
      <c r="O39" s="62"/>
      <c r="P39" s="62"/>
      <c r="Q39" s="62"/>
      <c r="R39" s="62"/>
      <c r="S39" s="62"/>
      <c r="T39" s="62"/>
      <c r="U39" s="62"/>
      <c r="V39" s="62"/>
      <c r="W39" s="62"/>
      <c r="X39" s="62"/>
      <c r="Y39" s="54"/>
      <c r="Z39" s="54"/>
      <c r="AA39" s="54"/>
      <c r="AB39" s="54"/>
      <c r="AC39" s="54"/>
      <c r="AD39" s="54"/>
      <c r="AE39" s="62"/>
      <c r="AF39" s="62"/>
      <c r="AG39" s="62"/>
    </row>
    <row r="40" spans="1:33" ht="73.5" customHeight="1" x14ac:dyDescent="0.25">
      <c r="A40" s="33"/>
      <c r="B40" s="33"/>
      <c r="C40" s="33"/>
      <c r="D40" s="33"/>
      <c r="E40" s="33"/>
      <c r="F40" s="33"/>
      <c r="G40" s="33"/>
      <c r="H40" s="33"/>
      <c r="I40" s="33"/>
      <c r="J40" s="33"/>
      <c r="K40" s="33"/>
      <c r="L40" s="33"/>
      <c r="M40" s="62"/>
      <c r="N40" s="62"/>
      <c r="O40" s="62"/>
      <c r="P40" s="62"/>
      <c r="Q40" s="62"/>
      <c r="R40" s="62"/>
      <c r="S40" s="62"/>
      <c r="T40" s="62"/>
      <c r="U40" s="62"/>
      <c r="V40" s="62"/>
      <c r="W40" s="62"/>
      <c r="X40" s="62"/>
      <c r="Y40" s="54"/>
      <c r="Z40" s="54"/>
      <c r="AA40" s="54"/>
      <c r="AB40" s="54"/>
      <c r="AC40" s="54"/>
      <c r="AD40" s="54"/>
      <c r="AE40" s="62"/>
      <c r="AF40" s="62"/>
      <c r="AG40" s="62"/>
    </row>
    <row r="41" spans="1:33" ht="178.5" customHeight="1" x14ac:dyDescent="0.25">
      <c r="A41" s="33"/>
      <c r="B41" s="33"/>
      <c r="C41" s="33"/>
      <c r="D41" s="33"/>
      <c r="E41" s="33"/>
      <c r="F41" s="33"/>
      <c r="G41" s="33"/>
      <c r="H41" s="33"/>
      <c r="I41" s="33"/>
      <c r="J41" s="33"/>
      <c r="K41" s="33"/>
      <c r="L41" s="33"/>
      <c r="M41" s="62"/>
      <c r="N41" s="62"/>
      <c r="O41" s="62"/>
      <c r="P41" s="62"/>
      <c r="Q41" s="62"/>
      <c r="R41" s="62"/>
      <c r="S41" s="62"/>
      <c r="T41" s="62"/>
      <c r="U41" s="62"/>
      <c r="V41" s="62"/>
      <c r="W41" s="62"/>
      <c r="X41" s="62"/>
      <c r="Y41" s="54"/>
      <c r="Z41" s="54"/>
      <c r="AA41" s="54"/>
      <c r="AB41" s="54"/>
      <c r="AC41" s="54"/>
      <c r="AD41" s="54"/>
      <c r="AE41" s="62"/>
      <c r="AF41" s="62"/>
      <c r="AG41" s="62"/>
    </row>
    <row r="42" spans="1:33" ht="73.5" customHeight="1" x14ac:dyDescent="0.25">
      <c r="A42" s="33"/>
      <c r="B42" s="33"/>
      <c r="C42" s="33"/>
      <c r="D42" s="33"/>
      <c r="E42" s="33"/>
      <c r="F42" s="33"/>
      <c r="G42" s="33"/>
      <c r="H42" s="33"/>
      <c r="I42" s="33"/>
      <c r="J42" s="33"/>
      <c r="K42" s="33"/>
      <c r="L42" s="33"/>
      <c r="M42" s="33"/>
      <c r="N42" s="33"/>
      <c r="O42" s="33"/>
      <c r="P42" s="33"/>
      <c r="Q42" s="33"/>
      <c r="R42" s="33"/>
      <c r="S42" s="33"/>
      <c r="T42" s="33"/>
      <c r="U42" s="33"/>
      <c r="V42" s="33"/>
      <c r="W42" s="33"/>
      <c r="X42" s="33"/>
      <c r="Y42" s="50"/>
      <c r="Z42" s="50"/>
      <c r="AA42" s="50"/>
      <c r="AB42" s="50"/>
      <c r="AC42" s="50"/>
      <c r="AD42" s="50"/>
      <c r="AE42" s="33"/>
      <c r="AF42" s="33"/>
      <c r="AG42" s="33"/>
    </row>
    <row r="43" spans="1:33" ht="73.5" customHeight="1" x14ac:dyDescent="0.25">
      <c r="A43" s="33"/>
      <c r="B43" s="33"/>
      <c r="C43" s="33"/>
      <c r="D43" s="33"/>
      <c r="E43" s="33"/>
      <c r="F43" s="33"/>
      <c r="G43" s="33"/>
      <c r="H43" s="33"/>
      <c r="I43" s="33"/>
      <c r="J43" s="33"/>
      <c r="K43" s="33"/>
      <c r="L43" s="33"/>
      <c r="M43" s="33"/>
      <c r="N43" s="33"/>
      <c r="O43" s="33"/>
      <c r="P43" s="33"/>
      <c r="Q43" s="33"/>
      <c r="R43" s="33"/>
      <c r="S43" s="33"/>
      <c r="T43" s="33"/>
      <c r="U43" s="33"/>
      <c r="V43" s="33"/>
      <c r="W43" s="33"/>
      <c r="X43" s="33"/>
      <c r="Y43" s="50"/>
      <c r="Z43" s="50"/>
      <c r="AA43" s="50"/>
      <c r="AB43" s="50"/>
      <c r="AC43" s="50"/>
      <c r="AD43" s="50"/>
      <c r="AE43" s="33"/>
      <c r="AF43" s="33"/>
      <c r="AG43" s="33"/>
    </row>
    <row r="44" spans="1:33" ht="73.5" customHeight="1" x14ac:dyDescent="0.25">
      <c r="A44" s="33"/>
      <c r="B44" s="33"/>
      <c r="C44" s="33"/>
      <c r="D44" s="33"/>
      <c r="E44" s="33"/>
      <c r="F44" s="33"/>
      <c r="G44" s="33"/>
      <c r="H44" s="33"/>
      <c r="I44" s="33"/>
      <c r="J44" s="33"/>
      <c r="K44" s="33"/>
      <c r="L44" s="33"/>
      <c r="M44" s="33"/>
      <c r="N44" s="33"/>
      <c r="O44" s="33"/>
      <c r="P44" s="33"/>
      <c r="Q44" s="33"/>
      <c r="R44" s="33"/>
      <c r="S44" s="33"/>
      <c r="T44" s="33"/>
      <c r="U44" s="33"/>
      <c r="V44" s="33"/>
      <c r="W44" s="33"/>
      <c r="X44" s="33"/>
      <c r="Y44" s="50"/>
      <c r="Z44" s="50"/>
      <c r="AA44" s="50"/>
      <c r="AB44" s="50"/>
      <c r="AC44" s="50"/>
      <c r="AD44" s="50"/>
      <c r="AE44" s="33"/>
      <c r="AF44" s="33"/>
      <c r="AG44" s="33"/>
    </row>
    <row r="45" spans="1:33" ht="73.5" customHeight="1" x14ac:dyDescent="0.25">
      <c r="A45" s="33"/>
      <c r="B45" s="33"/>
      <c r="C45" s="33"/>
      <c r="D45" s="33"/>
      <c r="E45" s="33"/>
      <c r="F45" s="33"/>
      <c r="G45" s="33"/>
      <c r="H45" s="33"/>
      <c r="I45" s="33"/>
      <c r="J45" s="33"/>
      <c r="K45" s="33"/>
      <c r="L45" s="33"/>
      <c r="M45" s="33"/>
      <c r="N45" s="33"/>
      <c r="O45" s="33"/>
      <c r="P45" s="33"/>
      <c r="Q45" s="33"/>
      <c r="R45" s="33"/>
      <c r="S45" s="33"/>
      <c r="T45" s="33"/>
      <c r="U45" s="33"/>
      <c r="V45" s="33"/>
      <c r="W45" s="33"/>
      <c r="X45" s="33"/>
      <c r="Y45" s="50"/>
      <c r="Z45" s="50"/>
      <c r="AA45" s="50"/>
      <c r="AB45" s="50"/>
      <c r="AC45" s="50"/>
      <c r="AD45" s="50"/>
      <c r="AE45" s="33"/>
      <c r="AF45" s="33"/>
      <c r="AG45" s="33"/>
    </row>
    <row r="46" spans="1:33" ht="73.5" customHeight="1" x14ac:dyDescent="0.25">
      <c r="A46" s="33"/>
      <c r="B46" s="33"/>
      <c r="C46" s="33"/>
      <c r="D46" s="33"/>
      <c r="E46" s="33"/>
      <c r="F46" s="33"/>
      <c r="G46" s="33"/>
      <c r="H46" s="33"/>
      <c r="I46" s="33"/>
      <c r="J46" s="33"/>
      <c r="K46" s="33"/>
      <c r="L46" s="33"/>
      <c r="M46" s="33"/>
      <c r="N46" s="33"/>
      <c r="O46" s="33"/>
      <c r="P46" s="33"/>
      <c r="Q46" s="33"/>
      <c r="R46" s="33"/>
      <c r="S46" s="33"/>
      <c r="T46" s="33"/>
      <c r="U46" s="33"/>
      <c r="V46" s="33"/>
      <c r="W46" s="33"/>
      <c r="X46" s="33"/>
      <c r="Y46" s="50"/>
      <c r="Z46" s="50"/>
      <c r="AA46" s="50"/>
      <c r="AB46" s="50"/>
      <c r="AC46" s="50"/>
      <c r="AD46" s="50"/>
      <c r="AE46" s="33"/>
      <c r="AF46" s="33"/>
      <c r="AG46" s="33"/>
    </row>
    <row r="47" spans="1:33" ht="73.5" customHeight="1" x14ac:dyDescent="0.25">
      <c r="A47" s="33"/>
      <c r="B47" s="33"/>
      <c r="C47" s="33"/>
      <c r="D47" s="33"/>
      <c r="E47" s="33"/>
      <c r="F47" s="33"/>
      <c r="G47" s="33"/>
      <c r="H47" s="33"/>
      <c r="I47" s="33"/>
      <c r="J47" s="33"/>
      <c r="K47" s="33"/>
      <c r="L47" s="33"/>
      <c r="M47" s="33"/>
      <c r="N47" s="33"/>
      <c r="O47" s="33"/>
      <c r="P47" s="33"/>
      <c r="Q47" s="33"/>
      <c r="R47" s="33"/>
      <c r="S47" s="33"/>
      <c r="T47" s="33"/>
      <c r="U47" s="33"/>
      <c r="V47" s="33"/>
      <c r="W47" s="33"/>
      <c r="X47" s="33"/>
      <c r="Y47" s="50"/>
      <c r="Z47" s="50"/>
      <c r="AA47" s="50"/>
      <c r="AB47" s="50"/>
      <c r="AC47" s="50"/>
      <c r="AD47" s="50"/>
      <c r="AE47" s="33"/>
      <c r="AF47" s="33"/>
      <c r="AG47" s="33"/>
    </row>
    <row r="48" spans="1:33" ht="73.5" customHeight="1" x14ac:dyDescent="0.25">
      <c r="A48" s="33"/>
      <c r="B48" s="33"/>
      <c r="C48" s="33"/>
      <c r="D48" s="33"/>
      <c r="E48" s="33"/>
      <c r="F48" s="33"/>
      <c r="G48" s="33"/>
      <c r="H48" s="33"/>
      <c r="I48" s="33"/>
      <c r="J48" s="33"/>
      <c r="K48" s="33"/>
      <c r="L48" s="33"/>
      <c r="M48" s="33"/>
      <c r="N48" s="33"/>
      <c r="O48" s="33"/>
      <c r="P48" s="33"/>
      <c r="Q48" s="33"/>
      <c r="R48" s="33"/>
      <c r="S48" s="33"/>
      <c r="T48" s="33"/>
      <c r="U48" s="33"/>
      <c r="V48" s="33"/>
      <c r="W48" s="33"/>
      <c r="X48" s="33"/>
      <c r="Y48" s="50"/>
      <c r="Z48" s="50"/>
      <c r="AA48" s="50"/>
      <c r="AB48" s="50"/>
      <c r="AC48" s="50"/>
      <c r="AD48" s="50"/>
      <c r="AE48" s="33"/>
      <c r="AF48" s="33"/>
      <c r="AG48" s="33"/>
    </row>
    <row r="49" spans="1:37" ht="73.5" customHeight="1" x14ac:dyDescent="0.25">
      <c r="A49" s="33"/>
      <c r="B49" s="33"/>
      <c r="C49" s="33"/>
      <c r="D49" s="33"/>
      <c r="E49" s="33"/>
      <c r="F49" s="33"/>
      <c r="G49" s="33"/>
      <c r="H49" s="33"/>
      <c r="I49" s="33"/>
      <c r="J49" s="33"/>
      <c r="K49" s="33"/>
      <c r="L49" s="33"/>
      <c r="M49" s="33"/>
      <c r="N49" s="33"/>
      <c r="O49" s="33"/>
      <c r="P49" s="33"/>
      <c r="Q49" s="33"/>
      <c r="R49" s="33"/>
      <c r="S49" s="33"/>
      <c r="T49" s="33"/>
      <c r="U49" s="33"/>
      <c r="V49" s="33"/>
      <c r="W49" s="33"/>
      <c r="X49" s="33"/>
      <c r="Y49" s="50"/>
      <c r="Z49" s="50"/>
      <c r="AA49" s="50"/>
      <c r="AB49" s="50"/>
      <c r="AC49" s="50"/>
      <c r="AD49" s="50"/>
      <c r="AE49" s="33"/>
      <c r="AF49" s="33"/>
      <c r="AG49" s="33"/>
    </row>
    <row r="50" spans="1:37" ht="73.5" customHeight="1" x14ac:dyDescent="0.25">
      <c r="A50" s="33"/>
      <c r="B50" s="33"/>
      <c r="C50" s="33"/>
      <c r="D50" s="33"/>
      <c r="E50" s="33"/>
      <c r="F50" s="33"/>
      <c r="G50" s="33"/>
      <c r="H50" s="33"/>
      <c r="I50" s="33"/>
      <c r="J50" s="33"/>
      <c r="K50" s="33"/>
      <c r="L50" s="33"/>
      <c r="M50" s="33"/>
      <c r="N50" s="33"/>
      <c r="O50" s="33"/>
      <c r="P50" s="33"/>
      <c r="Q50" s="33"/>
      <c r="R50" s="33"/>
      <c r="S50" s="33"/>
      <c r="T50" s="33"/>
      <c r="U50" s="33"/>
      <c r="V50" s="33"/>
      <c r="W50" s="33"/>
      <c r="X50" s="33"/>
      <c r="Y50" s="50"/>
      <c r="Z50" s="50"/>
      <c r="AA50" s="50"/>
      <c r="AB50" s="50"/>
      <c r="AC50" s="50"/>
      <c r="AD50" s="50"/>
      <c r="AE50" s="33"/>
      <c r="AF50" s="33"/>
      <c r="AG50" s="33"/>
    </row>
    <row r="51" spans="1:37" ht="73.5" customHeight="1" x14ac:dyDescent="0.25">
      <c r="A51" s="33"/>
      <c r="B51" s="33"/>
      <c r="C51" s="33"/>
      <c r="D51" s="33"/>
      <c r="E51" s="33"/>
      <c r="F51" s="33"/>
      <c r="G51" s="33"/>
      <c r="H51" s="33"/>
      <c r="I51" s="33"/>
      <c r="J51" s="33"/>
      <c r="K51" s="33"/>
      <c r="L51" s="33"/>
      <c r="M51" s="33"/>
      <c r="N51" s="33"/>
      <c r="O51" s="33"/>
      <c r="P51" s="33"/>
      <c r="Q51" s="33"/>
      <c r="R51" s="33"/>
      <c r="S51" s="33"/>
      <c r="T51" s="33"/>
      <c r="U51" s="33"/>
      <c r="V51" s="33"/>
      <c r="W51" s="33"/>
      <c r="X51" s="33"/>
      <c r="Y51" s="50"/>
      <c r="Z51" s="50"/>
      <c r="AA51" s="50"/>
      <c r="AB51" s="50"/>
      <c r="AC51" s="50"/>
      <c r="AD51" s="50"/>
      <c r="AE51" s="33"/>
      <c r="AF51" s="33"/>
      <c r="AG51" s="33"/>
    </row>
    <row r="52" spans="1:37" ht="409.5" customHeight="1" x14ac:dyDescent="0.25">
      <c r="A52" s="33"/>
      <c r="B52" s="33"/>
      <c r="C52" s="33"/>
      <c r="D52" s="33"/>
      <c r="E52" s="33"/>
      <c r="F52" s="33"/>
      <c r="G52" s="33"/>
      <c r="H52" s="33"/>
      <c r="I52" s="33"/>
      <c r="J52" s="33"/>
      <c r="K52" s="33"/>
      <c r="L52" s="33"/>
      <c r="M52" s="33"/>
      <c r="N52" s="33"/>
      <c r="O52" s="33"/>
      <c r="P52" s="33"/>
      <c r="Q52" s="33"/>
      <c r="R52" s="161"/>
      <c r="S52" s="33"/>
      <c r="T52" s="33"/>
      <c r="U52" s="33"/>
      <c r="V52" s="33"/>
      <c r="W52" s="33"/>
      <c r="X52" s="33"/>
      <c r="Y52" s="50"/>
      <c r="Z52" s="50"/>
      <c r="AA52" s="50"/>
      <c r="AB52" s="50"/>
      <c r="AC52" s="50"/>
      <c r="AD52" s="50"/>
      <c r="AE52" s="33"/>
      <c r="AF52" s="33"/>
      <c r="AG52" s="33"/>
    </row>
    <row r="53" spans="1:37" ht="141" customHeight="1" x14ac:dyDescent="0.25">
      <c r="A53" s="33"/>
      <c r="B53" s="33"/>
      <c r="C53" s="33"/>
      <c r="D53" s="33"/>
      <c r="E53" s="33"/>
      <c r="F53" s="33"/>
      <c r="G53" s="33"/>
      <c r="H53" s="33"/>
      <c r="I53" s="33"/>
      <c r="J53" s="33"/>
      <c r="K53" s="33"/>
      <c r="L53" s="33"/>
      <c r="M53" s="33"/>
      <c r="N53" s="33"/>
      <c r="O53" s="33"/>
      <c r="P53" s="33"/>
      <c r="Q53" s="33"/>
      <c r="R53" s="33"/>
      <c r="S53" s="33"/>
      <c r="T53" s="33"/>
      <c r="U53" s="33"/>
      <c r="V53" s="33"/>
      <c r="W53" s="33"/>
      <c r="X53" s="33"/>
      <c r="Y53" s="50"/>
      <c r="Z53" s="50"/>
      <c r="AA53" s="50"/>
      <c r="AB53" s="50"/>
      <c r="AC53" s="50"/>
      <c r="AD53" s="50"/>
      <c r="AE53" s="33"/>
      <c r="AF53" s="33"/>
      <c r="AG53" s="33"/>
    </row>
    <row r="54" spans="1:37" ht="141" customHeight="1" x14ac:dyDescent="0.25">
      <c r="A54" s="33"/>
      <c r="B54" s="33"/>
      <c r="C54" s="33"/>
      <c r="D54" s="33"/>
      <c r="E54" s="33"/>
      <c r="F54" s="33"/>
      <c r="G54" s="33"/>
      <c r="H54" s="33"/>
      <c r="I54" s="33"/>
      <c r="J54" s="33"/>
      <c r="K54" s="33"/>
      <c r="L54" s="33"/>
      <c r="M54" s="33"/>
      <c r="N54" s="33"/>
      <c r="O54" s="33"/>
      <c r="P54" s="33"/>
      <c r="Q54" s="33"/>
      <c r="R54" s="33"/>
      <c r="S54" s="33"/>
      <c r="T54" s="33"/>
      <c r="U54" s="33"/>
      <c r="V54" s="33"/>
      <c r="W54" s="33"/>
      <c r="X54" s="33"/>
      <c r="Y54" s="50"/>
      <c r="Z54" s="50"/>
      <c r="AA54" s="50"/>
      <c r="AB54" s="50"/>
      <c r="AC54" s="50"/>
      <c r="AD54" s="50"/>
      <c r="AE54" s="33"/>
      <c r="AF54" s="33"/>
      <c r="AG54" s="33"/>
    </row>
    <row r="55" spans="1:37" ht="141" customHeight="1" x14ac:dyDescent="0.25">
      <c r="A55" s="33"/>
      <c r="B55" s="33"/>
      <c r="C55" s="33"/>
      <c r="D55" s="33"/>
      <c r="E55" s="33"/>
      <c r="F55" s="33"/>
      <c r="G55" s="33"/>
      <c r="H55" s="33"/>
      <c r="I55" s="33"/>
      <c r="J55" s="33"/>
      <c r="K55" s="33"/>
      <c r="L55" s="33"/>
      <c r="M55" s="33"/>
      <c r="N55" s="33"/>
      <c r="O55" s="33"/>
      <c r="P55" s="33"/>
      <c r="Q55" s="33"/>
      <c r="R55" s="33"/>
      <c r="S55" s="33"/>
      <c r="T55" s="33"/>
      <c r="U55" s="33"/>
      <c r="V55" s="33"/>
      <c r="W55" s="33"/>
      <c r="X55" s="33"/>
      <c r="Y55" s="50"/>
      <c r="Z55" s="50"/>
      <c r="AA55" s="50"/>
      <c r="AB55" s="50"/>
      <c r="AC55" s="50"/>
      <c r="AD55" s="50"/>
      <c r="AE55" s="33"/>
      <c r="AF55" s="33"/>
      <c r="AG55" s="33"/>
    </row>
    <row r="56" spans="1:37" ht="162" customHeight="1" x14ac:dyDescent="1.35">
      <c r="A56" s="117"/>
      <c r="B56" s="117"/>
      <c r="C56" s="117"/>
      <c r="D56" s="135"/>
      <c r="E56" s="136"/>
      <c r="F56" s="137"/>
      <c r="G56" s="138"/>
      <c r="H56" s="135"/>
      <c r="I56" s="135"/>
      <c r="J56" s="33"/>
      <c r="K56" s="33"/>
      <c r="L56" s="33"/>
      <c r="M56" s="33"/>
      <c r="N56" s="33"/>
      <c r="O56" s="33"/>
      <c r="P56" s="33"/>
      <c r="Q56" s="33"/>
      <c r="R56" s="33"/>
      <c r="S56" s="33"/>
      <c r="T56" s="33"/>
      <c r="U56" s="33"/>
      <c r="V56" s="33"/>
      <c r="W56" s="33"/>
      <c r="X56" s="33"/>
      <c r="Y56" s="50"/>
      <c r="Z56" s="50"/>
      <c r="AA56" s="50"/>
      <c r="AB56" s="50"/>
      <c r="AC56" s="50"/>
      <c r="AD56" s="50"/>
      <c r="AE56" s="33"/>
      <c r="AF56" s="33"/>
      <c r="AG56" s="33"/>
    </row>
    <row r="57" spans="1:37" ht="178.5" customHeight="1" x14ac:dyDescent="0.25">
      <c r="A57" s="139"/>
      <c r="B57" s="139"/>
      <c r="C57" s="140" t="s">
        <v>30</v>
      </c>
      <c r="D57" s="140" t="s">
        <v>25</v>
      </c>
      <c r="E57" s="128" t="s">
        <v>11</v>
      </c>
      <c r="F57" s="128" t="s">
        <v>34</v>
      </c>
      <c r="G57" s="128" t="s">
        <v>38</v>
      </c>
      <c r="H57" s="128" t="s">
        <v>17</v>
      </c>
      <c r="I57" s="133"/>
      <c r="J57" s="260" t="str">
        <f>IF(AND(Pivot_Heatmap!X3=1,Pivot_Heatmap!Z3&lt;&gt;0),Pivot_Heatmap!Y3," ")&amp;IF(AND(Pivot_Heatmap!X3=1,Pivot_Heatmap!Z3&lt;&gt;0)," | "&amp;Pivot_Heatmap!Z3,"")</f>
        <v>Adidas-Sneakers | 438</v>
      </c>
      <c r="K57" s="260"/>
      <c r="L57" s="260"/>
      <c r="M57" s="260"/>
      <c r="N57" s="167"/>
      <c r="O57" s="167"/>
      <c r="P57" s="167"/>
      <c r="Q57" s="33"/>
      <c r="R57" s="33"/>
      <c r="S57" s="247"/>
      <c r="T57" s="247"/>
      <c r="U57" s="247"/>
      <c r="V57" s="33"/>
      <c r="W57" s="33"/>
      <c r="X57" s="33"/>
      <c r="Y57" s="50"/>
      <c r="Z57" s="50"/>
      <c r="AA57" s="50"/>
      <c r="AB57" s="50"/>
      <c r="AC57" s="50"/>
      <c r="AD57" s="50"/>
      <c r="AE57" s="68"/>
      <c r="AF57" s="33"/>
      <c r="AG57" s="68"/>
      <c r="AH57" s="253"/>
      <c r="AI57" s="253"/>
      <c r="AJ57" s="253"/>
      <c r="AK57" s="253"/>
    </row>
    <row r="58" spans="1:37" ht="178.5" customHeight="1" x14ac:dyDescent="0.25">
      <c r="A58" s="117"/>
      <c r="B58" s="128" t="s">
        <v>12</v>
      </c>
      <c r="C58" s="152">
        <f>Pivot_Heatmap!B29</f>
        <v>50183.710000000006</v>
      </c>
      <c r="D58" s="152">
        <f>Pivot_Heatmap!C29</f>
        <v>54219.250000000007</v>
      </c>
      <c r="E58" s="152">
        <f>Pivot_Heatmap!D29</f>
        <v>33979.630000000005</v>
      </c>
      <c r="F58" s="152">
        <f>Pivot_Heatmap!E29</f>
        <v>41299.510000000009</v>
      </c>
      <c r="G58" s="152">
        <f>Pivot_Heatmap!F29</f>
        <v>37884.750000000015</v>
      </c>
      <c r="H58" s="152">
        <f>Pivot_Heatmap!G29</f>
        <v>53257.609999999993</v>
      </c>
      <c r="I58" s="152"/>
      <c r="J58" s="242" t="str">
        <f>IF(AND(Pivot_Heatmap!X4=2,Pivot_Heatmap!Z4&lt;&gt;0),Pivot_Heatmap!Y4," ")&amp;IF(AND(Pivot_Heatmap!X4=2,Pivot_Heatmap!Z4&lt;&gt;0)," | "&amp;Pivot_Heatmap!Z4,"")</f>
        <v>Skechers-Running | 398</v>
      </c>
      <c r="K58" s="242"/>
      <c r="L58" s="242"/>
      <c r="M58" s="242"/>
      <c r="N58" s="168"/>
      <c r="O58" s="168"/>
      <c r="P58" s="168"/>
      <c r="Q58" s="33"/>
      <c r="R58" s="33"/>
      <c r="S58" s="248"/>
      <c r="T58" s="248"/>
      <c r="U58" s="248"/>
      <c r="V58" s="33"/>
      <c r="W58" s="33"/>
      <c r="X58" s="33"/>
      <c r="Y58" s="50"/>
      <c r="Z58" s="50"/>
      <c r="AA58" s="50"/>
      <c r="AB58" s="50"/>
      <c r="AC58" s="50"/>
      <c r="AD58" s="50"/>
      <c r="AE58" s="69"/>
      <c r="AF58" s="69"/>
      <c r="AG58" s="33"/>
      <c r="AH58" s="10"/>
      <c r="AI58" s="45"/>
      <c r="AJ58" s="45"/>
    </row>
    <row r="59" spans="1:37" ht="178.5" customHeight="1" x14ac:dyDescent="0.25">
      <c r="A59" s="139"/>
      <c r="B59" s="140" t="s">
        <v>26</v>
      </c>
      <c r="C59" s="152">
        <f>Pivot_Heatmap!B30</f>
        <v>34745.35</v>
      </c>
      <c r="D59" s="152">
        <f>Pivot_Heatmap!C30</f>
        <v>39336.620000000003</v>
      </c>
      <c r="E59" s="152">
        <f>Pivot_Heatmap!D30</f>
        <v>26312.95</v>
      </c>
      <c r="F59" s="152">
        <f>Pivot_Heatmap!E30</f>
        <v>41021.06</v>
      </c>
      <c r="G59" s="152">
        <f>Pivot_Heatmap!F30</f>
        <v>50502.639999999985</v>
      </c>
      <c r="H59" s="152">
        <f>Pivot_Heatmap!G30</f>
        <v>31317.160000000003</v>
      </c>
      <c r="I59" s="152"/>
      <c r="J59" s="243" t="str">
        <f>IF(AND(Pivot_Heatmap!X5=3,Pivot_Heatmap!Z5&lt;&gt;0),Pivot_Heatmap!Y5," ")&amp;IF(AND(Pivot_Heatmap!X5=3,Pivot_Heatmap!Z5&lt;&gt;0)," | "&amp;Pivot_Heatmap!Z5,"")</f>
        <v>New Balance-Boots | 386</v>
      </c>
      <c r="K59" s="243"/>
      <c r="L59" s="243"/>
      <c r="M59" s="243"/>
      <c r="N59" s="169"/>
      <c r="O59" s="169"/>
      <c r="P59" s="169"/>
      <c r="Q59" s="141"/>
      <c r="R59" s="141"/>
      <c r="S59" s="249"/>
      <c r="T59" s="249"/>
      <c r="U59" s="249"/>
      <c r="V59" s="63"/>
      <c r="W59" s="63"/>
      <c r="X59" s="63"/>
      <c r="Y59" s="57"/>
      <c r="Z59" s="57"/>
      <c r="AA59" s="57"/>
      <c r="AB59" s="57"/>
      <c r="AC59" s="57"/>
      <c r="AD59" s="57"/>
      <c r="AE59" s="70"/>
      <c r="AF59" s="70"/>
      <c r="AG59" s="63"/>
      <c r="AH59" s="10"/>
    </row>
    <row r="60" spans="1:37" ht="178.5" customHeight="1" x14ac:dyDescent="0.25">
      <c r="A60" s="117"/>
      <c r="B60" s="128" t="s">
        <v>31</v>
      </c>
      <c r="C60" s="152">
        <f>Pivot_Heatmap!B31</f>
        <v>38554.060000000012</v>
      </c>
      <c r="D60" s="152">
        <f>Pivot_Heatmap!C31</f>
        <v>50619.07</v>
      </c>
      <c r="E60" s="152">
        <f>Pivot_Heatmap!D31</f>
        <v>29066.219999999998</v>
      </c>
      <c r="F60" s="152">
        <f>Pivot_Heatmap!E31</f>
        <v>40568.22</v>
      </c>
      <c r="G60" s="152">
        <f>Pivot_Heatmap!F31</f>
        <v>40580.980000000018</v>
      </c>
      <c r="H60" s="152">
        <f>Pivot_Heatmap!G31</f>
        <v>47382.46</v>
      </c>
      <c r="I60" s="152"/>
      <c r="J60" s="244" t="str">
        <f>IF(AND(Pivot_Heatmap!X6=4,Pivot_Heatmap!Z6&lt;&gt;0),Pivot_Heatmap!Y6," ")&amp;IF(AND(Pivot_Heatmap!X6=4,Pivot_Heatmap!Z6&lt;&gt;0)," | "&amp;Pivot_Heatmap!Z6,"")</f>
        <v>Puma-Formal | 374</v>
      </c>
      <c r="K60" s="244"/>
      <c r="L60" s="244"/>
      <c r="M60" s="244"/>
      <c r="N60" s="170"/>
      <c r="O60" s="170"/>
      <c r="P60" s="170"/>
      <c r="Q60" s="80"/>
      <c r="R60" s="80"/>
      <c r="S60" s="258"/>
      <c r="T60" s="258"/>
      <c r="U60" s="258"/>
      <c r="V60" s="80"/>
      <c r="W60" s="80"/>
      <c r="X60" s="80"/>
      <c r="Y60" s="55"/>
      <c r="Z60" s="55"/>
      <c r="AA60" s="55"/>
      <c r="AB60" s="55"/>
      <c r="AC60" s="55"/>
      <c r="AD60" s="55"/>
      <c r="AE60" s="71"/>
      <c r="AF60" s="71"/>
      <c r="AG60" s="80"/>
      <c r="AH60" s="10"/>
    </row>
    <row r="61" spans="1:37" ht="178.5" customHeight="1" x14ac:dyDescent="0.25">
      <c r="A61" s="117"/>
      <c r="B61" s="128" t="s">
        <v>22</v>
      </c>
      <c r="C61" s="152">
        <f>Pivot_Heatmap!B32</f>
        <v>37825.119999999995</v>
      </c>
      <c r="D61" s="152">
        <f>Pivot_Heatmap!C32</f>
        <v>38833.170000000006</v>
      </c>
      <c r="E61" s="152">
        <f>Pivot_Heatmap!D32</f>
        <v>29991.47</v>
      </c>
      <c r="F61" s="152">
        <f>Pivot_Heatmap!E32</f>
        <v>31821.069999999996</v>
      </c>
      <c r="G61" s="152">
        <f>Pivot_Heatmap!F32</f>
        <v>37668.19</v>
      </c>
      <c r="H61" s="152">
        <f>Pivot_Heatmap!G32</f>
        <v>54421.170000000013</v>
      </c>
      <c r="I61" s="152"/>
      <c r="J61" s="245" t="str">
        <f>IF(AND(Pivot_Heatmap!X7=5,Pivot_Heatmap!Z7&lt;&gt;0),Pivot_Heatmap!Y7," ")&amp;IF(AND(Pivot_Heatmap!X7=5,Pivot_Heatmap!Z7&lt;&gt;0)," | "&amp;Pivot_Heatmap!Z7,"")</f>
        <v>Reebok-Casual | 370</v>
      </c>
      <c r="K61" s="245"/>
      <c r="L61" s="245"/>
      <c r="M61" s="245"/>
      <c r="N61" s="171"/>
      <c r="O61" s="171"/>
      <c r="P61" s="171"/>
      <c r="Q61" s="80"/>
      <c r="R61" s="80"/>
      <c r="S61" s="259"/>
      <c r="T61" s="259"/>
      <c r="U61" s="259"/>
      <c r="V61" s="80"/>
      <c r="W61" s="80"/>
      <c r="X61" s="80"/>
      <c r="Y61" s="55"/>
      <c r="Z61" s="55"/>
      <c r="AA61" s="55"/>
      <c r="AB61" s="55"/>
      <c r="AC61" s="55"/>
      <c r="AD61" s="55"/>
      <c r="AE61" s="71"/>
      <c r="AF61" s="71"/>
      <c r="AG61" s="80"/>
      <c r="AH61" s="10"/>
    </row>
    <row r="62" spans="1:37" ht="178.5" customHeight="1" x14ac:dyDescent="0.25">
      <c r="A62" s="33"/>
      <c r="B62" s="151" t="s">
        <v>55</v>
      </c>
      <c r="C62" s="152">
        <f>Pivot_Heatmap!B33</f>
        <v>63679.1</v>
      </c>
      <c r="D62" s="152">
        <f>Pivot_Heatmap!C33</f>
        <v>50486.649999999987</v>
      </c>
      <c r="E62" s="152">
        <f>Pivot_Heatmap!D33</f>
        <v>47911.530000000006</v>
      </c>
      <c r="F62" s="152">
        <f>Pivot_Heatmap!E33</f>
        <v>43394.23</v>
      </c>
      <c r="G62" s="152">
        <f>Pivot_Heatmap!F33</f>
        <v>39802.639999999992</v>
      </c>
      <c r="H62" s="152">
        <f>Pivot_Heatmap!G33</f>
        <v>39297.290000000015</v>
      </c>
      <c r="I62" s="152"/>
      <c r="J62" s="246" t="str">
        <f>IF(AND(Pivot_Heatmap!X8=6,Pivot_Heatmap!Z8&lt;&gt;0),Pivot_Heatmap!Y8," ")&amp;IF(AND(Pivot_Heatmap!X8=6,Pivot_Heatmap!Z8&lt;&gt;0)," | "&amp;Pivot_Heatmap!Z8,"")</f>
        <v>Nike-Sneakers | 354</v>
      </c>
      <c r="K62" s="246"/>
      <c r="L62" s="246"/>
      <c r="M62" s="246"/>
      <c r="N62" s="172"/>
      <c r="O62" s="172"/>
      <c r="P62" s="172"/>
      <c r="Q62" s="80"/>
      <c r="R62" s="80"/>
      <c r="S62" s="247"/>
      <c r="T62" s="247"/>
      <c r="U62" s="247"/>
      <c r="V62" s="80"/>
      <c r="W62" s="80"/>
      <c r="X62" s="80"/>
      <c r="Y62" s="55"/>
      <c r="Z62" s="55"/>
      <c r="AA62" s="55"/>
      <c r="AB62" s="55"/>
      <c r="AC62" s="55"/>
      <c r="AD62" s="55"/>
      <c r="AE62" s="71"/>
      <c r="AF62" s="71"/>
      <c r="AG62" s="80"/>
      <c r="AI62" s="9"/>
      <c r="AJ62" s="9"/>
    </row>
    <row r="63" spans="1:37" ht="178.5" customHeight="1" x14ac:dyDescent="1.1000000000000001">
      <c r="A63" s="142"/>
      <c r="B63" s="128" t="s">
        <v>35</v>
      </c>
      <c r="C63" s="152">
        <f>Pivot_Heatmap!B34</f>
        <v>32051.7</v>
      </c>
      <c r="D63" s="152">
        <f>Pivot_Heatmap!C34</f>
        <v>28136.92</v>
      </c>
      <c r="E63" s="152">
        <f>Pivot_Heatmap!D34</f>
        <v>25508.35</v>
      </c>
      <c r="F63" s="152">
        <f>Pivot_Heatmap!E34</f>
        <v>40951.69000000001</v>
      </c>
      <c r="G63" s="152">
        <f>Pivot_Heatmap!F34</f>
        <v>32387.739999999998</v>
      </c>
      <c r="H63" s="152">
        <f>Pivot_Heatmap!G34</f>
        <v>44849.349999999984</v>
      </c>
      <c r="I63" s="152"/>
      <c r="J63" s="261" t="str">
        <f>IF(AND(Pivot_Heatmap!X9=7,Pivot_Heatmap!Z9&lt;&gt;0),Pivot_Heatmap!Y9," ")&amp;IF(AND(Pivot_Heatmap!X9=7,Pivot_Heatmap!Z9&lt;&gt;0)," | "&amp;Pivot_Heatmap!Z9,"")</f>
        <v>New Balance-Formal | 351</v>
      </c>
      <c r="K63" s="261"/>
      <c r="L63" s="261"/>
      <c r="M63" s="261"/>
      <c r="N63" s="173"/>
      <c r="O63" s="173"/>
      <c r="P63" s="173"/>
      <c r="Q63" s="80"/>
      <c r="R63" s="80"/>
      <c r="S63" s="247"/>
      <c r="T63" s="247"/>
      <c r="U63" s="247"/>
      <c r="V63" s="80"/>
      <c r="W63" s="80"/>
      <c r="X63" s="80"/>
      <c r="Y63" s="55"/>
      <c r="Z63" s="55"/>
      <c r="AA63" s="55"/>
      <c r="AB63" s="55"/>
      <c r="AC63" s="55"/>
      <c r="AD63" s="55"/>
      <c r="AE63" s="71"/>
      <c r="AF63" s="71"/>
      <c r="AG63" s="80"/>
    </row>
    <row r="64" spans="1:37" ht="178.5" customHeight="1" x14ac:dyDescent="0.25">
      <c r="A64" s="143"/>
      <c r="B64" s="143"/>
      <c r="C64" s="144"/>
      <c r="D64" s="145"/>
      <c r="E64" s="135"/>
      <c r="F64" s="117"/>
      <c r="G64" s="33"/>
      <c r="H64" s="33"/>
      <c r="I64" s="33"/>
      <c r="J64" s="252" t="str">
        <f>IF(AND(Pivot_Heatmap!X10=8,Pivot_Heatmap!Z10&lt;&gt;0),Pivot_Heatmap!Y10," ")&amp;IF(AND(Pivot_Heatmap!X10=8,Pivot_Heatmap!Z10&lt;&gt;0)," | "&amp;Pivot_Heatmap!Z10,"")</f>
        <v>Skechers-Boots | 343</v>
      </c>
      <c r="K64" s="252"/>
      <c r="L64" s="252"/>
      <c r="M64" s="252"/>
      <c r="N64" s="174"/>
      <c r="O64" s="174"/>
      <c r="P64" s="174"/>
      <c r="Q64" s="33"/>
      <c r="R64" s="33"/>
      <c r="S64" s="247"/>
      <c r="T64" s="247"/>
      <c r="U64" s="247"/>
      <c r="V64" s="80"/>
      <c r="W64" s="80"/>
      <c r="X64" s="80"/>
      <c r="Y64" s="55"/>
      <c r="Z64" s="55"/>
      <c r="AA64" s="55"/>
      <c r="AB64" s="55"/>
      <c r="AC64" s="55"/>
      <c r="AD64" s="55"/>
      <c r="AE64" s="71"/>
      <c r="AF64" s="71"/>
      <c r="AG64" s="80"/>
    </row>
    <row r="65" spans="1:33" ht="178.5" customHeight="1" x14ac:dyDescent="0.25">
      <c r="A65" s="143"/>
      <c r="B65" s="240"/>
      <c r="C65" s="240"/>
      <c r="D65" s="240"/>
      <c r="E65" s="240"/>
      <c r="F65" s="117"/>
      <c r="G65" s="33"/>
      <c r="H65" s="33"/>
      <c r="I65" s="33"/>
      <c r="J65" s="257" t="str">
        <f>IF(AND(Pivot_Heatmap!X11=9,Pivot_Heatmap!Z11&lt;&gt;0),Pivot_Heatmap!Y11," ")&amp;IF(AND(Pivot_Heatmap!X11=9,Pivot_Heatmap!Z11&lt;&gt;0)," | "&amp;Pivot_Heatmap!Z11,"")</f>
        <v>Skechers-Sneakers | 343</v>
      </c>
      <c r="K65" s="257"/>
      <c r="L65" s="257"/>
      <c r="M65" s="257"/>
      <c r="N65" s="175"/>
      <c r="O65" s="175"/>
      <c r="P65" s="175"/>
      <c r="Q65" s="33"/>
      <c r="R65" s="33"/>
      <c r="S65" s="247"/>
      <c r="T65" s="247"/>
      <c r="U65" s="247"/>
      <c r="V65" s="80"/>
      <c r="W65" s="80"/>
      <c r="X65" s="80"/>
      <c r="Y65" s="55"/>
      <c r="Z65" s="55"/>
      <c r="AA65" s="55"/>
      <c r="AB65" s="55"/>
      <c r="AC65" s="55"/>
      <c r="AD65" s="55"/>
      <c r="AE65" s="71"/>
      <c r="AF65" s="71"/>
      <c r="AG65" s="80"/>
    </row>
    <row r="66" spans="1:33" ht="178.5" customHeight="1" x14ac:dyDescent="1.4">
      <c r="A66" s="143"/>
      <c r="B66" s="143"/>
      <c r="C66" s="143"/>
      <c r="D66" s="146"/>
      <c r="E66" s="147"/>
      <c r="F66" s="117"/>
      <c r="G66" s="33"/>
      <c r="H66" s="33"/>
      <c r="I66" s="33"/>
      <c r="J66" s="257" t="str">
        <f>IF(AND(Pivot_Heatmap!X12=10,Pivot_Heatmap!Z12&lt;&gt;0),Pivot_Heatmap!Y12," ")&amp;IF(AND(Pivot_Heatmap!X12=10,Pivot_Heatmap!Z12&lt;&gt;0)," | "&amp;Pivot_Heatmap!Z12,"")</f>
        <v>Adidas-Boots | 329</v>
      </c>
      <c r="K66" s="257"/>
      <c r="L66" s="257"/>
      <c r="M66" s="257"/>
      <c r="N66" s="175"/>
      <c r="O66" s="175"/>
      <c r="P66" s="175"/>
      <c r="Q66" s="33"/>
      <c r="R66" s="33"/>
      <c r="S66" s="247"/>
      <c r="T66" s="247"/>
      <c r="U66" s="247"/>
      <c r="V66" s="80"/>
      <c r="W66" s="80"/>
      <c r="X66" s="80"/>
      <c r="Y66" s="55"/>
      <c r="Z66" s="55"/>
      <c r="AA66" s="55"/>
      <c r="AB66" s="55"/>
      <c r="AC66" s="55"/>
      <c r="AD66" s="55"/>
      <c r="AE66" s="71"/>
      <c r="AF66" s="71"/>
      <c r="AG66" s="80"/>
    </row>
    <row r="67" spans="1:33" ht="141" customHeight="1" x14ac:dyDescent="1.4">
      <c r="A67" s="143"/>
      <c r="B67" s="143"/>
      <c r="C67" s="143"/>
      <c r="D67" s="146"/>
      <c r="E67" s="147"/>
      <c r="F67" s="117"/>
      <c r="G67" s="239"/>
      <c r="H67" s="239"/>
      <c r="I67" s="149"/>
      <c r="J67" s="117"/>
      <c r="K67" s="117"/>
      <c r="L67" s="150"/>
      <c r="M67" s="33"/>
      <c r="N67" s="33"/>
      <c r="O67" s="33"/>
      <c r="P67" s="33"/>
      <c r="Q67" s="33"/>
      <c r="R67" s="33"/>
      <c r="S67" s="33"/>
      <c r="T67" s="33"/>
      <c r="U67" s="33"/>
      <c r="V67" s="33"/>
      <c r="W67" s="33"/>
      <c r="X67" s="33"/>
      <c r="Y67" s="50"/>
      <c r="Z67" s="50"/>
      <c r="AA67" s="50"/>
      <c r="AB67" s="50"/>
      <c r="AC67" s="50"/>
      <c r="AD67" s="50"/>
      <c r="AE67" s="69"/>
      <c r="AF67" s="69"/>
      <c r="AG67" s="33"/>
    </row>
    <row r="68" spans="1:33" ht="141" customHeight="1" x14ac:dyDescent="1.4">
      <c r="A68" s="143"/>
      <c r="B68" s="143"/>
      <c r="C68" s="143"/>
      <c r="D68" s="117"/>
      <c r="E68" s="117"/>
      <c r="F68" s="117"/>
      <c r="G68" s="239"/>
      <c r="H68" s="239"/>
      <c r="I68" s="149"/>
      <c r="J68" s="117"/>
      <c r="K68" s="117"/>
      <c r="L68" s="148"/>
      <c r="M68" s="80"/>
      <c r="N68" s="80"/>
      <c r="O68" s="80"/>
      <c r="P68" s="33"/>
      <c r="Q68" s="33"/>
      <c r="R68" s="33"/>
      <c r="S68" s="33"/>
      <c r="T68" s="33"/>
      <c r="U68" s="80"/>
      <c r="V68" s="80"/>
      <c r="W68" s="80"/>
      <c r="X68" s="80"/>
      <c r="Y68" s="55"/>
      <c r="Z68" s="55"/>
      <c r="AA68" s="55"/>
      <c r="AB68" s="55"/>
      <c r="AC68" s="55"/>
      <c r="AD68" s="55"/>
      <c r="AE68" s="71"/>
      <c r="AF68" s="69"/>
      <c r="AG68" s="33"/>
    </row>
    <row r="69" spans="1:33" ht="141" customHeight="1" x14ac:dyDescent="0.25">
      <c r="A69" s="143"/>
      <c r="B69" s="143"/>
      <c r="C69" s="143"/>
      <c r="D69" s="117"/>
      <c r="E69" s="117"/>
      <c r="F69" s="117"/>
      <c r="G69" s="117"/>
      <c r="H69" s="117"/>
      <c r="I69" s="117"/>
      <c r="J69" s="117"/>
      <c r="K69" s="117"/>
      <c r="L69" s="148"/>
      <c r="M69" s="33"/>
      <c r="N69" s="33"/>
      <c r="O69" s="33"/>
      <c r="P69" s="241"/>
      <c r="Q69" s="241"/>
      <c r="R69" s="241"/>
      <c r="S69" s="241"/>
      <c r="T69" s="241"/>
      <c r="U69" s="33"/>
      <c r="V69" s="33"/>
      <c r="W69" s="33"/>
      <c r="X69" s="33"/>
      <c r="Y69" s="50"/>
      <c r="Z69" s="50"/>
      <c r="AA69" s="50"/>
      <c r="AB69" s="50"/>
      <c r="AC69" s="50"/>
      <c r="AD69" s="50"/>
      <c r="AE69" s="69"/>
      <c r="AF69" s="69"/>
      <c r="AG69" s="33"/>
    </row>
    <row r="70" spans="1:33" ht="141" customHeight="1" x14ac:dyDescent="0.25">
      <c r="A70" s="66"/>
      <c r="B70" s="66"/>
      <c r="C70" s="66"/>
      <c r="D70" s="66"/>
      <c r="E70" s="66"/>
      <c r="F70" s="66"/>
      <c r="G70" s="66"/>
      <c r="H70" s="66"/>
      <c r="I70" s="66"/>
      <c r="J70" s="66"/>
      <c r="K70" s="66"/>
      <c r="L70" s="148"/>
      <c r="M70" s="66"/>
      <c r="N70" s="66"/>
      <c r="O70" s="66"/>
      <c r="P70" s="66"/>
      <c r="Q70" s="66"/>
      <c r="R70" s="66"/>
      <c r="S70" s="66"/>
      <c r="T70" s="66"/>
      <c r="U70" s="66"/>
      <c r="V70" s="66"/>
      <c r="W70" s="66"/>
      <c r="X70" s="66"/>
      <c r="Y70" s="51"/>
      <c r="Z70" s="51"/>
      <c r="AA70" s="51"/>
      <c r="AB70" s="51"/>
      <c r="AC70" s="51"/>
      <c r="AD70" s="51"/>
      <c r="AE70" s="72"/>
      <c r="AF70" s="72"/>
      <c r="AG70" s="66"/>
    </row>
    <row r="71" spans="1:33" ht="141" customHeight="1" x14ac:dyDescent="0.25">
      <c r="A71" s="10"/>
      <c r="B71" s="10"/>
      <c r="C71" s="10"/>
      <c r="D71" s="10"/>
      <c r="E71" s="10"/>
      <c r="F71" s="10"/>
      <c r="G71" s="10"/>
      <c r="H71" s="10"/>
      <c r="I71" s="10"/>
      <c r="J71" s="10"/>
      <c r="K71" s="10"/>
      <c r="L71" s="59"/>
      <c r="M71" s="51"/>
      <c r="N71" s="51"/>
      <c r="O71" s="51"/>
      <c r="P71" s="51"/>
      <c r="Q71" s="51"/>
      <c r="R71" s="51"/>
      <c r="S71" s="51"/>
      <c r="T71" s="51"/>
      <c r="U71" s="51"/>
      <c r="V71" s="51"/>
      <c r="W71" s="51"/>
      <c r="X71" s="51"/>
      <c r="Y71" s="51"/>
      <c r="Z71" s="51"/>
      <c r="AA71" s="51"/>
      <c r="AB71" s="51"/>
      <c r="AC71" s="51"/>
      <c r="AD71" s="51"/>
      <c r="AE71" s="66"/>
      <c r="AF71" s="66"/>
      <c r="AG71" s="66"/>
    </row>
    <row r="72" spans="1:33" ht="150" customHeight="1" x14ac:dyDescent="0.35">
      <c r="A72" s="50"/>
      <c r="B72" s="50"/>
      <c r="C72" s="50"/>
      <c r="D72" s="50"/>
      <c r="E72" s="51"/>
      <c r="F72" s="50"/>
      <c r="G72" s="50"/>
      <c r="H72" s="50"/>
      <c r="I72" s="50"/>
      <c r="J72" s="50"/>
      <c r="K72" s="50"/>
      <c r="L72" s="58"/>
      <c r="M72" s="51"/>
      <c r="N72" s="51"/>
      <c r="O72" s="51"/>
      <c r="P72" s="51"/>
      <c r="Q72" s="51"/>
      <c r="R72" s="51"/>
      <c r="S72" s="51"/>
      <c r="T72" s="51"/>
      <c r="U72" s="51"/>
      <c r="V72" s="51"/>
      <c r="W72" s="51"/>
      <c r="X72" s="51"/>
      <c r="Y72" s="51"/>
      <c r="Z72" s="51"/>
      <c r="AA72" s="51"/>
      <c r="AB72" s="51"/>
      <c r="AC72" s="51"/>
      <c r="AD72" s="51"/>
      <c r="AE72" s="66"/>
      <c r="AF72" s="66"/>
      <c r="AG72" s="66"/>
    </row>
    <row r="73" spans="1:33" ht="150" customHeight="1" x14ac:dyDescent="0.35">
      <c r="A73" s="50"/>
      <c r="B73" s="50"/>
      <c r="C73" s="50"/>
      <c r="D73" s="50"/>
      <c r="E73" s="51"/>
      <c r="F73" s="50"/>
      <c r="G73" s="50"/>
      <c r="H73" s="50"/>
      <c r="I73" s="50"/>
      <c r="J73" s="50"/>
      <c r="K73" s="50"/>
      <c r="L73" s="60"/>
      <c r="M73" s="51"/>
      <c r="N73" s="51"/>
      <c r="O73" s="51"/>
      <c r="P73" s="51"/>
      <c r="Q73" s="51"/>
      <c r="R73" s="51"/>
      <c r="S73" s="51"/>
      <c r="T73" s="51"/>
      <c r="U73" s="51"/>
      <c r="V73" s="51"/>
      <c r="W73" s="51"/>
      <c r="X73" s="51"/>
      <c r="Y73" s="51"/>
      <c r="Z73" s="51"/>
      <c r="AA73" s="51"/>
      <c r="AB73" s="51"/>
      <c r="AC73" s="51"/>
      <c r="AD73" s="51"/>
      <c r="AE73" s="66"/>
      <c r="AF73" s="66"/>
      <c r="AG73" s="66"/>
    </row>
    <row r="74" spans="1:33" x14ac:dyDescent="0.25">
      <c r="A74" s="10"/>
      <c r="B74" s="10"/>
      <c r="C74" s="10"/>
      <c r="D74" s="10"/>
      <c r="E74" s="10"/>
      <c r="F74" s="10"/>
      <c r="G74" s="10"/>
      <c r="H74" s="10"/>
      <c r="I74" s="10"/>
      <c r="J74" s="10"/>
      <c r="K74" s="10"/>
      <c r="L74" s="50"/>
      <c r="M74" s="50"/>
      <c r="N74" s="50"/>
      <c r="O74" s="50"/>
      <c r="P74" s="50"/>
      <c r="Q74" s="50"/>
      <c r="R74" s="50"/>
      <c r="S74" s="50"/>
      <c r="T74" s="50"/>
      <c r="U74" s="50"/>
      <c r="V74" s="50"/>
      <c r="W74" s="50"/>
      <c r="X74" s="50"/>
      <c r="Y74" s="50"/>
      <c r="Z74" s="50"/>
      <c r="AA74" s="50"/>
      <c r="AB74" s="50"/>
      <c r="AC74" s="50"/>
      <c r="AD74" s="50"/>
      <c r="AE74" s="33"/>
    </row>
    <row r="75" spans="1:33" x14ac:dyDescent="0.25">
      <c r="A75" s="10"/>
      <c r="B75" s="10"/>
      <c r="C75" s="10"/>
      <c r="D75" s="10"/>
      <c r="E75" s="10"/>
      <c r="F75" s="10"/>
      <c r="G75" s="10"/>
      <c r="H75" s="10"/>
      <c r="I75" s="10"/>
      <c r="J75" s="10"/>
      <c r="K75" s="10"/>
      <c r="L75" s="50"/>
      <c r="M75" s="50"/>
      <c r="N75" s="50"/>
      <c r="O75" s="50"/>
      <c r="P75" s="50"/>
      <c r="Q75" s="50"/>
      <c r="R75" s="50"/>
      <c r="S75" s="50"/>
      <c r="T75" s="50"/>
      <c r="U75" s="50"/>
      <c r="V75" s="50"/>
      <c r="W75" s="50"/>
      <c r="X75" s="50"/>
      <c r="Y75" s="50"/>
      <c r="Z75" s="50"/>
      <c r="AA75" s="50"/>
      <c r="AB75" s="50"/>
      <c r="AC75" s="50"/>
      <c r="AD75" s="50"/>
      <c r="AE75" s="33"/>
    </row>
    <row r="76" spans="1:33" x14ac:dyDescent="0.25">
      <c r="A76" s="50"/>
      <c r="B76" s="50"/>
      <c r="C76" s="50"/>
      <c r="D76" s="50"/>
      <c r="E76" s="51"/>
      <c r="F76" s="50"/>
      <c r="G76" s="50"/>
      <c r="H76" s="50"/>
      <c r="I76" s="50"/>
      <c r="J76" s="50"/>
      <c r="K76" s="50"/>
      <c r="L76" s="50"/>
      <c r="M76" s="50"/>
      <c r="N76" s="50"/>
      <c r="O76" s="50"/>
      <c r="P76" s="50"/>
      <c r="Q76" s="50"/>
      <c r="R76" s="50"/>
      <c r="S76" s="50"/>
      <c r="T76" s="50"/>
      <c r="U76" s="50"/>
      <c r="V76" s="50"/>
      <c r="W76" s="50"/>
      <c r="X76" s="50"/>
      <c r="Y76" s="50"/>
      <c r="Z76" s="50"/>
      <c r="AA76" s="50"/>
      <c r="AB76" s="50"/>
      <c r="AC76" s="50"/>
      <c r="AD76" s="50"/>
      <c r="AE76" s="33"/>
    </row>
    <row r="77" spans="1:33" x14ac:dyDescent="0.25">
      <c r="E77" s="34"/>
    </row>
    <row r="78" spans="1:33" x14ac:dyDescent="0.25">
      <c r="E78" s="34"/>
    </row>
    <row r="79" spans="1:33" x14ac:dyDescent="0.25">
      <c r="E79" s="34"/>
    </row>
    <row r="80" spans="1:33" x14ac:dyDescent="0.25">
      <c r="E80" s="34"/>
    </row>
    <row r="81" spans="5:33" x14ac:dyDescent="0.25">
      <c r="E81" s="34"/>
    </row>
    <row r="82" spans="5:33" x14ac:dyDescent="0.25">
      <c r="E82" s="34"/>
    </row>
    <row r="83" spans="5:33" x14ac:dyDescent="0.25">
      <c r="E83" s="34"/>
      <c r="F83" s="34"/>
      <c r="G83" s="34"/>
      <c r="H83" s="34"/>
      <c r="I83" s="34"/>
      <c r="J83" s="34"/>
      <c r="K83" s="34"/>
      <c r="L83" s="34"/>
      <c r="M83" s="34"/>
      <c r="N83" s="34"/>
      <c r="O83" s="34"/>
      <c r="P83" s="34"/>
      <c r="Q83" s="34"/>
      <c r="R83" s="34"/>
      <c r="S83" s="34"/>
      <c r="T83" s="34"/>
      <c r="U83" s="34"/>
      <c r="V83" s="34"/>
      <c r="W83" s="34"/>
      <c r="X83" s="34"/>
      <c r="Y83" s="34"/>
      <c r="Z83" s="34"/>
      <c r="AA83" s="34"/>
      <c r="AB83" s="34"/>
      <c r="AC83" s="34"/>
      <c r="AD83" s="34"/>
      <c r="AE83" s="34"/>
      <c r="AF83" s="10"/>
      <c r="AG83" s="10"/>
    </row>
    <row r="84" spans="5:33" x14ac:dyDescent="0.25">
      <c r="E84" s="34"/>
      <c r="F84" s="34"/>
      <c r="G84" s="34"/>
      <c r="H84" s="34"/>
      <c r="I84" s="34"/>
      <c r="J84" s="34"/>
      <c r="K84" s="34"/>
      <c r="L84" s="34"/>
      <c r="M84" s="34"/>
      <c r="N84" s="34"/>
      <c r="O84" s="34"/>
      <c r="P84" s="34"/>
      <c r="Q84" s="34"/>
      <c r="R84" s="34"/>
      <c r="S84" s="34"/>
      <c r="T84" s="34"/>
      <c r="U84" s="34"/>
      <c r="V84" s="34"/>
      <c r="W84" s="34"/>
      <c r="X84" s="34"/>
      <c r="Y84" s="34"/>
      <c r="Z84" s="34"/>
      <c r="AA84" s="34"/>
      <c r="AB84" s="34"/>
      <c r="AC84" s="34"/>
      <c r="AD84" s="34"/>
      <c r="AE84" s="34"/>
      <c r="AF84" s="10"/>
      <c r="AG84" s="10"/>
    </row>
    <row r="85" spans="5:33" x14ac:dyDescent="0.25">
      <c r="E85" s="34"/>
      <c r="F85" s="34"/>
    </row>
    <row r="86" spans="5:33" x14ac:dyDescent="0.25">
      <c r="E86" s="34"/>
      <c r="F86" s="34"/>
    </row>
    <row r="87" spans="5:33" x14ac:dyDescent="0.25">
      <c r="E87" s="34"/>
      <c r="F87" s="34"/>
    </row>
    <row r="88" spans="5:33" x14ac:dyDescent="0.25">
      <c r="E88" s="34"/>
      <c r="F88" s="34"/>
    </row>
    <row r="89" spans="5:33" x14ac:dyDescent="0.25">
      <c r="E89" s="34"/>
      <c r="F89" s="34"/>
    </row>
    <row r="90" spans="5:33" x14ac:dyDescent="0.25">
      <c r="E90" s="34"/>
      <c r="F90" s="34"/>
    </row>
    <row r="91" spans="5:33" x14ac:dyDescent="0.25">
      <c r="E91" s="34"/>
      <c r="F91" s="34"/>
    </row>
    <row r="92" spans="5:33" x14ac:dyDescent="0.25">
      <c r="E92" s="34"/>
      <c r="F92" s="34"/>
    </row>
    <row r="93" spans="5:33" x14ac:dyDescent="0.25">
      <c r="E93" s="34"/>
      <c r="F93" s="34"/>
    </row>
    <row r="94" spans="5:33" x14ac:dyDescent="0.25">
      <c r="E94" s="34"/>
      <c r="F94" s="34"/>
    </row>
  </sheetData>
  <mergeCells count="33">
    <mergeCell ref="J65:M65"/>
    <mergeCell ref="J66:M66"/>
    <mergeCell ref="S60:U60"/>
    <mergeCell ref="S61:U61"/>
    <mergeCell ref="J57:M57"/>
    <mergeCell ref="J63:M63"/>
    <mergeCell ref="AB5:AC5"/>
    <mergeCell ref="AB6:AC6"/>
    <mergeCell ref="J64:M64"/>
    <mergeCell ref="AH57:AK57"/>
    <mergeCell ref="S5:T5"/>
    <mergeCell ref="Y5:Z5"/>
    <mergeCell ref="Y6:Z6"/>
    <mergeCell ref="V5:W5"/>
    <mergeCell ref="V6:W6"/>
    <mergeCell ref="S6:T6"/>
    <mergeCell ref="S57:U57"/>
    <mergeCell ref="G68:H68"/>
    <mergeCell ref="G67:H67"/>
    <mergeCell ref="B65:E65"/>
    <mergeCell ref="P69:T69"/>
    <mergeCell ref="J58:M58"/>
    <mergeCell ref="J59:M59"/>
    <mergeCell ref="J60:M60"/>
    <mergeCell ref="J61:M61"/>
    <mergeCell ref="J62:M62"/>
    <mergeCell ref="S62:U62"/>
    <mergeCell ref="S63:U63"/>
    <mergeCell ref="S64:U64"/>
    <mergeCell ref="S65:U65"/>
    <mergeCell ref="S66:U66"/>
    <mergeCell ref="S58:U58"/>
    <mergeCell ref="S59:U59"/>
  </mergeCells>
  <conditionalFormatting sqref="AI58:AJ58">
    <cfRule type="colorScale" priority="65">
      <colorScale>
        <cfvo type="min"/>
        <cfvo type="percentile" val="50"/>
        <cfvo type="max"/>
        <color theme="4" tint="0.39997558519241921"/>
        <color theme="4" tint="-0.249977111117893"/>
        <color theme="3" tint="-0.499984740745262"/>
      </colorScale>
    </cfRule>
  </conditionalFormatting>
  <conditionalFormatting sqref="Z33:AD33 M33:V38 X33 X34:AD38">
    <cfRule type="colorScale" priority="35">
      <colorScale>
        <cfvo type="min"/>
        <cfvo type="max"/>
        <color theme="4" tint="0.79998168889431442"/>
        <color theme="3" tint="-0.499984740745262"/>
      </colorScale>
    </cfRule>
  </conditionalFormatting>
  <conditionalFormatting sqref="AE33:AE38">
    <cfRule type="colorScale" priority="31">
      <colorScale>
        <cfvo type="min"/>
        <cfvo type="max"/>
        <color theme="4" tint="0.79998168889431442"/>
        <color theme="3" tint="-0.499984740745262"/>
      </colorScale>
    </cfRule>
  </conditionalFormatting>
  <conditionalFormatting sqref="V60:AE66 Q60:R63">
    <cfRule type="colorScale" priority="93">
      <colorScale>
        <cfvo type="min"/>
        <cfvo type="max"/>
        <color theme="4" tint="0.59999389629810485"/>
        <color theme="3" tint="-0.499984740745262"/>
      </colorScale>
    </cfRule>
  </conditionalFormatting>
  <conditionalFormatting sqref="U68:AE68 M68:O68">
    <cfRule type="colorScale" priority="95">
      <colorScale>
        <cfvo type="min"/>
        <cfvo type="max"/>
        <color theme="4" tint="0.79998168889431442"/>
        <color theme="3" tint="-0.499984740745262"/>
      </colorScale>
    </cfRule>
  </conditionalFormatting>
  <conditionalFormatting sqref="L68">
    <cfRule type="colorScale" priority="98">
      <colorScale>
        <cfvo type="min"/>
        <cfvo type="max"/>
        <color theme="0" tint="-4.9989318521683403E-2"/>
        <color theme="3" tint="-0.499984740745262"/>
      </colorScale>
    </cfRule>
  </conditionalFormatting>
  <conditionalFormatting sqref="AF60:AF66">
    <cfRule type="colorScale" priority="106">
      <colorScale>
        <cfvo type="min"/>
        <cfvo type="max"/>
        <color theme="3" tint="-0.499984740745262"/>
        <color theme="4" tint="0.79998168889431442"/>
      </colorScale>
    </cfRule>
  </conditionalFormatting>
  <conditionalFormatting sqref="AG60:AG66">
    <cfRule type="colorScale" priority="118">
      <colorScale>
        <cfvo type="min"/>
        <cfvo type="max"/>
        <color theme="4" tint="0.79998168889431442"/>
        <color theme="3" tint="-0.499984740745262"/>
      </colorScale>
    </cfRule>
  </conditionalFormatting>
  <conditionalFormatting sqref="D69:I69 F64:F67 D68:F68">
    <cfRule type="colorScale" priority="131">
      <colorScale>
        <cfvo type="min"/>
        <cfvo type="max"/>
        <color theme="4" tint="-0.499984740745262"/>
        <color theme="8" tint="0.79998168889431442"/>
      </colorScale>
    </cfRule>
  </conditionalFormatting>
  <conditionalFormatting sqref="S57:S66">
    <cfRule type="top10" dxfId="0" priority="140" rank="10"/>
  </conditionalFormatting>
  <conditionalFormatting sqref="S57:U66">
    <cfRule type="colorScale" priority="5">
      <colorScale>
        <cfvo type="min"/>
        <cfvo type="max"/>
        <color theme="3" tint="-0.499984740745262"/>
        <color theme="4" tint="0.79998168889431442"/>
      </colorScale>
    </cfRule>
  </conditionalFormatting>
  <conditionalFormatting sqref="M40:AE40 L70">
    <cfRule type="colorScale" priority="150">
      <colorScale>
        <cfvo type="min"/>
        <cfvo type="max"/>
        <color theme="4" tint="0.79998168889431442"/>
        <color theme="3" tint="-0.499984740745262"/>
      </colorScale>
    </cfRule>
  </conditionalFormatting>
  <conditionalFormatting sqref="C58:I63">
    <cfRule type="colorScale" priority="1">
      <colorScale>
        <cfvo type="min"/>
        <cfvo type="max"/>
        <color theme="4" tint="-0.499984740745262"/>
        <color theme="4" tint="0.79998168889431442"/>
      </colorScale>
    </cfRule>
  </conditionalFormatting>
  <printOptions horizontalCentered="1" verticalCentered="1"/>
  <pageMargins left="0.39370078740157483" right="0.39370078740157483" top="0.39370078740157483" bottom="0.39370078740157483" header="0.19685039370078741" footer="0.19685039370078741"/>
  <pageSetup paperSize="5" scale="10"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Data Cleaning</vt:lpstr>
      <vt:lpstr>Clean_Dataset</vt:lpstr>
      <vt:lpstr>KPI</vt:lpstr>
      <vt:lpstr>Pivot_Chart_Tables</vt:lpstr>
      <vt:lpstr>Pivot_Scatter</vt:lpstr>
      <vt:lpstr>Pivot_Heatmap</vt:lpstr>
      <vt:lpstr>Data Analysis</vt:lpstr>
      <vt:lpstr>DASHBOARD</vt:lpstr>
      <vt:lpstr>DASHBOARD!Print_Area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cp:lastPrinted>2026-07-20T19:43:31Z</cp:lastPrinted>
  <dcterms:created xsi:type="dcterms:W3CDTF">2026-05-31T13:15:52Z</dcterms:created>
  <dcterms:modified xsi:type="dcterms:W3CDTF">2026-07-20T19:54:08Z</dcterms:modified>
</cp:coreProperties>
</file>